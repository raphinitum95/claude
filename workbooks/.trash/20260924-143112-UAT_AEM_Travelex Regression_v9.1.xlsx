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124226"/>
  <mc:AlternateContent xmlns:mc="http://schemas.openxmlformats.org/markup-compatibility/2006">
    <mc:Choice Requires="x15">
      <x15ac:absPath xmlns:x15ac="http://schemas.microsoft.com/office/spreadsheetml/2010/11/ac" url="L:\Regression\Scripts\AEM Regression\UAT Datatables\"/>
    </mc:Choice>
  </mc:AlternateContent>
  <xr:revisionPtr revIDLastSave="0" documentId="8_{3C913C19-379C-43D0-94CC-9CE5C6BFEBAB}" xr6:coauthVersionLast="47" xr6:coauthVersionMax="47" xr10:uidLastSave="{00000000-0000-0000-0000-000000000000}"/>
  <bookViews>
    <workbookView xWindow="-120" yWindow="-120" windowWidth="29040" windowHeight="15720" tabRatio="777" firstSheet="5" activeTab="16" xr2:uid="{00000000-000D-0000-FFFF-FFFF00000000}"/>
  </bookViews>
  <sheets>
    <sheet name="Global" sheetId="20" r:id="rId1"/>
    <sheet name="DataSheets" sheetId="24" r:id="rId2"/>
    <sheet name="Owner_AZ" sheetId="58" r:id="rId3"/>
    <sheet name="Params_1" sheetId="73" r:id="rId4"/>
    <sheet name="Owner_CRVD" sheetId="76" r:id="rId5"/>
    <sheet name="Params_2" sheetId="77" r:id="rId6"/>
    <sheet name="Owner_RVD" sheetId="78" r:id="rId7"/>
    <sheet name="Params_3" sheetId="79" r:id="rId8"/>
    <sheet name="PostDeparture" sheetId="74" r:id="rId9"/>
    <sheet name="Params_4" sheetId="75" r:id="rId10"/>
    <sheet name="Preview" sheetId="80" r:id="rId11"/>
    <sheet name="Params_5" sheetId="81" r:id="rId12"/>
    <sheet name="Travelkore" sheetId="84" r:id="rId13"/>
    <sheet name="Params_6" sheetId="85" r:id="rId14"/>
    <sheet name="ANZ" sheetId="86" r:id="rId15"/>
    <sheet name="Params_7" sheetId="87" r:id="rId16"/>
    <sheet name="CW" sheetId="88" r:id="rId17"/>
    <sheet name="Params_8" sheetId="89" r:id="rId18"/>
    <sheet name="WM" sheetId="92" r:id="rId19"/>
    <sheet name="Params_9" sheetId="91" r:id="rId20"/>
  </sheets>
  <definedNames>
    <definedName name="_xlnm._FilterDatabase" localSheetId="3" hidden="1">Params_1!$A$1:$CB$2</definedName>
    <definedName name="_xlnm._FilterDatabase" localSheetId="5" hidden="1">Params_2!$A$1:$BB$1</definedName>
    <definedName name="_xlnm._FilterDatabase" localSheetId="7" hidden="1">Params_3!$A$1:$AZ$1</definedName>
    <definedName name="_xlnm._FilterDatabase" localSheetId="9" hidden="1">Params_4!$A$1:$CD$1</definedName>
    <definedName name="_xlnm._FilterDatabase" localSheetId="11" hidden="1">Params_5!$A$1:$BR$1</definedName>
    <definedName name="_xlnm._FilterDatabase" localSheetId="13" hidden="1">Params_6!$A$1:$AM$1</definedName>
    <definedName name="_xlnm._FilterDatabase" localSheetId="15" hidden="1">Params_7!$A$1:$BR$1</definedName>
    <definedName name="_xlnm._FilterDatabase" localSheetId="17" hidden="1">Params_8!$A$1:$BR$1</definedName>
    <definedName name="_xlnm._FilterDatabase" localSheetId="19" hidden="1">Params_9!$A$1:$BR$1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4" i="88" l="1"/>
  <c r="B73" i="88"/>
  <c r="H2" i="89" a="1"/>
  <c r="H2" i="89" s="1"/>
  <c r="H2" i="91" a="1"/>
  <c r="H2" i="91" s="1"/>
  <c r="H3" i="91" a="1"/>
  <c r="H3" i="91" s="1"/>
  <c r="H3" i="89" a="1"/>
  <c r="H3" i="89" s="1"/>
  <c r="B252" i="84" l="1"/>
  <c r="B253" i="84" s="1"/>
  <c r="B215" i="80"/>
  <c r="B216" i="80" s="1"/>
  <c r="B191" i="74"/>
  <c r="B192" i="74"/>
  <c r="B168" i="78"/>
  <c r="B169" i="78"/>
  <c r="B170" i="78" l="1"/>
  <c r="B171" i="78" s="1"/>
  <c r="B245" i="58"/>
  <c r="B246" i="58" s="1"/>
  <c r="R171" i="88" l="1"/>
  <c r="R163" i="92"/>
  <c r="R169" i="88"/>
  <c r="R165" i="88"/>
  <c r="R164" i="88"/>
  <c r="R163" i="88"/>
  <c r="R165" i="92"/>
  <c r="R159" i="92"/>
  <c r="R158" i="92"/>
  <c r="R157" i="92"/>
  <c r="A142" i="92" l="1" a="1"/>
  <c r="A142" i="92" s="1"/>
  <c r="A143" i="92" s="1"/>
  <c r="A145" i="92" s="1"/>
  <c r="A146" i="92" s="1"/>
  <c r="A147" i="92" s="1"/>
  <c r="A148" i="92" s="1"/>
  <c r="A149" i="92" s="1"/>
  <c r="A150" i="92" s="1"/>
  <c r="A151" i="92" s="1"/>
  <c r="A152" i="92" s="1"/>
  <c r="A153" i="92" s="1"/>
  <c r="A154" i="92" s="1"/>
  <c r="A155" i="92" s="1"/>
  <c r="A156" i="92" s="1"/>
  <c r="A157" i="92" s="1"/>
  <c r="A158" i="92" s="1"/>
  <c r="A159" i="92" s="1"/>
  <c r="A160" i="92" s="1"/>
  <c r="A161" i="92" s="1"/>
  <c r="A162" i="92" s="1"/>
  <c r="A163" i="92" s="1"/>
  <c r="A164" i="92" s="1"/>
  <c r="A165" i="92" s="1"/>
  <c r="A166" i="92" s="1"/>
  <c r="A167" i="92" s="1"/>
  <c r="A168" i="92" s="1"/>
  <c r="A169" i="92" s="1"/>
  <c r="A170" i="92" s="1"/>
  <c r="A172" i="92" s="1"/>
  <c r="A173" i="92" s="1"/>
  <c r="A174" i="92" s="1"/>
  <c r="A175" i="92" s="1"/>
  <c r="A123" i="92"/>
  <c r="A122" i="92"/>
  <c r="A121" i="92"/>
  <c r="A120" i="92"/>
  <c r="A119" i="92"/>
  <c r="A118" i="92"/>
  <c r="A5" i="92"/>
  <c r="A4" i="92"/>
  <c r="A3" i="92"/>
  <c r="R124" i="92"/>
  <c r="R121" i="92"/>
  <c r="R120" i="92"/>
  <c r="R119" i="92"/>
  <c r="R118" i="92"/>
  <c r="R117" i="92"/>
  <c r="R103" i="92"/>
  <c r="R102" i="92"/>
  <c r="R101" i="92"/>
  <c r="R96" i="92"/>
  <c r="R95" i="92"/>
  <c r="R94" i="92"/>
  <c r="J89" i="92"/>
  <c r="J82" i="92"/>
  <c r="J27" i="92"/>
  <c r="J20" i="92"/>
  <c r="M4" i="92"/>
  <c r="B3" i="92"/>
  <c r="B4" i="92" l="1"/>
  <c r="B5" i="92"/>
  <c r="B6" i="92" l="1"/>
  <c r="B7" i="92"/>
  <c r="B8" i="92"/>
  <c r="B9" i="92" l="1"/>
  <c r="B10" i="92" l="1"/>
  <c r="B12" i="92" l="1"/>
  <c r="B13" i="92" l="1"/>
  <c r="B14" i="92" l="1"/>
  <c r="B15" i="92" l="1"/>
  <c r="B16" i="92"/>
  <c r="B17" i="92" s="1"/>
  <c r="B18" i="92" l="1"/>
  <c r="B19" i="92"/>
  <c r="B20" i="92" s="1"/>
  <c r="B21" i="92" s="1"/>
  <c r="B22" i="92" s="1"/>
  <c r="B23" i="92" s="1"/>
  <c r="B24" i="92" s="1"/>
  <c r="B25" i="92" s="1"/>
  <c r="B26" i="92" s="1"/>
  <c r="B27" i="92" s="1"/>
  <c r="B28" i="92" s="1"/>
  <c r="B30" i="92" s="1"/>
  <c r="B31" i="92" s="1"/>
  <c r="B32" i="92" s="1"/>
  <c r="B33" i="92" s="1"/>
  <c r="B34" i="92" s="1"/>
  <c r="B35" i="92" s="1"/>
  <c r="B36" i="92" s="1"/>
  <c r="B38" i="92" s="1"/>
  <c r="B39" i="92" s="1"/>
  <c r="B40" i="92" s="1"/>
  <c r="B41" i="92" s="1"/>
  <c r="B42" i="92" s="1"/>
  <c r="B43" i="92" s="1"/>
  <c r="B44" i="92" s="1"/>
  <c r="B45" i="92" s="1"/>
  <c r="B46" i="92" s="1"/>
  <c r="B47" i="92" s="1"/>
  <c r="B48" i="92" s="1"/>
  <c r="B49" i="92" s="1"/>
  <c r="B50" i="92" s="1"/>
  <c r="B52" i="92" s="1"/>
  <c r="B53" i="92" s="1"/>
  <c r="B54" i="92" s="1"/>
  <c r="B55" i="92" s="1"/>
  <c r="B56" i="92" s="1"/>
  <c r="B57" i="92" s="1"/>
  <c r="B58" i="92" s="1"/>
  <c r="B59" i="92" s="1"/>
  <c r="B60" i="92" s="1"/>
  <c r="B61" i="92" s="1"/>
  <c r="B62" i="92" s="1"/>
  <c r="B63" i="92" s="1"/>
  <c r="B64" i="92" s="1"/>
  <c r="B65" i="92" s="1"/>
  <c r="B66" i="92" s="1"/>
  <c r="B67" i="92" s="1"/>
  <c r="B68" i="92" s="1"/>
  <c r="B69" i="92" s="1"/>
  <c r="B70" i="92" s="1"/>
  <c r="B71" i="92" s="1"/>
  <c r="B72" i="92" s="1"/>
  <c r="B73" i="92" s="1"/>
  <c r="B74" i="92" s="1"/>
  <c r="B76" i="92" s="1"/>
  <c r="B77" i="92" s="1"/>
  <c r="B78" i="92" s="1"/>
  <c r="B79" i="92" s="1"/>
  <c r="B80" i="92" s="1"/>
  <c r="B81" i="92" s="1"/>
  <c r="B82" i="92" s="1"/>
  <c r="B83" i="92" s="1"/>
  <c r="B84" i="92" s="1"/>
  <c r="B85" i="92" s="1"/>
  <c r="B86" i="92" s="1"/>
  <c r="B87" i="92" s="1"/>
  <c r="B88" i="92" s="1"/>
  <c r="B89" i="92" s="1"/>
  <c r="B90" i="92" s="1"/>
  <c r="B91" i="92" s="1"/>
  <c r="B93" i="92" s="1"/>
  <c r="B94" i="92" s="1"/>
  <c r="B95" i="92" s="1"/>
  <c r="B96" i="92" s="1"/>
  <c r="B97" i="92" s="1"/>
  <c r="B98" i="92" s="1"/>
  <c r="B100" i="92" s="1"/>
  <c r="B101" i="92" s="1"/>
  <c r="A143" i="88" a="1"/>
  <c r="A143" i="88" s="1"/>
  <c r="A144" i="88" s="1"/>
  <c r="A146" i="88" s="1"/>
  <c r="A124" i="88"/>
  <c r="A123" i="88"/>
  <c r="A122" i="88"/>
  <c r="A121" i="88"/>
  <c r="A120" i="88"/>
  <c r="A119" i="88"/>
  <c r="A5" i="88"/>
  <c r="A4" i="88"/>
  <c r="A3" i="88"/>
  <c r="GN2" i="91"/>
  <c r="FU2" i="91"/>
  <c r="FS2" i="91"/>
  <c r="FR2" i="91"/>
  <c r="FQ2" i="91"/>
  <c r="DR2" i="91"/>
  <c r="DQ2" i="91"/>
  <c r="DP2" i="91"/>
  <c r="I2" i="91"/>
  <c r="AV2" i="91" s="1"/>
  <c r="GN2" i="89"/>
  <c r="FU2" i="89"/>
  <c r="FS2" i="89"/>
  <c r="FR2" i="89"/>
  <c r="FQ2" i="89"/>
  <c r="DR2" i="89"/>
  <c r="DQ2" i="89"/>
  <c r="DP2" i="89"/>
  <c r="I2" i="89"/>
  <c r="AV2" i="89" s="1"/>
  <c r="R125" i="88"/>
  <c r="R122" i="88"/>
  <c r="R121" i="88"/>
  <c r="R120" i="88"/>
  <c r="R119" i="88"/>
  <c r="R118" i="88"/>
  <c r="R104" i="88"/>
  <c r="R103" i="88"/>
  <c r="R102" i="88"/>
  <c r="R97" i="88"/>
  <c r="R96" i="88"/>
  <c r="R95" i="88"/>
  <c r="J90" i="88"/>
  <c r="J83" i="88"/>
  <c r="J27" i="88"/>
  <c r="J20" i="88"/>
  <c r="M4" i="88"/>
  <c r="B3" i="88"/>
  <c r="B102" i="92" l="1"/>
  <c r="B103" i="92" s="1"/>
  <c r="B104" i="92" s="1"/>
  <c r="B105" i="92" s="1"/>
  <c r="B106" i="92" s="1"/>
  <c r="B107" i="92" s="1"/>
  <c r="B108" i="92" s="1"/>
  <c r="B109" i="92" s="1"/>
  <c r="B110" i="92" s="1"/>
  <c r="B111" i="92" s="1"/>
  <c r="B112" i="92" s="1"/>
  <c r="B113" i="92" s="1"/>
  <c r="B114" i="92" s="1"/>
  <c r="B115" i="92" s="1"/>
  <c r="B117" i="92" s="1"/>
  <c r="B118" i="92" s="1"/>
  <c r="B119" i="92" s="1"/>
  <c r="B120" i="92" s="1"/>
  <c r="B121" i="92" s="1"/>
  <c r="B122" i="92" s="1"/>
  <c r="B123" i="92" s="1"/>
  <c r="B124" i="92" s="1"/>
  <c r="B125" i="92" s="1"/>
  <c r="B126" i="92" s="1"/>
  <c r="B127" i="92" s="1"/>
  <c r="B128" i="92" s="1"/>
  <c r="B129" i="92" s="1"/>
  <c r="B130" i="92" s="1"/>
  <c r="B131" i="92" s="1"/>
  <c r="B132" i="92" s="1"/>
  <c r="B133" i="92" s="1"/>
  <c r="B134" i="92" s="1"/>
  <c r="B135" i="92" s="1"/>
  <c r="B136" i="92" s="1"/>
  <c r="B137" i="92" s="1"/>
  <c r="B138" i="92" s="1"/>
  <c r="B139" i="92" s="1"/>
  <c r="B140" i="92" s="1"/>
  <c r="B141" i="92" s="1"/>
  <c r="B142" i="92" s="1"/>
  <c r="B143" i="92" s="1"/>
  <c r="B145" i="92" s="1"/>
  <c r="B146" i="92" s="1"/>
  <c r="B147" i="92" s="1"/>
  <c r="B148" i="92" s="1"/>
  <c r="B149" i="92" s="1"/>
  <c r="B150" i="92" s="1"/>
  <c r="B151" i="92" s="1"/>
  <c r="B152" i="92" s="1"/>
  <c r="B153" i="92" s="1"/>
  <c r="B154" i="92" s="1"/>
  <c r="B155" i="92" s="1"/>
  <c r="B156" i="92" s="1"/>
  <c r="B157" i="92" s="1"/>
  <c r="B158" i="92" s="1"/>
  <c r="B159" i="92" s="1"/>
  <c r="B160" i="92" s="1"/>
  <c r="B161" i="92" s="1"/>
  <c r="B162" i="92" s="1"/>
  <c r="B163" i="92" s="1"/>
  <c r="B164" i="92" s="1"/>
  <c r="B165" i="92" s="1"/>
  <c r="B166" i="92" s="1"/>
  <c r="B167" i="92" s="1"/>
  <c r="B168" i="92" s="1"/>
  <c r="B169" i="92" s="1"/>
  <c r="B170" i="92" s="1"/>
  <c r="B171" i="92" s="1"/>
  <c r="B172" i="92" s="1"/>
  <c r="B173" i="92" s="1"/>
  <c r="B174" i="92" s="1"/>
  <c r="B175" i="92" s="1"/>
  <c r="B177" i="92" s="1"/>
  <c r="AW2" i="91"/>
  <c r="AZ2" i="91" s="1"/>
  <c r="AX2" i="91"/>
  <c r="BB2" i="91"/>
  <c r="BA2" i="91"/>
  <c r="FH2" i="91"/>
  <c r="FI2" i="91" s="1"/>
  <c r="FJ2" i="91" s="1"/>
  <c r="FK2" i="91" s="1"/>
  <c r="FL2" i="91" s="1"/>
  <c r="FM2" i="91" s="1"/>
  <c r="FN2" i="91" s="1"/>
  <c r="FO2" i="91" s="1"/>
  <c r="FP2" i="91" s="1"/>
  <c r="AY2" i="91"/>
  <c r="FG2" i="91"/>
  <c r="AW2" i="89"/>
  <c r="AZ2" i="89" s="1"/>
  <c r="AX2" i="89"/>
  <c r="BB2" i="89"/>
  <c r="BA2" i="89"/>
  <c r="FH2" i="89"/>
  <c r="FI2" i="89" s="1"/>
  <c r="FJ2" i="89" s="1"/>
  <c r="FK2" i="89" s="1"/>
  <c r="FL2" i="89" s="1"/>
  <c r="FM2" i="89" s="1"/>
  <c r="FN2" i="89" s="1"/>
  <c r="FO2" i="89" s="1"/>
  <c r="FP2" i="89" s="1"/>
  <c r="AY2" i="89"/>
  <c r="FG2" i="89"/>
  <c r="A147" i="88"/>
  <c r="A148" i="88"/>
  <c r="A149" i="88" s="1"/>
  <c r="A150" i="88" s="1"/>
  <c r="A151" i="88" s="1"/>
  <c r="A152" i="88" s="1"/>
  <c r="A153" i="88" s="1"/>
  <c r="A154" i="88" s="1"/>
  <c r="A155" i="88" s="1"/>
  <c r="A156" i="88" s="1"/>
  <c r="A157" i="88" s="1"/>
  <c r="A158" i="88" s="1"/>
  <c r="A159" i="88" s="1"/>
  <c r="A160" i="88" s="1"/>
  <c r="A161" i="88" s="1"/>
  <c r="A162" i="88" s="1"/>
  <c r="A163" i="88" s="1"/>
  <c r="A164" i="88" s="1"/>
  <c r="A165" i="88" s="1"/>
  <c r="A166" i="88" s="1"/>
  <c r="A167" i="88" s="1"/>
  <c r="A168" i="88" s="1"/>
  <c r="A169" i="88" s="1"/>
  <c r="A170" i="88" s="1"/>
  <c r="A171" i="88" s="1"/>
  <c r="A172" i="88" s="1"/>
  <c r="A173" i="88" s="1"/>
  <c r="A174" i="88" s="1"/>
  <c r="A175" i="88" s="1"/>
  <c r="A176" i="88" s="1"/>
  <c r="B4" i="88"/>
  <c r="B5" i="88" l="1"/>
  <c r="B6" i="88" l="1"/>
  <c r="B7" i="88" l="1"/>
  <c r="B8" i="88" l="1"/>
  <c r="B9" i="88" l="1"/>
  <c r="B10" i="88" l="1"/>
  <c r="B12" i="88" s="1"/>
  <c r="B13" i="88" l="1"/>
  <c r="B14" i="88" s="1"/>
  <c r="B15" i="88" s="1"/>
  <c r="B16" i="88" s="1"/>
  <c r="B17" i="88" s="1"/>
  <c r="B18" i="88" s="1"/>
  <c r="B19" i="88" l="1"/>
  <c r="B20" i="88" s="1"/>
  <c r="B21" i="88" s="1"/>
  <c r="B22" i="88" s="1"/>
  <c r="B23" i="88" s="1"/>
  <c r="B24" i="88" s="1"/>
  <c r="B25" i="88" s="1"/>
  <c r="B26" i="88" s="1"/>
  <c r="B27" i="88" s="1"/>
  <c r="B28" i="88" s="1"/>
  <c r="B30" i="88" s="1"/>
  <c r="B31" i="88" s="1"/>
  <c r="B32" i="88" s="1"/>
  <c r="B33" i="88" s="1"/>
  <c r="B34" i="88" s="1"/>
  <c r="B35" i="88" s="1"/>
  <c r="B36" i="88" s="1"/>
  <c r="B38" i="88" s="1"/>
  <c r="B39" i="88" s="1"/>
  <c r="B40" i="88" s="1"/>
  <c r="B41" i="88" s="1"/>
  <c r="B42" i="88" l="1"/>
  <c r="B43" i="88" s="1"/>
  <c r="B44" i="88" s="1"/>
  <c r="B45" i="88" s="1"/>
  <c r="B46" i="88" s="1"/>
  <c r="B47" i="88" s="1"/>
  <c r="B48" i="88" s="1"/>
  <c r="B49" i="88" s="1"/>
  <c r="B50" i="88" s="1"/>
  <c r="B52" i="88" s="1"/>
  <c r="B53" i="88" s="1"/>
  <c r="B54" i="88" s="1"/>
  <c r="B55" i="88" s="1"/>
  <c r="B56" i="88" s="1"/>
  <c r="B57" i="88" s="1"/>
  <c r="B58" i="88" s="1"/>
  <c r="B59" i="88" s="1"/>
  <c r="B60" i="88" s="1"/>
  <c r="B61" i="88" s="1"/>
  <c r="B62" i="88" s="1"/>
  <c r="B63" i="88" s="1"/>
  <c r="B64" i="88" s="1"/>
  <c r="B65" i="88" s="1"/>
  <c r="B66" i="88" s="1"/>
  <c r="B67" i="88" s="1"/>
  <c r="B68" i="88" s="1"/>
  <c r="B69" i="88" s="1"/>
  <c r="B70" i="88" s="1"/>
  <c r="B71" i="88" s="1"/>
  <c r="B72" i="88" s="1"/>
  <c r="B75" i="88" s="1"/>
  <c r="B77" i="88" s="1"/>
  <c r="B78" i="88" s="1"/>
  <c r="B79" i="88" s="1"/>
  <c r="B80" i="88" s="1"/>
  <c r="B81" i="88" s="1"/>
  <c r="B82" i="88" s="1"/>
  <c r="B83" i="88" s="1"/>
  <c r="B84" i="88" s="1"/>
  <c r="B85" i="88" s="1"/>
  <c r="B86" i="88" s="1"/>
  <c r="B87" i="88" s="1"/>
  <c r="B88" i="88" s="1"/>
  <c r="B89" i="88" s="1"/>
  <c r="B90" i="88" s="1"/>
  <c r="B91" i="88" s="1"/>
  <c r="B92" i="88" s="1"/>
  <c r="B94" i="88" s="1"/>
  <c r="B95" i="88" s="1"/>
  <c r="B96" i="88" s="1"/>
  <c r="B97" i="88" s="1"/>
  <c r="B98" i="88" s="1"/>
  <c r="B99" i="88" s="1"/>
  <c r="B101" i="88" s="1"/>
  <c r="B102" i="88" s="1"/>
  <c r="B103" i="88" s="1"/>
  <c r="B104" i="88" s="1"/>
  <c r="B105" i="88" s="1"/>
  <c r="B106" i="88" s="1"/>
  <c r="B107" i="88" s="1"/>
  <c r="B108" i="88" s="1"/>
  <c r="B109" i="88" s="1"/>
  <c r="B110" i="88" s="1"/>
  <c r="B111" i="88" s="1"/>
  <c r="B112" i="88" s="1"/>
  <c r="B113" i="88" s="1"/>
  <c r="B114" i="88" s="1"/>
  <c r="B115" i="88" s="1"/>
  <c r="B116" i="88" s="1"/>
  <c r="B118" i="88" s="1"/>
  <c r="B119" i="88" s="1"/>
  <c r="B120" i="88" s="1"/>
  <c r="B121" i="88" s="1"/>
  <c r="B122" i="88" s="1"/>
  <c r="B123" i="88" s="1"/>
  <c r="B124" i="88" s="1"/>
  <c r="B125" i="88" s="1"/>
  <c r="B126" i="88" s="1"/>
  <c r="B127" i="88" s="1"/>
  <c r="B128" i="88" s="1"/>
  <c r="B129" i="88" s="1"/>
  <c r="B130" i="88" s="1"/>
  <c r="B131" i="88" s="1"/>
  <c r="B132" i="88" s="1"/>
  <c r="B133" i="88" s="1"/>
  <c r="B134" i="88" s="1"/>
  <c r="B135" i="88" s="1"/>
  <c r="B136" i="88" s="1"/>
  <c r="B137" i="88" s="1"/>
  <c r="B138" i="88" s="1"/>
  <c r="B139" i="88" s="1"/>
  <c r="B140" i="88" s="1"/>
  <c r="B141" i="88" s="1"/>
  <c r="B142" i="88" s="1"/>
  <c r="B143" i="88" s="1"/>
  <c r="B144" i="88" s="1"/>
  <c r="B146" i="88" s="1"/>
  <c r="B147" i="88" s="1"/>
  <c r="B148" i="88" s="1"/>
  <c r="B149" i="88" s="1"/>
  <c r="B150" i="88" s="1"/>
  <c r="B151" i="88" s="1"/>
  <c r="B152" i="88" s="1"/>
  <c r="B153" i="88" s="1"/>
  <c r="B154" i="88" s="1"/>
  <c r="B155" i="88" s="1"/>
  <c r="A4" i="84"/>
  <c r="A3" i="84"/>
  <c r="A5" i="84"/>
  <c r="A3" i="80"/>
  <c r="A4" i="80"/>
  <c r="A5" i="80"/>
  <c r="A4" i="74"/>
  <c r="A3" i="74"/>
  <c r="A5" i="74"/>
  <c r="A3" i="78"/>
  <c r="A4" i="78"/>
  <c r="A5" i="78"/>
  <c r="A4" i="76"/>
  <c r="A3" i="76"/>
  <c r="A5" i="76"/>
  <c r="A4" i="58"/>
  <c r="A3" i="58"/>
  <c r="A5" i="58"/>
  <c r="A5" i="86"/>
  <c r="A4" i="86"/>
  <c r="A3" i="86"/>
  <c r="M4" i="58"/>
  <c r="B3" i="58"/>
  <c r="M4" i="76"/>
  <c r="B3" i="76"/>
  <c r="B4" i="78"/>
  <c r="M4" i="78"/>
  <c r="B3" i="78"/>
  <c r="M4" i="74"/>
  <c r="B3" i="74"/>
  <c r="M4" i="84"/>
  <c r="B3" i="84"/>
  <c r="B4" i="74" l="1"/>
  <c r="B156" i="88"/>
  <c r="B157" i="88" s="1"/>
  <c r="B158" i="88" s="1"/>
  <c r="B159" i="88" s="1"/>
  <c r="B160" i="88" s="1"/>
  <c r="B161" i="88" s="1"/>
  <c r="B162" i="88" s="1"/>
  <c r="B163" i="88" s="1"/>
  <c r="B164" i="88" s="1"/>
  <c r="B165" i="88" s="1"/>
  <c r="B166" i="88" s="1"/>
  <c r="B167" i="88" s="1"/>
  <c r="B168" i="88" s="1"/>
  <c r="B169" i="88" s="1"/>
  <c r="B170" i="88" s="1"/>
  <c r="B171" i="88" s="1"/>
  <c r="B172" i="88" s="1"/>
  <c r="B173" i="88" s="1"/>
  <c r="B174" i="88" s="1"/>
  <c r="B175" i="88" s="1"/>
  <c r="B176" i="88" s="1"/>
  <c r="B4" i="58"/>
  <c r="B4" i="76"/>
  <c r="B5" i="78"/>
  <c r="B5" i="74"/>
  <c r="B4" i="84"/>
  <c r="R196" i="86"/>
  <c r="B178" i="88" l="1"/>
  <c r="B5" i="58"/>
  <c r="B5" i="76"/>
  <c r="B5" i="84"/>
  <c r="R144" i="86"/>
  <c r="R143" i="86"/>
  <c r="H2" i="87" l="1" a="1"/>
  <c r="H2" i="87" s="1"/>
  <c r="A149" i="86" l="1"/>
  <c r="A144" i="86"/>
  <c r="A143" i="86"/>
  <c r="A148" i="86"/>
  <c r="A142" i="86"/>
  <c r="A141" i="86"/>
  <c r="M4" i="86" l="1"/>
  <c r="B3" i="86"/>
  <c r="B4" i="86" l="1"/>
  <c r="B5" i="86" s="1"/>
  <c r="B6" i="86"/>
  <c r="B7" i="86" s="1"/>
  <c r="B3" i="80"/>
  <c r="M4" i="80"/>
  <c r="B4" i="80" l="1"/>
  <c r="B5" i="80" s="1"/>
  <c r="B8" i="86"/>
  <c r="B9" i="86"/>
  <c r="B6" i="80" l="1"/>
  <c r="B10" i="86"/>
  <c r="B7" i="80" l="1"/>
  <c r="R69" i="84"/>
  <c r="B8" i="80" l="1"/>
  <c r="A68" i="84"/>
  <c r="A69" i="84"/>
  <c r="A113" i="76"/>
  <c r="A111" i="76"/>
  <c r="A112" i="76"/>
  <c r="A110" i="76"/>
  <c r="A142" i="58"/>
  <c r="A141" i="58"/>
  <c r="B9" i="80" l="1"/>
  <c r="B10" i="80" s="1"/>
  <c r="A168" i="86" a="1"/>
  <c r="A168" i="86" s="1"/>
  <c r="A169" i="86" s="1"/>
  <c r="A171" i="86" s="1"/>
  <c r="A173" i="86" l="1"/>
  <c r="A174" i="86" s="1"/>
  <c r="A175" i="86" s="1"/>
  <c r="A176" i="86" s="1"/>
  <c r="A177" i="86" s="1"/>
  <c r="A178" i="86" s="1"/>
  <c r="A179" i="86" s="1"/>
  <c r="A180" i="86" s="1"/>
  <c r="A181" i="86" s="1"/>
  <c r="A182" i="86" s="1"/>
  <c r="A183" i="86" s="1"/>
  <c r="A184" i="86" s="1"/>
  <c r="A185" i="86" s="1"/>
  <c r="A186" i="86" s="1"/>
  <c r="A187" i="86" s="1"/>
  <c r="A188" i="86" s="1"/>
  <c r="A189" i="86" s="1"/>
  <c r="A190" i="86" s="1"/>
  <c r="A191" i="86" s="1"/>
  <c r="A192" i="86" s="1"/>
  <c r="A193" i="86" s="1"/>
  <c r="A194" i="86" s="1"/>
  <c r="A195" i="86" s="1"/>
  <c r="A196" i="86" s="1"/>
  <c r="A197" i="86" s="1"/>
  <c r="A198" i="86" s="1"/>
  <c r="A199" i="86" s="1"/>
  <c r="A172" i="86"/>
  <c r="R195" i="86" l="1"/>
  <c r="R147" i="86"/>
  <c r="R150" i="86"/>
  <c r="R142" i="86"/>
  <c r="R141" i="86"/>
  <c r="R140" i="86"/>
  <c r="R118" i="86"/>
  <c r="R119" i="86"/>
  <c r="R116" i="86"/>
  <c r="R117" i="86"/>
  <c r="R115" i="86"/>
  <c r="R108" i="86"/>
  <c r="R107" i="86"/>
  <c r="R106" i="86"/>
  <c r="R148" i="84" l="1"/>
  <c r="R147" i="84"/>
  <c r="R146" i="84"/>
  <c r="R70" i="84" l="1"/>
  <c r="R185" i="84" l="1"/>
  <c r="R186" i="84"/>
  <c r="R187" i="84"/>
  <c r="R188" i="84"/>
  <c r="R189" i="84"/>
  <c r="R184" i="84"/>
  <c r="R139" i="84"/>
  <c r="R138" i="84"/>
  <c r="R145" i="84"/>
  <c r="R197" i="84"/>
  <c r="H2" i="85" a="1"/>
  <c r="H2" i="85" s="1"/>
  <c r="H2" i="75" l="1" a="1"/>
  <c r="H2" i="75" s="1"/>
  <c r="H2" i="81" a="1"/>
  <c r="H2" i="81" s="1"/>
  <c r="R165" i="80" l="1"/>
  <c r="R158" i="80"/>
  <c r="R159" i="80"/>
  <c r="R160" i="80"/>
  <c r="R161" i="80"/>
  <c r="R162" i="80"/>
  <c r="R163" i="80"/>
  <c r="R157" i="80"/>
  <c r="R131" i="80"/>
  <c r="R132" i="80"/>
  <c r="R133" i="80"/>
  <c r="R134" i="80"/>
  <c r="R130" i="80"/>
  <c r="R126" i="80"/>
  <c r="R125" i="80"/>
  <c r="R124" i="80"/>
  <c r="R123" i="80"/>
  <c r="R122" i="80"/>
  <c r="R142" i="74" l="1"/>
  <c r="R136" i="74" l="1"/>
  <c r="R137" i="74"/>
  <c r="R138" i="74"/>
  <c r="R139" i="74"/>
  <c r="R140" i="74"/>
  <c r="R135" i="74"/>
  <c r="R107" i="74"/>
  <c r="R108" i="74"/>
  <c r="R109" i="74"/>
  <c r="R106" i="74"/>
  <c r="R102" i="74"/>
  <c r="R101" i="74"/>
  <c r="R100" i="74"/>
  <c r="R99" i="74"/>
  <c r="R128" i="76" l="1"/>
  <c r="R129" i="76"/>
  <c r="R130" i="76"/>
  <c r="R131" i="76"/>
  <c r="R127" i="76"/>
  <c r="R117" i="76"/>
  <c r="R116" i="76"/>
  <c r="R115" i="76"/>
  <c r="R228" i="58" l="1"/>
  <c r="R229" i="58"/>
  <c r="R227" i="58"/>
  <c r="R183" i="58"/>
  <c r="R184" i="58"/>
  <c r="R185" i="58"/>
  <c r="R186" i="58"/>
  <c r="R187" i="58"/>
  <c r="R188" i="58"/>
  <c r="R192" i="58"/>
  <c r="R182" i="58"/>
  <c r="R170" i="58"/>
  <c r="R171" i="58"/>
  <c r="R169" i="58"/>
  <c r="R168" i="58"/>
  <c r="R167" i="58"/>
  <c r="R146" i="58"/>
  <c r="R145" i="58"/>
  <c r="R144" i="58"/>
  <c r="H2" i="73" a="1"/>
  <c r="H2" i="73" s="1"/>
  <c r="A200" i="86" l="1"/>
  <c r="A201" i="86" s="1"/>
  <c r="A202" i="86" s="1"/>
  <c r="A203" i="86" s="1"/>
  <c r="A204" i="86" s="1"/>
  <c r="A206" i="86" s="1"/>
  <c r="A207" i="86" s="1"/>
  <c r="A208" i="86" s="1"/>
  <c r="A209" i="86" s="1"/>
  <c r="A210" i="86" s="1"/>
  <c r="A211" i="86" s="1"/>
  <c r="A212" i="86" s="1"/>
  <c r="A213" i="86" s="1"/>
  <c r="A214" i="86" s="1"/>
  <c r="DR2" i="87"/>
  <c r="R194" i="86" l="1"/>
  <c r="I2" i="87" l="1"/>
  <c r="BB2" i="87" s="1"/>
  <c r="DP2" i="87"/>
  <c r="DQ2" i="87"/>
  <c r="FQ2" i="87"/>
  <c r="FR2" i="87"/>
  <c r="FS2" i="87"/>
  <c r="FU2" i="87"/>
  <c r="GN2" i="87"/>
  <c r="R190" i="86"/>
  <c r="R189" i="86"/>
  <c r="R188" i="86"/>
  <c r="J96" i="86"/>
  <c r="J89" i="86"/>
  <c r="J28" i="86"/>
  <c r="J20" i="86"/>
  <c r="AX2" i="87" l="1"/>
  <c r="AW2" i="87"/>
  <c r="AZ2" i="87" s="1"/>
  <c r="AV2" i="87"/>
  <c r="BA2" i="87" l="1"/>
  <c r="FG2" i="87"/>
  <c r="AY2" i="87"/>
  <c r="FH2" i="87"/>
  <c r="FI2" i="87" s="1"/>
  <c r="FJ2" i="87" s="1"/>
  <c r="FK2" i="87" s="1"/>
  <c r="FL2" i="87" s="1"/>
  <c r="FM2" i="87" s="1"/>
  <c r="FN2" i="87" s="1"/>
  <c r="FO2" i="87" s="1"/>
  <c r="FP2" i="87" s="1"/>
  <c r="R73" i="84" l="1"/>
  <c r="R68" i="84"/>
  <c r="R61" i="84"/>
  <c r="R52" i="84" l="1"/>
  <c r="B12" i="86" l="1"/>
  <c r="B13" i="86"/>
  <c r="R237" i="84"/>
  <c r="FW2" i="85"/>
  <c r="B14" i="86" l="1"/>
  <c r="B15" i="86" s="1"/>
  <c r="B16" i="86" l="1"/>
  <c r="A221" i="80" a="1"/>
  <c r="A221" i="80" s="1"/>
  <c r="B17" i="86" l="1"/>
  <c r="B18" i="86" s="1"/>
  <c r="B19" i="86" s="1"/>
  <c r="B20" i="86" s="1"/>
  <c r="B21" i="86" s="1"/>
  <c r="B22" i="86" s="1"/>
  <c r="B23" i="86" s="1"/>
  <c r="B24" i="86" s="1"/>
  <c r="B25" i="86" s="1"/>
  <c r="B26" i="86" s="1"/>
  <c r="B27" i="86" s="1"/>
  <c r="B28" i="86" s="1"/>
  <c r="B29" i="86" s="1"/>
  <c r="B30" i="86" s="1"/>
  <c r="B31" i="86" s="1"/>
  <c r="B33" i="86" s="1"/>
  <c r="B34" i="86" s="1"/>
  <c r="B35" i="86" s="1"/>
  <c r="B36" i="86" s="1"/>
  <c r="B37" i="86" s="1"/>
  <c r="B38" i="86" s="1"/>
  <c r="A258" i="84" a="1"/>
  <c r="A258" i="84" s="1"/>
  <c r="A259" i="84" s="1"/>
  <c r="A261" i="84" s="1"/>
  <c r="A262" i="84" s="1"/>
  <c r="A263" i="84" s="1"/>
  <c r="A264" i="84" s="1"/>
  <c r="A265" i="84" s="1"/>
  <c r="A266" i="84" s="1"/>
  <c r="A267" i="84" s="1"/>
  <c r="A268" i="84" s="1"/>
  <c r="A269" i="84" s="1"/>
  <c r="A270" i="84" s="1"/>
  <c r="A271" i="84" s="1"/>
  <c r="A272" i="84" s="1"/>
  <c r="A273" i="84" s="1"/>
  <c r="A274" i="84" s="1"/>
  <c r="A275" i="84" s="1"/>
  <c r="A276" i="84" s="1"/>
  <c r="A277" i="84" s="1"/>
  <c r="A278" i="84" s="1"/>
  <c r="A279" i="84" s="1"/>
  <c r="A280" i="84" s="1"/>
  <c r="A281" i="84" s="1"/>
  <c r="A282" i="84" s="1"/>
  <c r="A283" i="84" s="1"/>
  <c r="A284" i="84" s="1"/>
  <c r="A299" i="84" s="1"/>
  <c r="A300" i="84" s="1"/>
  <c r="A301" i="84" s="1"/>
  <c r="A302" i="84" s="1"/>
  <c r="A303" i="84" s="1"/>
  <c r="A304" i="84" s="1"/>
  <c r="A306" i="84" s="1"/>
  <c r="A307" i="84" s="1"/>
  <c r="A308" i="84" s="1"/>
  <c r="A309" i="84" s="1"/>
  <c r="A227" i="84"/>
  <c r="A40" i="84"/>
  <c r="A17" i="84"/>
  <c r="B39" i="86" l="1"/>
  <c r="A18" i="84"/>
  <c r="A196" i="80"/>
  <c r="A19" i="84"/>
  <c r="A20" i="84" s="1"/>
  <c r="A21" i="84" s="1"/>
  <c r="A22" i="84" s="1"/>
  <c r="A23" i="84" s="1"/>
  <c r="A257" i="80"/>
  <c r="A222" i="80"/>
  <c r="A224" i="80" s="1"/>
  <c r="A225" i="80" s="1"/>
  <c r="A226" i="80" s="1"/>
  <c r="A227" i="80" s="1"/>
  <c r="A228" i="80" s="1"/>
  <c r="A229" i="80" s="1"/>
  <c r="A230" i="80" s="1"/>
  <c r="A231" i="80" s="1"/>
  <c r="A232" i="80" s="1"/>
  <c r="A233" i="80" s="1"/>
  <c r="A234" i="80" s="1"/>
  <c r="A235" i="80" s="1"/>
  <c r="A236" i="80" s="1"/>
  <c r="A237" i="80" s="1"/>
  <c r="A238" i="80" s="1"/>
  <c r="A239" i="80" s="1"/>
  <c r="A240" i="80" s="1"/>
  <c r="A241" i="80" s="1"/>
  <c r="A242" i="80" s="1"/>
  <c r="A243" i="80" s="1"/>
  <c r="A244" i="80" s="1"/>
  <c r="A245" i="80" s="1"/>
  <c r="A197" i="74" a="1"/>
  <c r="A197" i="74" s="1"/>
  <c r="A249" i="80"/>
  <c r="A150" i="80"/>
  <c r="A144" i="80"/>
  <c r="A172" i="74"/>
  <c r="A246" i="80" l="1"/>
  <c r="A198" i="74"/>
  <c r="A174" i="78" a="1"/>
  <c r="A174" i="78" s="1"/>
  <c r="A149" i="78"/>
  <c r="A200" i="74" l="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B41" i="86"/>
  <c r="A250" i="80"/>
  <c r="A251" i="80" s="1"/>
  <c r="A252" i="80" s="1"/>
  <c r="A247" i="80"/>
  <c r="H2" i="79" a="1"/>
  <c r="H2" i="79" s="1"/>
  <c r="B42" i="86" l="1"/>
  <c r="A255" i="80"/>
  <c r="A224" i="78"/>
  <c r="A225" i="78" s="1"/>
  <c r="A226" i="78" s="1"/>
  <c r="A219" i="78"/>
  <c r="A220" i="78" s="1"/>
  <c r="A221" i="78" s="1"/>
  <c r="A175" i="78"/>
  <c r="A198" i="78"/>
  <c r="A168" i="76"/>
  <c r="A192" i="76"/>
  <c r="A58" i="78"/>
  <c r="A41" i="78"/>
  <c r="B43" i="86" l="1"/>
  <c r="A259" i="80"/>
  <c r="A260" i="80" s="1"/>
  <c r="A261" i="80" s="1"/>
  <c r="A262" i="80" s="1"/>
  <c r="A263" i="80" s="1"/>
  <c r="A265" i="80" s="1"/>
  <c r="A266" i="80" s="1"/>
  <c r="A267" i="80" s="1"/>
  <c r="A268" i="80" s="1"/>
  <c r="A256" i="80"/>
  <c r="A198" i="76"/>
  <c r="A199" i="76" s="1"/>
  <c r="A200" i="76" s="1"/>
  <c r="A201" i="76" s="1"/>
  <c r="A202" i="76" s="1"/>
  <c r="A203" i="76" s="1"/>
  <c r="A204" i="76" s="1"/>
  <c r="A205" i="76" s="1"/>
  <c r="A212" i="76" s="1"/>
  <c r="A213" i="76" s="1"/>
  <c r="A214" i="76" s="1"/>
  <c r="A215" i="76" s="1"/>
  <c r="A216" i="76" s="1"/>
  <c r="A217" i="76" s="1"/>
  <c r="A218" i="76" s="1"/>
  <c r="A219" i="76" s="1"/>
  <c r="A220" i="76" s="1"/>
  <c r="A221" i="76" s="1"/>
  <c r="A222" i="76" s="1"/>
  <c r="A229" i="76" s="1"/>
  <c r="A230" i="76" s="1"/>
  <c r="A251" i="58"/>
  <c r="A221" i="58"/>
  <c r="B44" i="86" l="1"/>
  <c r="A193" i="76"/>
  <c r="A195" i="76"/>
  <c r="A196" i="76" s="1"/>
  <c r="A197" i="76" s="1"/>
  <c r="A257" i="58"/>
  <c r="A258" i="58" s="1"/>
  <c r="A283" i="58"/>
  <c r="A286" i="58"/>
  <c r="A289" i="58"/>
  <c r="H2" i="77" a="1"/>
  <c r="H2" i="77" s="1"/>
  <c r="B9" i="20"/>
  <c r="R228" i="84"/>
  <c r="R227" i="84"/>
  <c r="A39" i="84"/>
  <c r="A192" i="80"/>
  <c r="M149" i="88" l="1"/>
  <c r="B3" i="20"/>
  <c r="M202" i="86"/>
  <c r="M208" i="86"/>
  <c r="M205" i="86"/>
  <c r="M214" i="86"/>
  <c r="M174" i="86"/>
  <c r="M211" i="86"/>
  <c r="A252" i="58"/>
  <c r="A254" i="58"/>
  <c r="A255" i="58" s="1"/>
  <c r="A256" i="58" s="1"/>
  <c r="A292" i="84"/>
  <c r="A293" i="84" s="1"/>
  <c r="A294" i="84" s="1"/>
  <c r="A295" i="84" s="1"/>
  <c r="A296" i="84" s="1"/>
  <c r="A297" i="84" s="1"/>
  <c r="A298" i="84" s="1"/>
  <c r="A285" i="84"/>
  <c r="A286" i="84" s="1"/>
  <c r="A287" i="84" s="1"/>
  <c r="A288" i="84" s="1"/>
  <c r="A289" i="84" s="1"/>
  <c r="A290" i="84" s="1"/>
  <c r="A291" i="84" s="1"/>
  <c r="A224" i="84"/>
  <c r="A225" i="84" s="1"/>
  <c r="A226" i="84" s="1"/>
  <c r="A228" i="84"/>
  <c r="A229" i="84" s="1"/>
  <c r="B45" i="86" l="1"/>
  <c r="R258" i="80"/>
  <c r="B46" i="86" l="1"/>
  <c r="A258" i="80"/>
  <c r="A254" i="80"/>
  <c r="A253" i="80"/>
  <c r="A248" i="80"/>
  <c r="A169" i="74"/>
  <c r="R197" i="80"/>
  <c r="R196" i="80"/>
  <c r="R192" i="80"/>
  <c r="R191" i="80"/>
  <c r="A197" i="80"/>
  <c r="A198" i="80" s="1"/>
  <c r="A199" i="80" s="1"/>
  <c r="A193" i="80"/>
  <c r="A194" i="80" s="1"/>
  <c r="A195" i="80" s="1"/>
  <c r="A143" i="80"/>
  <c r="R150" i="80"/>
  <c r="R149" i="80"/>
  <c r="A149" i="80"/>
  <c r="R144" i="80"/>
  <c r="R143" i="80"/>
  <c r="B47" i="86" l="1"/>
  <c r="R173" i="74"/>
  <c r="R172" i="74"/>
  <c r="R169" i="74"/>
  <c r="A173" i="74"/>
  <c r="A174" i="74" s="1"/>
  <c r="A170" i="74"/>
  <c r="A171" i="74" s="1"/>
  <c r="A52" i="78"/>
  <c r="B48" i="86" l="1"/>
  <c r="R218" i="78"/>
  <c r="R197" i="78"/>
  <c r="R190" i="78"/>
  <c r="R189" i="78"/>
  <c r="R188" i="78"/>
  <c r="B49" i="86" l="1"/>
  <c r="A199" i="78"/>
  <c r="A200" i="78" s="1"/>
  <c r="A201" i="78" s="1"/>
  <c r="A202" i="78" s="1"/>
  <c r="A203" i="78" s="1"/>
  <c r="A204" i="78" s="1"/>
  <c r="A205" i="78" s="1"/>
  <c r="A206" i="78" s="1"/>
  <c r="A207" i="78" s="1"/>
  <c r="A208" i="78" s="1"/>
  <c r="A209" i="78" s="1"/>
  <c r="A210" i="78" s="1"/>
  <c r="A211" i="78" s="1"/>
  <c r="A212" i="78" s="1"/>
  <c r="A213" i="78" s="1"/>
  <c r="A214" i="78" s="1"/>
  <c r="A215" i="78" s="1"/>
  <c r="A216" i="78" s="1"/>
  <c r="A217" i="78" s="1"/>
  <c r="A218" i="78" s="1"/>
  <c r="A177" i="78"/>
  <c r="A178" i="78" s="1"/>
  <c r="A179" i="78" s="1"/>
  <c r="A180" i="78" s="1"/>
  <c r="A181" i="78" s="1"/>
  <c r="A182" i="78" s="1"/>
  <c r="A183" i="78" s="1"/>
  <c r="A184" i="78" s="1"/>
  <c r="A185" i="78" s="1"/>
  <c r="A186" i="78" s="1"/>
  <c r="A187" i="78" s="1"/>
  <c r="A188" i="78" s="1"/>
  <c r="A189" i="78" s="1"/>
  <c r="A190" i="78" s="1"/>
  <c r="A191" i="78" s="1"/>
  <c r="A192" i="78" s="1"/>
  <c r="A193" i="78" s="1"/>
  <c r="A194" i="78" s="1"/>
  <c r="A195" i="78" s="1"/>
  <c r="A196" i="78" s="1"/>
  <c r="A197" i="78" s="1"/>
  <c r="A165" i="76"/>
  <c r="R151" i="78"/>
  <c r="R150" i="78"/>
  <c r="R149" i="78"/>
  <c r="A150" i="78"/>
  <c r="A151" i="78" s="1"/>
  <c r="A152" i="78" s="1"/>
  <c r="A153" i="78" s="1"/>
  <c r="A144" i="78"/>
  <c r="A145" i="78" s="1"/>
  <c r="A146" i="78" s="1"/>
  <c r="A147" i="78" s="1"/>
  <c r="A148" i="78" s="1"/>
  <c r="B50" i="86" l="1"/>
  <c r="R60" i="78"/>
  <c r="R59" i="78"/>
  <c r="R53" i="78"/>
  <c r="R58" i="78"/>
  <c r="R52" i="78"/>
  <c r="B51" i="86" l="1"/>
  <c r="B52" i="86" s="1"/>
  <c r="B53" i="86" s="1"/>
  <c r="B54" i="86" s="1"/>
  <c r="A59" i="78"/>
  <c r="A60" i="78" s="1"/>
  <c r="A61" i="78" s="1"/>
  <c r="A62" i="78" s="1"/>
  <c r="A63" i="78" s="1"/>
  <c r="A53" i="78"/>
  <c r="A54" i="78" s="1"/>
  <c r="A55" i="78" s="1"/>
  <c r="A56" i="78" s="1"/>
  <c r="A57" i="78" s="1"/>
  <c r="A37" i="78"/>
  <c r="A38" i="78" s="1"/>
  <c r="A39" i="78" s="1"/>
  <c r="A40" i="78" s="1"/>
  <c r="R43" i="78"/>
  <c r="R42" i="78"/>
  <c r="R41" i="78"/>
  <c r="R37" i="78"/>
  <c r="A42" i="78"/>
  <c r="A43" i="78" s="1"/>
  <c r="A44" i="78" s="1"/>
  <c r="B55" i="86" l="1"/>
  <c r="B56" i="86" s="1"/>
  <c r="B57" i="86" s="1"/>
  <c r="A14" i="78"/>
  <c r="B59" i="86" l="1"/>
  <c r="B60" i="86" s="1"/>
  <c r="B61" i="86" s="1"/>
  <c r="B62" i="86" s="1"/>
  <c r="B63" i="86" s="1"/>
  <c r="B64" i="86" s="1"/>
  <c r="B65" i="86" s="1"/>
  <c r="B66" i="86" s="1"/>
  <c r="B67" i="86" s="1"/>
  <c r="B68" i="86" s="1"/>
  <c r="B69" i="86" s="1"/>
  <c r="B70" i="86" s="1"/>
  <c r="B71" i="86" s="1"/>
  <c r="B72" i="86" s="1"/>
  <c r="A15" i="78"/>
  <c r="B73" i="86" l="1"/>
  <c r="B74" i="86" s="1"/>
  <c r="B75" i="86" s="1"/>
  <c r="B76" i="86" s="1"/>
  <c r="A169" i="76"/>
  <c r="A170" i="76" s="1"/>
  <c r="A166" i="76"/>
  <c r="A167" i="76" s="1"/>
  <c r="A218" i="58"/>
  <c r="R222" i="58"/>
  <c r="R221" i="58"/>
  <c r="R218" i="58"/>
  <c r="R169" i="76"/>
  <c r="R168" i="76"/>
  <c r="R165" i="76"/>
  <c r="B77" i="86" l="1"/>
  <c r="B78" i="86" s="1"/>
  <c r="A288" i="58"/>
  <c r="A285" i="58"/>
  <c r="A282" i="58"/>
  <c r="A219" i="58"/>
  <c r="A220" i="58" s="1"/>
  <c r="A222" i="58"/>
  <c r="A223" i="58" s="1"/>
  <c r="B79" i="86" l="1"/>
  <c r="B80" i="86" s="1"/>
  <c r="R283" i="84"/>
  <c r="R246" i="80"/>
  <c r="R222" i="74"/>
  <c r="R220" i="76"/>
  <c r="B81" i="86" l="1"/>
  <c r="R279" i="58"/>
  <c r="B83" i="86" l="1"/>
  <c r="R219" i="76"/>
  <c r="B84" i="86" l="1"/>
  <c r="B13" i="20"/>
  <c r="C4" i="20"/>
  <c r="B4" i="20"/>
  <c r="B85" i="86" l="1"/>
  <c r="M18" i="84"/>
  <c r="M238" i="78"/>
  <c r="M264" i="80"/>
  <c r="M297" i="58"/>
  <c r="M222" i="78"/>
  <c r="C3" i="20"/>
  <c r="M302" i="58"/>
  <c r="M324" i="84"/>
  <c r="M321" i="84"/>
  <c r="M318" i="84"/>
  <c r="M315" i="84"/>
  <c r="M312" i="84"/>
  <c r="M305" i="84"/>
  <c r="M283" i="80"/>
  <c r="M280" i="80"/>
  <c r="M277" i="80"/>
  <c r="M274" i="80"/>
  <c r="M271" i="80"/>
  <c r="M243" i="74"/>
  <c r="M240" i="74"/>
  <c r="M237" i="74"/>
  <c r="M234" i="74"/>
  <c r="M231" i="74"/>
  <c r="M241" i="78"/>
  <c r="M235" i="78"/>
  <c r="M232" i="78"/>
  <c r="M229" i="78"/>
  <c r="M308" i="58"/>
  <c r="M311" i="58"/>
  <c r="M314" i="58"/>
  <c r="M317" i="58"/>
  <c r="B86" i="86" l="1"/>
  <c r="FX2" i="85"/>
  <c r="FV2" i="85"/>
  <c r="FU2" i="85"/>
  <c r="FT2" i="85"/>
  <c r="DR2" i="85"/>
  <c r="DQ2" i="85"/>
  <c r="DP2" i="85"/>
  <c r="I2" i="85"/>
  <c r="BB2" i="85" s="1"/>
  <c r="GN2" i="81"/>
  <c r="FU2" i="81"/>
  <c r="FS2" i="81"/>
  <c r="FR2" i="81"/>
  <c r="FQ2" i="81"/>
  <c r="DR2" i="81"/>
  <c r="DQ2" i="81"/>
  <c r="DP2" i="81"/>
  <c r="I2" i="81"/>
  <c r="AX2" i="81" s="1"/>
  <c r="FU2" i="75"/>
  <c r="FS2" i="75"/>
  <c r="FR2" i="75"/>
  <c r="FQ2" i="75"/>
  <c r="DV2" i="75"/>
  <c r="DU2" i="75"/>
  <c r="DR2" i="75"/>
  <c r="DQ2" i="75"/>
  <c r="DP2" i="75"/>
  <c r="I2" i="75"/>
  <c r="AX2" i="75" s="1"/>
  <c r="FU2" i="79"/>
  <c r="FS2" i="79"/>
  <c r="FR2" i="79"/>
  <c r="FQ2" i="79"/>
  <c r="DR2" i="79"/>
  <c r="DQ2" i="79"/>
  <c r="DP2" i="79"/>
  <c r="I2" i="79"/>
  <c r="AX2" i="79" s="1"/>
  <c r="GM2" i="77"/>
  <c r="FU2" i="77"/>
  <c r="FS2" i="77"/>
  <c r="FR2" i="77"/>
  <c r="FQ2" i="77"/>
  <c r="DR2" i="77"/>
  <c r="DQ2" i="77"/>
  <c r="DP2" i="77"/>
  <c r="I2" i="77"/>
  <c r="BB2" i="77" s="1"/>
  <c r="FU2" i="73"/>
  <c r="FS2" i="73"/>
  <c r="FR2" i="73"/>
  <c r="FQ2" i="73"/>
  <c r="DV2" i="73"/>
  <c r="DU2" i="73"/>
  <c r="DR2" i="73"/>
  <c r="DQ2" i="73"/>
  <c r="DP2" i="73"/>
  <c r="I2" i="73"/>
  <c r="BB2" i="73" s="1"/>
  <c r="R299" i="84"/>
  <c r="R282" i="84"/>
  <c r="R278" i="84"/>
  <c r="R277" i="84"/>
  <c r="R276" i="84"/>
  <c r="R225" i="84"/>
  <c r="R224" i="84"/>
  <c r="R223" i="84"/>
  <c r="R173" i="84"/>
  <c r="R168" i="84"/>
  <c r="R163" i="84"/>
  <c r="R137" i="84"/>
  <c r="R136" i="84"/>
  <c r="J129" i="84"/>
  <c r="J122" i="84"/>
  <c r="A95" i="84"/>
  <c r="A96" i="84" s="1"/>
  <c r="A90" i="84"/>
  <c r="A91" i="84" s="1"/>
  <c r="A57" i="84"/>
  <c r="A58" i="84" s="1"/>
  <c r="A44" i="84"/>
  <c r="A45" i="84" s="1"/>
  <c r="A37" i="84"/>
  <c r="A38" i="84" s="1"/>
  <c r="J31" i="84"/>
  <c r="J23" i="84"/>
  <c r="A14" i="84"/>
  <c r="A15" i="84" s="1"/>
  <c r="R257" i="80"/>
  <c r="R245" i="80"/>
  <c r="R241" i="80"/>
  <c r="R240" i="80"/>
  <c r="R239" i="80"/>
  <c r="R193" i="80"/>
  <c r="J115" i="80"/>
  <c r="J108" i="80"/>
  <c r="A84" i="80"/>
  <c r="A85" i="80" s="1"/>
  <c r="A79" i="80"/>
  <c r="A80" i="80" s="1"/>
  <c r="A62" i="80"/>
  <c r="A63" i="80" s="1"/>
  <c r="R57" i="80"/>
  <c r="R52" i="80"/>
  <c r="R47" i="80"/>
  <c r="A40" i="80"/>
  <c r="A41" i="80" s="1"/>
  <c r="A35" i="80"/>
  <c r="A36" i="80" s="1"/>
  <c r="J28" i="80"/>
  <c r="J20" i="80"/>
  <c r="A14" i="80"/>
  <c r="A15" i="80" s="1"/>
  <c r="R227" i="74"/>
  <c r="R221" i="74"/>
  <c r="R217" i="74"/>
  <c r="R216" i="74"/>
  <c r="R215" i="74"/>
  <c r="R170" i="74"/>
  <c r="R168" i="74"/>
  <c r="R128" i="74"/>
  <c r="R123" i="74"/>
  <c r="R118" i="74"/>
  <c r="J93" i="74"/>
  <c r="J86" i="74"/>
  <c r="A42" i="74"/>
  <c r="A43" i="74" s="1"/>
  <c r="A33" i="74"/>
  <c r="A34" i="74" s="1"/>
  <c r="J27" i="74"/>
  <c r="J20" i="74"/>
  <c r="A14" i="74"/>
  <c r="A15" i="74" s="1"/>
  <c r="R211" i="78"/>
  <c r="R210" i="78"/>
  <c r="R209" i="78"/>
  <c r="R146" i="78"/>
  <c r="R145" i="78"/>
  <c r="R144" i="78"/>
  <c r="R127" i="78"/>
  <c r="R126" i="78"/>
  <c r="R125" i="78"/>
  <c r="R119" i="78"/>
  <c r="R118" i="78"/>
  <c r="R117" i="78"/>
  <c r="J112" i="78"/>
  <c r="J104" i="78"/>
  <c r="J99" i="78"/>
  <c r="R54" i="78"/>
  <c r="A49" i="78"/>
  <c r="A50" i="78" s="1"/>
  <c r="R39" i="78"/>
  <c r="R38" i="78"/>
  <c r="A34" i="78"/>
  <c r="A35" i="78" s="1"/>
  <c r="J29" i="78"/>
  <c r="J21" i="78"/>
  <c r="J16" i="78"/>
  <c r="R229" i="76"/>
  <c r="R215" i="76"/>
  <c r="R214" i="76"/>
  <c r="R213" i="76"/>
  <c r="R166" i="76"/>
  <c r="R164" i="76"/>
  <c r="A103" i="76"/>
  <c r="J101" i="76"/>
  <c r="J93" i="76"/>
  <c r="J29" i="76"/>
  <c r="J21" i="76"/>
  <c r="J16" i="76"/>
  <c r="A304" i="58"/>
  <c r="A308" i="58" s="1"/>
  <c r="A310" i="58" s="1"/>
  <c r="A311" i="58" s="1"/>
  <c r="A313" i="58" s="1"/>
  <c r="A314" i="58" s="1"/>
  <c r="A316" i="58" s="1"/>
  <c r="A317" i="58" s="1"/>
  <c r="A303" i="58"/>
  <c r="A307" i="58" s="1"/>
  <c r="A302" i="58"/>
  <c r="A301" i="58"/>
  <c r="R291" i="58"/>
  <c r="R278" i="58"/>
  <c r="R274" i="58"/>
  <c r="R273" i="58"/>
  <c r="R272" i="58"/>
  <c r="R219" i="58"/>
  <c r="R217" i="58"/>
  <c r="R164" i="58"/>
  <c r="R160" i="58"/>
  <c r="R156" i="58"/>
  <c r="A133" i="58"/>
  <c r="J129" i="58"/>
  <c r="J121" i="58"/>
  <c r="R67" i="58"/>
  <c r="R63" i="58"/>
  <c r="R59" i="58"/>
  <c r="A49" i="58"/>
  <c r="A48" i="58"/>
  <c r="A30" i="58"/>
  <c r="A31" i="58" s="1"/>
  <c r="J29" i="58"/>
  <c r="J21" i="58"/>
  <c r="J16" i="58"/>
  <c r="B87" i="86" l="1"/>
  <c r="B6" i="58"/>
  <c r="AW2" i="85"/>
  <c r="AZ2" i="85" s="1"/>
  <c r="AV2" i="85"/>
  <c r="BA2" i="85" s="1"/>
  <c r="AV2" i="81"/>
  <c r="BA2" i="81" s="1"/>
  <c r="AW2" i="81"/>
  <c r="AZ2" i="81" s="1"/>
  <c r="AX2" i="85"/>
  <c r="BB2" i="81"/>
  <c r="AV2" i="75"/>
  <c r="AW2" i="75"/>
  <c r="AZ2" i="75" s="1"/>
  <c r="AW2" i="79"/>
  <c r="AZ2" i="79" s="1"/>
  <c r="BB2" i="79"/>
  <c r="BB2" i="75"/>
  <c r="AV2" i="77"/>
  <c r="BA2" i="77" s="1"/>
  <c r="FG2" i="79"/>
  <c r="FH2" i="79"/>
  <c r="FI2" i="79" s="1"/>
  <c r="FJ2" i="79" s="1"/>
  <c r="FK2" i="79" s="1"/>
  <c r="FL2" i="79" s="1"/>
  <c r="FM2" i="79" s="1"/>
  <c r="FN2" i="79" s="1"/>
  <c r="FO2" i="79" s="1"/>
  <c r="FP2" i="79" s="1"/>
  <c r="FG2" i="75"/>
  <c r="FH2" i="75"/>
  <c r="FI2" i="75" s="1"/>
  <c r="FJ2" i="75" s="1"/>
  <c r="FK2" i="75" s="1"/>
  <c r="FL2" i="75" s="1"/>
  <c r="FM2" i="75" s="1"/>
  <c r="FN2" i="75" s="1"/>
  <c r="FO2" i="75" s="1"/>
  <c r="FP2" i="75" s="1"/>
  <c r="AV2" i="79"/>
  <c r="AW2" i="77"/>
  <c r="AZ2" i="77" s="1"/>
  <c r="AX2" i="77"/>
  <c r="AX2" i="73"/>
  <c r="AW2" i="73"/>
  <c r="AZ2" i="73" s="1"/>
  <c r="AV2" i="73"/>
  <c r="B6" i="84"/>
  <c r="B6" i="74"/>
  <c r="B6" i="78"/>
  <c r="B6" i="76"/>
  <c r="B7" i="76" l="1"/>
  <c r="B88" i="86"/>
  <c r="B7" i="58"/>
  <c r="AY2" i="81"/>
  <c r="FG2" i="81"/>
  <c r="FH2" i="81"/>
  <c r="FI2" i="81" s="1"/>
  <c r="FJ2" i="81" s="1"/>
  <c r="FK2" i="81" s="1"/>
  <c r="FL2" i="81" s="1"/>
  <c r="FM2" i="81" s="1"/>
  <c r="FN2" i="81" s="1"/>
  <c r="FO2" i="81" s="1"/>
  <c r="FP2" i="81" s="1"/>
  <c r="FH2" i="77"/>
  <c r="FI2" i="77" s="1"/>
  <c r="FJ2" i="77" s="1"/>
  <c r="FK2" i="77" s="1"/>
  <c r="FL2" i="77" s="1"/>
  <c r="FM2" i="77" s="1"/>
  <c r="FN2" i="77" s="1"/>
  <c r="FO2" i="77" s="1"/>
  <c r="FP2" i="77" s="1"/>
  <c r="AY2" i="85"/>
  <c r="FK2" i="85"/>
  <c r="FL2" i="85" s="1"/>
  <c r="FM2" i="85" s="1"/>
  <c r="FN2" i="85" s="1"/>
  <c r="FO2" i="85" s="1"/>
  <c r="FP2" i="85" s="1"/>
  <c r="FQ2" i="85" s="1"/>
  <c r="FR2" i="85" s="1"/>
  <c r="FS2" i="85" s="1"/>
  <c r="FJ2" i="85"/>
  <c r="AY2" i="77"/>
  <c r="AY2" i="75"/>
  <c r="BA2" i="75"/>
  <c r="FG2" i="77"/>
  <c r="BA2" i="79"/>
  <c r="AY2" i="79"/>
  <c r="BA2" i="73"/>
  <c r="AY2" i="73"/>
  <c r="FH2" i="73"/>
  <c r="FI2" i="73" s="1"/>
  <c r="FJ2" i="73" s="1"/>
  <c r="FK2" i="73" s="1"/>
  <c r="FL2" i="73" s="1"/>
  <c r="FM2" i="73" s="1"/>
  <c r="FN2" i="73" s="1"/>
  <c r="FO2" i="73" s="1"/>
  <c r="FP2" i="73" s="1"/>
  <c r="FG2" i="73"/>
  <c r="B7" i="84"/>
  <c r="B7" i="74"/>
  <c r="B7" i="78"/>
  <c r="B8" i="76"/>
  <c r="B8" i="58"/>
  <c r="B89" i="86" l="1"/>
  <c r="B8" i="74"/>
  <c r="B8" i="84"/>
  <c r="B9" i="58"/>
  <c r="B8" i="78"/>
  <c r="B9" i="76"/>
  <c r="B90" i="86" l="1"/>
  <c r="B9" i="74"/>
  <c r="B10" i="76"/>
  <c r="B12" i="80"/>
  <c r="B9" i="84"/>
  <c r="B10" i="58"/>
  <c r="B9" i="78"/>
  <c r="B91" i="86" l="1"/>
  <c r="B12" i="76"/>
  <c r="B13" i="76" s="1"/>
  <c r="B10" i="74"/>
  <c r="B13" i="80"/>
  <c r="B12" i="58"/>
  <c r="B10" i="84"/>
  <c r="B10" i="78"/>
  <c r="B12" i="74" l="1"/>
  <c r="B92" i="86"/>
  <c r="B14" i="80"/>
  <c r="B15" i="80" s="1"/>
  <c r="B16" i="80" s="1"/>
  <c r="B13" i="74"/>
  <c r="B13" i="58"/>
  <c r="B12" i="84"/>
  <c r="B12" i="78"/>
  <c r="B14" i="76"/>
  <c r="B93" i="86" l="1"/>
  <c r="B13" i="84"/>
  <c r="B17" i="80"/>
  <c r="B14" i="74"/>
  <c r="B15" i="74"/>
  <c r="B14" i="58"/>
  <c r="B15" i="58" s="1"/>
  <c r="B13" i="78"/>
  <c r="B14" i="78" s="1"/>
  <c r="B15" i="78" s="1"/>
  <c r="B16" i="78" s="1"/>
  <c r="B18" i="80"/>
  <c r="B15" i="76"/>
  <c r="B16" i="74" l="1"/>
  <c r="B94" i="86"/>
  <c r="B17" i="78"/>
  <c r="B14" i="84"/>
  <c r="B15" i="84" s="1"/>
  <c r="B16" i="84" s="1"/>
  <c r="B17" i="84" s="1"/>
  <c r="B18" i="84" s="1"/>
  <c r="B19" i="84" s="1"/>
  <c r="B16" i="58"/>
  <c r="B17" i="58" s="1"/>
  <c r="B18" i="58" s="1"/>
  <c r="B19" i="58" s="1"/>
  <c r="B20" i="58" s="1"/>
  <c r="B21" i="58" s="1"/>
  <c r="B22" i="58" s="1"/>
  <c r="B23" i="58" s="1"/>
  <c r="B24" i="58" s="1"/>
  <c r="B25" i="58" s="1"/>
  <c r="B26" i="58" s="1"/>
  <c r="B27" i="58" s="1"/>
  <c r="B28" i="58" s="1"/>
  <c r="B29" i="58" s="1"/>
  <c r="B30" i="58" s="1"/>
  <c r="B31" i="58" s="1"/>
  <c r="B32" i="58" s="1"/>
  <c r="B33" i="58" s="1"/>
  <c r="B34" i="58" s="1"/>
  <c r="B35" i="58" s="1"/>
  <c r="B36" i="58" s="1"/>
  <c r="B37" i="58" s="1"/>
  <c r="B38" i="58" s="1"/>
  <c r="B39" i="58" s="1"/>
  <c r="B40" i="58" s="1"/>
  <c r="B41" i="58" s="1"/>
  <c r="B42" i="58" s="1"/>
  <c r="B44" i="58" s="1"/>
  <c r="B45" i="58" s="1"/>
  <c r="B46" i="58" s="1"/>
  <c r="B47" i="58" s="1"/>
  <c r="B48" i="58" s="1"/>
  <c r="B49" i="58" s="1"/>
  <c r="B50" i="58" s="1"/>
  <c r="B51" i="58" s="1"/>
  <c r="B52" i="58" s="1"/>
  <c r="B53" i="58" s="1"/>
  <c r="B54" i="58" s="1"/>
  <c r="B55" i="58" s="1"/>
  <c r="B56" i="58" s="1"/>
  <c r="B57" i="58" s="1"/>
  <c r="B58" i="58" s="1"/>
  <c r="B59" i="58" s="1"/>
  <c r="B60" i="58" s="1"/>
  <c r="B61" i="58" s="1"/>
  <c r="B62" i="58" s="1"/>
  <c r="B63" i="58" s="1"/>
  <c r="B64" i="58" s="1"/>
  <c r="B65" i="58" s="1"/>
  <c r="B66" i="58" s="1"/>
  <c r="B67" i="58" s="1"/>
  <c r="B68" i="58" s="1"/>
  <c r="B69" i="58" s="1"/>
  <c r="B70" i="58" s="1"/>
  <c r="B72" i="58" s="1"/>
  <c r="B73" i="58" s="1"/>
  <c r="B74" i="58" s="1"/>
  <c r="B75" i="58" s="1"/>
  <c r="B76" i="58" s="1"/>
  <c r="B77" i="58" s="1"/>
  <c r="B78" i="58" s="1"/>
  <c r="B79" i="58" s="1"/>
  <c r="B80" i="58" s="1"/>
  <c r="B81" i="58" s="1"/>
  <c r="B82" i="58" s="1"/>
  <c r="B83" i="58" s="1"/>
  <c r="B84" i="58" s="1"/>
  <c r="B85" i="58" s="1"/>
  <c r="B86" i="58" s="1"/>
  <c r="B87" i="58" s="1"/>
  <c r="B88" i="58" s="1"/>
  <c r="B89" i="58" s="1"/>
  <c r="B90" i="58" s="1"/>
  <c r="B91" i="58" s="1"/>
  <c r="B92" i="58" s="1"/>
  <c r="B93" i="58" s="1"/>
  <c r="B95" i="58" s="1"/>
  <c r="B96" i="58" s="1"/>
  <c r="B97" i="58" s="1"/>
  <c r="B98" i="58" s="1"/>
  <c r="B99" i="58" s="1"/>
  <c r="B100" i="58" s="1"/>
  <c r="B101" i="58" s="1"/>
  <c r="B102" i="58" s="1"/>
  <c r="B103" i="58" s="1"/>
  <c r="B104" i="58" s="1"/>
  <c r="B105" i="58" s="1"/>
  <c r="B106" i="58" s="1"/>
  <c r="B19" i="80"/>
  <c r="B20" i="80" s="1"/>
  <c r="B21" i="80" s="1"/>
  <c r="B22" i="80" s="1"/>
  <c r="B23" i="80" s="1"/>
  <c r="B24" i="80" s="1"/>
  <c r="B25" i="80" s="1"/>
  <c r="B26" i="80" s="1"/>
  <c r="B27" i="80" s="1"/>
  <c r="B28" i="80" s="1"/>
  <c r="B29" i="80" s="1"/>
  <c r="B30" i="80" s="1"/>
  <c r="B31" i="80" s="1"/>
  <c r="B32" i="80" s="1"/>
  <c r="B34" i="80" s="1"/>
  <c r="B35" i="80" s="1"/>
  <c r="B36" i="80" s="1"/>
  <c r="B37" i="80" s="1"/>
  <c r="B38" i="80" s="1"/>
  <c r="B39" i="80" s="1"/>
  <c r="B40" i="80" s="1"/>
  <c r="B41" i="80" s="1"/>
  <c r="B42" i="80" s="1"/>
  <c r="B43" i="80" s="1"/>
  <c r="B44" i="80" s="1"/>
  <c r="B45" i="80" s="1"/>
  <c r="B46" i="80" s="1"/>
  <c r="B47" i="80" s="1"/>
  <c r="B48" i="80" s="1"/>
  <c r="B49" i="80" s="1"/>
  <c r="B50" i="80" s="1"/>
  <c r="B51" i="80" s="1"/>
  <c r="B52" i="80" s="1"/>
  <c r="B53" i="80" s="1"/>
  <c r="B54" i="80" s="1"/>
  <c r="B55" i="80" s="1"/>
  <c r="B56" i="80" s="1"/>
  <c r="B57" i="80" s="1"/>
  <c r="B58" i="80" s="1"/>
  <c r="B59" i="80" s="1"/>
  <c r="B61" i="80" s="1"/>
  <c r="B62" i="80" s="1"/>
  <c r="B63" i="80" s="1"/>
  <c r="B64" i="80" s="1"/>
  <c r="B65" i="80" s="1"/>
  <c r="B66" i="80" s="1"/>
  <c r="B67" i="80" s="1"/>
  <c r="B68" i="80" s="1"/>
  <c r="B69" i="80" s="1"/>
  <c r="B70" i="80" s="1"/>
  <c r="B71" i="80" s="1"/>
  <c r="B72" i="80" s="1"/>
  <c r="B73" i="80" s="1"/>
  <c r="B74" i="80" s="1"/>
  <c r="B75" i="80" s="1"/>
  <c r="B76" i="80" s="1"/>
  <c r="B78" i="80" s="1"/>
  <c r="B79" i="80" s="1"/>
  <c r="B80" i="80" s="1"/>
  <c r="B81" i="80" s="1"/>
  <c r="B82" i="80" s="1"/>
  <c r="B83" i="80" s="1"/>
  <c r="B84" i="80" s="1"/>
  <c r="B85" i="80" s="1"/>
  <c r="B86" i="80" s="1"/>
  <c r="B87" i="80" s="1"/>
  <c r="B88" i="80" s="1"/>
  <c r="B89" i="80" s="1"/>
  <c r="B90" i="80" s="1"/>
  <c r="B91" i="80" s="1"/>
  <c r="B17" i="74"/>
  <c r="B18" i="78"/>
  <c r="B19" i="78" s="1"/>
  <c r="B20" i="78" s="1"/>
  <c r="B21" i="78" s="1"/>
  <c r="B22" i="78" s="1"/>
  <c r="B23" i="78" s="1"/>
  <c r="B24" i="78" s="1"/>
  <c r="B25" i="78" s="1"/>
  <c r="B26" i="78" s="1"/>
  <c r="B27" i="78" s="1"/>
  <c r="B28" i="78" s="1"/>
  <c r="B29" i="78" s="1"/>
  <c r="B30" i="78" s="1"/>
  <c r="B31" i="78" s="1"/>
  <c r="B33" i="78" s="1"/>
  <c r="B34" i="78" s="1"/>
  <c r="B35" i="78" s="1"/>
  <c r="B36" i="78" s="1"/>
  <c r="B37" i="78" s="1"/>
  <c r="B38" i="78" s="1"/>
  <c r="B39" i="78" s="1"/>
  <c r="B40" i="78" s="1"/>
  <c r="B16" i="76"/>
  <c r="B107" i="58" l="1"/>
  <c r="B108" i="58" s="1"/>
  <c r="B109" i="58" s="1"/>
  <c r="B92" i="80"/>
  <c r="B93" i="80" s="1"/>
  <c r="B94" i="80" s="1"/>
  <c r="B95" i="80" s="1"/>
  <c r="B96" i="80" s="1"/>
  <c r="B97" i="80" s="1"/>
  <c r="B95" i="86"/>
  <c r="B45" i="78"/>
  <c r="B41" i="78"/>
  <c r="B42" i="78" s="1"/>
  <c r="B43" i="78" s="1"/>
  <c r="B18" i="74"/>
  <c r="B19" i="74" s="1"/>
  <c r="B20" i="74" s="1"/>
  <c r="B21" i="74" s="1"/>
  <c r="B22" i="74" s="1"/>
  <c r="B23" i="74" s="1"/>
  <c r="B24" i="74" s="1"/>
  <c r="B25" i="74" s="1"/>
  <c r="B26" i="74" s="1"/>
  <c r="B27" i="74" s="1"/>
  <c r="B28" i="74" s="1"/>
  <c r="B29" i="74" s="1"/>
  <c r="B30" i="74" s="1"/>
  <c r="B32" i="74" s="1"/>
  <c r="B33" i="74" s="1"/>
  <c r="B34" i="74" s="1"/>
  <c r="B35" i="74" s="1"/>
  <c r="B36" i="74" s="1"/>
  <c r="B37" i="74" s="1"/>
  <c r="B38" i="74" s="1"/>
  <c r="B39" i="74" s="1"/>
  <c r="B41" i="74" s="1"/>
  <c r="B42" i="74" s="1"/>
  <c r="B43" i="74" s="1"/>
  <c r="B44" i="74" s="1"/>
  <c r="B45" i="74" s="1"/>
  <c r="B46" i="74" s="1"/>
  <c r="B47" i="74" s="1"/>
  <c r="B48" i="74" s="1"/>
  <c r="B49" i="74" s="1"/>
  <c r="B50" i="74" s="1"/>
  <c r="B51" i="74" s="1"/>
  <c r="B52" i="74" s="1"/>
  <c r="B53" i="74" s="1"/>
  <c r="B54" i="74" s="1"/>
  <c r="B55" i="74" s="1"/>
  <c r="B56" i="74" s="1"/>
  <c r="B58" i="74" s="1"/>
  <c r="B59" i="74" s="1"/>
  <c r="B60" i="74" s="1"/>
  <c r="B61" i="74" s="1"/>
  <c r="B62" i="74" s="1"/>
  <c r="B63" i="74" s="1"/>
  <c r="B64" i="74" s="1"/>
  <c r="B65" i="74" s="1"/>
  <c r="B17" i="76"/>
  <c r="B18" i="76" s="1"/>
  <c r="B19" i="76" s="1"/>
  <c r="B20" i="76" s="1"/>
  <c r="B21" i="76" s="1"/>
  <c r="B22" i="76" s="1"/>
  <c r="B23" i="76" s="1"/>
  <c r="B24" i="76" s="1"/>
  <c r="B25" i="76" s="1"/>
  <c r="B26" i="76" s="1"/>
  <c r="B27" i="76" s="1"/>
  <c r="B28" i="76" s="1"/>
  <c r="B29" i="76" s="1"/>
  <c r="B30" i="76" s="1"/>
  <c r="B31" i="76" s="1"/>
  <c r="B32" i="76" s="1"/>
  <c r="B33" i="76" s="1"/>
  <c r="B34" i="76" s="1"/>
  <c r="B35" i="76" s="1"/>
  <c r="B36" i="76" s="1"/>
  <c r="B37" i="76" s="1"/>
  <c r="B38" i="76" s="1"/>
  <c r="B39" i="76" s="1"/>
  <c r="B40" i="76" s="1"/>
  <c r="B41" i="76" s="1"/>
  <c r="B42" i="76" s="1"/>
  <c r="B44" i="76" s="1"/>
  <c r="B45" i="76" s="1"/>
  <c r="B46" i="76" s="1"/>
  <c r="B47" i="76" s="1"/>
  <c r="B48" i="76" s="1"/>
  <c r="B49" i="76" s="1"/>
  <c r="B51" i="76" s="1"/>
  <c r="B52" i="76" s="1"/>
  <c r="B53" i="76" s="1"/>
  <c r="B54" i="76" s="1"/>
  <c r="B55" i="76" s="1"/>
  <c r="B56" i="76" s="1"/>
  <c r="B57" i="76" s="1"/>
  <c r="B58" i="76" s="1"/>
  <c r="B59" i="76" s="1"/>
  <c r="B60" i="76" s="1"/>
  <c r="B61" i="76" s="1"/>
  <c r="B62" i="76" s="1"/>
  <c r="B63" i="76" s="1"/>
  <c r="B64" i="76" s="1"/>
  <c r="B65" i="76" s="1"/>
  <c r="B66" i="76" s="1"/>
  <c r="B68" i="76" s="1"/>
  <c r="B69" i="76" s="1"/>
  <c r="B70" i="76" s="1"/>
  <c r="B71" i="76" s="1"/>
  <c r="B72" i="76" s="1"/>
  <c r="B73" i="76" s="1"/>
  <c r="B74" i="76" s="1"/>
  <c r="B75" i="76" s="1"/>
  <c r="B76" i="76" s="1"/>
  <c r="B77" i="76" s="1"/>
  <c r="B78" i="76" s="1"/>
  <c r="B79" i="76" s="1"/>
  <c r="B110" i="58" l="1"/>
  <c r="B80" i="76"/>
  <c r="B81" i="76" s="1"/>
  <c r="B82" i="76" s="1"/>
  <c r="B83" i="76" s="1"/>
  <c r="B84" i="76" s="1"/>
  <c r="B66" i="74"/>
  <c r="B67" i="74" s="1"/>
  <c r="B68" i="74" s="1"/>
  <c r="B98" i="80"/>
  <c r="B96" i="86"/>
  <c r="B44" i="78"/>
  <c r="B47" i="78" s="1"/>
  <c r="B48" i="78" s="1"/>
  <c r="B49" i="78" s="1"/>
  <c r="B50" i="78" s="1"/>
  <c r="B51" i="78" s="1"/>
  <c r="B52" i="78" s="1"/>
  <c r="B53" i="78" s="1"/>
  <c r="B54" i="78" s="1"/>
  <c r="B55" i="78" s="1"/>
  <c r="B56" i="78" s="1"/>
  <c r="B57" i="78" s="1"/>
  <c r="B20" i="84"/>
  <c r="B85" i="76" l="1"/>
  <c r="B111" i="58"/>
  <c r="B86" i="76"/>
  <c r="B69" i="74"/>
  <c r="B99" i="80"/>
  <c r="B97" i="86"/>
  <c r="B58" i="78"/>
  <c r="B59" i="78" s="1"/>
  <c r="B60" i="78" s="1"/>
  <c r="B61" i="78" s="1"/>
  <c r="B62" i="78" s="1"/>
  <c r="B63" i="78" s="1"/>
  <c r="B64" i="78" s="1"/>
  <c r="B21" i="84"/>
  <c r="B112" i="58" l="1"/>
  <c r="B88" i="76"/>
  <c r="B89" i="76" s="1"/>
  <c r="B90" i="76" s="1"/>
  <c r="B91" i="76" s="1"/>
  <c r="B92" i="76" s="1"/>
  <c r="B93" i="76" s="1"/>
  <c r="B94" i="76" s="1"/>
  <c r="B95" i="76" s="1"/>
  <c r="B96" i="76" s="1"/>
  <c r="B97" i="76" s="1"/>
  <c r="B98" i="76" s="1"/>
  <c r="B99" i="76" s="1"/>
  <c r="B100" i="76" s="1"/>
  <c r="B101" i="76" s="1"/>
  <c r="B102" i="76" s="1"/>
  <c r="B103" i="76" s="1"/>
  <c r="B104" i="76" s="1"/>
  <c r="B105" i="76" s="1"/>
  <c r="B107" i="76" s="1"/>
  <c r="B108" i="76" s="1"/>
  <c r="B109" i="76" s="1"/>
  <c r="B70" i="74"/>
  <c r="B100" i="80"/>
  <c r="B98" i="86"/>
  <c r="B65" i="78"/>
  <c r="B66" i="78" s="1"/>
  <c r="B67" i="78" s="1"/>
  <c r="B68" i="78" s="1"/>
  <c r="B69" i="78" s="1"/>
  <c r="B70" i="78" s="1"/>
  <c r="B71" i="78" s="1"/>
  <c r="B72" i="78" s="1"/>
  <c r="B73" i="78" s="1"/>
  <c r="B74" i="78" s="1"/>
  <c r="B75" i="78" s="1"/>
  <c r="B77" i="78" s="1"/>
  <c r="B78" i="78" s="1"/>
  <c r="B79" i="78" s="1"/>
  <c r="B80" i="78" s="1"/>
  <c r="B81" i="78" s="1"/>
  <c r="B82" i="78" s="1"/>
  <c r="B83" i="78" s="1"/>
  <c r="B84" i="78" s="1"/>
  <c r="B22" i="84"/>
  <c r="B113" i="58" l="1"/>
  <c r="B110" i="76"/>
  <c r="B111" i="76" s="1"/>
  <c r="B112" i="76"/>
  <c r="B85" i="78"/>
  <c r="B86" i="78" s="1"/>
  <c r="B87" i="78" s="1"/>
  <c r="B88" i="78" s="1"/>
  <c r="B71" i="74"/>
  <c r="B102" i="80"/>
  <c r="B99" i="86"/>
  <c r="B100" i="86" s="1"/>
  <c r="B101" i="86" s="1"/>
  <c r="B102" i="86" s="1"/>
  <c r="B103" i="86" s="1"/>
  <c r="B105" i="86" s="1"/>
  <c r="B106" i="86" s="1"/>
  <c r="B107" i="86" s="1"/>
  <c r="B108" i="86" s="1"/>
  <c r="B109" i="86" s="1"/>
  <c r="B110" i="86" s="1"/>
  <c r="B111" i="86" s="1"/>
  <c r="B112" i="86" s="1"/>
  <c r="B114" i="86" s="1"/>
  <c r="B115" i="86" s="1"/>
  <c r="B116" i="86" s="1"/>
  <c r="B117" i="86" s="1"/>
  <c r="B118" i="86" s="1"/>
  <c r="B119" i="86" s="1"/>
  <c r="B120" i="86" s="1"/>
  <c r="B121" i="86" s="1"/>
  <c r="B122" i="86" s="1"/>
  <c r="B123" i="86" s="1"/>
  <c r="B124" i="86" s="1"/>
  <c r="B125" i="86" s="1"/>
  <c r="B126" i="86" s="1"/>
  <c r="B127" i="86" s="1"/>
  <c r="B128" i="86" s="1"/>
  <c r="B129" i="86" s="1"/>
  <c r="B130" i="86" s="1"/>
  <c r="B131" i="86" s="1"/>
  <c r="B132" i="86" s="1"/>
  <c r="B133" i="86" s="1"/>
  <c r="B134" i="86" s="1"/>
  <c r="B135" i="86" s="1"/>
  <c r="B136" i="86" s="1"/>
  <c r="B137" i="86" s="1"/>
  <c r="B138" i="86" s="1"/>
  <c r="B140" i="86" s="1"/>
  <c r="B141" i="86" s="1"/>
  <c r="B142" i="86" s="1"/>
  <c r="B143" i="86" s="1"/>
  <c r="B144" i="86" s="1"/>
  <c r="B145" i="86" s="1"/>
  <c r="B146" i="86" s="1"/>
  <c r="B23" i="84"/>
  <c r="B89" i="78" l="1"/>
  <c r="B115" i="58"/>
  <c r="B116" i="58" s="1"/>
  <c r="B117" i="58" s="1"/>
  <c r="B118" i="58" s="1"/>
  <c r="B119" i="58" s="1"/>
  <c r="B120" i="58" s="1"/>
  <c r="B121" i="58" s="1"/>
  <c r="B122" i="58" s="1"/>
  <c r="B123" i="58" s="1"/>
  <c r="B124" i="58" s="1"/>
  <c r="B125" i="58" s="1"/>
  <c r="B126" i="58" s="1"/>
  <c r="B127" i="58" s="1"/>
  <c r="B128" i="58" s="1"/>
  <c r="B129" i="58" s="1"/>
  <c r="B130" i="58" s="1"/>
  <c r="B131" i="58" s="1"/>
  <c r="B132" i="58" s="1"/>
  <c r="B133" i="58" s="1"/>
  <c r="B134" i="58" s="1"/>
  <c r="B135" i="58" s="1"/>
  <c r="B136" i="58" s="1"/>
  <c r="B138" i="58" s="1"/>
  <c r="B139" i="58" s="1"/>
  <c r="B140" i="58" s="1"/>
  <c r="B113" i="76"/>
  <c r="B72" i="74"/>
  <c r="B103" i="80"/>
  <c r="B147" i="86"/>
  <c r="B148" i="86" s="1"/>
  <c r="B24" i="84"/>
  <c r="B90" i="78" l="1"/>
  <c r="B91" i="78" s="1"/>
  <c r="B141" i="58"/>
  <c r="B142" i="58" s="1"/>
  <c r="B143" i="58" s="1"/>
  <c r="B144" i="58" s="1"/>
  <c r="B145" i="58" s="1"/>
  <c r="B146" i="58" s="1"/>
  <c r="B147" i="58" s="1"/>
  <c r="B148" i="58" s="1"/>
  <c r="B149" i="58" s="1"/>
  <c r="B150" i="58" s="1"/>
  <c r="B114" i="76"/>
  <c r="B92" i="78"/>
  <c r="B73" i="74"/>
  <c r="B104" i="80"/>
  <c r="B149" i="86"/>
  <c r="B150" i="86" s="1"/>
  <c r="B151" i="86" s="1"/>
  <c r="B25" i="84"/>
  <c r="B151" i="58" l="1"/>
  <c r="B152" i="58" s="1"/>
  <c r="B153" i="58" s="1"/>
  <c r="B154" i="58" s="1"/>
  <c r="B155" i="58" s="1"/>
  <c r="B156" i="58" s="1"/>
  <c r="B157" i="58" s="1"/>
  <c r="B158" i="58" s="1"/>
  <c r="B159" i="58" s="1"/>
  <c r="B160" i="58" s="1"/>
  <c r="B161" i="58" s="1"/>
  <c r="B162" i="58" s="1"/>
  <c r="B163" i="58" s="1"/>
  <c r="B164" i="58" s="1"/>
  <c r="B165" i="58" s="1"/>
  <c r="B115" i="76"/>
  <c r="B93" i="78"/>
  <c r="B74" i="74"/>
  <c r="B105" i="80"/>
  <c r="B26" i="84"/>
  <c r="B166" i="58" l="1"/>
  <c r="B167" i="58" s="1"/>
  <c r="B168" i="58" s="1"/>
  <c r="B169" i="58" s="1"/>
  <c r="B170" i="58" s="1"/>
  <c r="B171" i="58" s="1"/>
  <c r="B172" i="58" s="1"/>
  <c r="B173" i="58" s="1"/>
  <c r="B174" i="58" s="1"/>
  <c r="B175" i="58" s="1"/>
  <c r="B116" i="76"/>
  <c r="B94" i="78"/>
  <c r="B75" i="74"/>
  <c r="B106" i="80"/>
  <c r="B152" i="86"/>
  <c r="B153" i="86" s="1"/>
  <c r="B154" i="86" s="1"/>
  <c r="B155" i="86" s="1"/>
  <c r="B156" i="86" s="1"/>
  <c r="B157" i="86" s="1"/>
  <c r="B158" i="86" s="1"/>
  <c r="B159" i="86" s="1"/>
  <c r="B160" i="86" s="1"/>
  <c r="B161" i="86" s="1"/>
  <c r="B162" i="86" s="1"/>
  <c r="B163" i="86" s="1"/>
  <c r="B164" i="86" s="1"/>
  <c r="B27" i="84"/>
  <c r="B176" i="58" l="1"/>
  <c r="B178" i="58" s="1"/>
  <c r="B179" i="58"/>
  <c r="B180" i="58" s="1"/>
  <c r="B181" i="58" s="1"/>
  <c r="B182" i="58" s="1"/>
  <c r="B183" i="58" s="1"/>
  <c r="B184" i="58" s="1"/>
  <c r="B185" i="58" s="1"/>
  <c r="B186" i="58" s="1"/>
  <c r="B187" i="58" s="1"/>
  <c r="B188" i="58" s="1"/>
  <c r="B189" i="58" s="1"/>
  <c r="B190" i="58" s="1"/>
  <c r="B191" i="58" s="1"/>
  <c r="B192" i="58" s="1"/>
  <c r="B117" i="76"/>
  <c r="B97" i="78"/>
  <c r="B76" i="74"/>
  <c r="B107" i="80"/>
  <c r="B165" i="86"/>
  <c r="B166" i="86" s="1"/>
  <c r="B167" i="86" s="1"/>
  <c r="B168" i="86" s="1"/>
  <c r="B169" i="86" s="1"/>
  <c r="B171" i="86" s="1"/>
  <c r="B172" i="86" s="1"/>
  <c r="B173" i="86" s="1"/>
  <c r="B174" i="86" s="1"/>
  <c r="B175" i="86" s="1"/>
  <c r="B176" i="86" s="1"/>
  <c r="B177" i="86" s="1"/>
  <c r="B178" i="86" s="1"/>
  <c r="B179" i="86" s="1"/>
  <c r="B180" i="86" s="1"/>
  <c r="B181" i="86" s="1"/>
  <c r="B182" i="86" s="1"/>
  <c r="B183" i="86" s="1"/>
  <c r="B184" i="86" s="1"/>
  <c r="B185" i="86" s="1"/>
  <c r="B186" i="86" s="1"/>
  <c r="B187" i="86" s="1"/>
  <c r="B188" i="86" s="1"/>
  <c r="B189" i="86" s="1"/>
  <c r="B190" i="86" s="1"/>
  <c r="B191" i="86" s="1"/>
  <c r="B192" i="86" s="1"/>
  <c r="B193" i="86" s="1"/>
  <c r="B194" i="86" s="1"/>
  <c r="B195" i="86" s="1"/>
  <c r="B196" i="86" s="1"/>
  <c r="B197" i="86" s="1"/>
  <c r="B198" i="86" s="1"/>
  <c r="B199" i="86" s="1"/>
  <c r="B28" i="84"/>
  <c r="B118" i="76" l="1"/>
  <c r="B98" i="78"/>
  <c r="B77" i="74"/>
  <c r="B108" i="80"/>
  <c r="B193" i="58"/>
  <c r="B194" i="58"/>
  <c r="B29" i="84"/>
  <c r="B119" i="76" l="1"/>
  <c r="B99" i="78"/>
  <c r="B78" i="74"/>
  <c r="B109" i="80"/>
  <c r="B200" i="86"/>
  <c r="B201" i="86" s="1"/>
  <c r="B202" i="86" s="1"/>
  <c r="B203" i="86" s="1"/>
  <c r="B204" i="86" s="1"/>
  <c r="B205" i="86" s="1"/>
  <c r="B206" i="86" s="1"/>
  <c r="B207" i="86" s="1"/>
  <c r="B208" i="86" s="1"/>
  <c r="B209" i="86" s="1"/>
  <c r="B210" i="86" s="1"/>
  <c r="B211" i="86" s="1"/>
  <c r="B212" i="86" s="1"/>
  <c r="B213" i="86" s="1"/>
  <c r="B214" i="86" s="1"/>
  <c r="B216" i="86" s="1"/>
  <c r="B195" i="58"/>
  <c r="B30" i="84"/>
  <c r="B120" i="76" l="1"/>
  <c r="B100" i="78"/>
  <c r="B80" i="74"/>
  <c r="B110" i="80"/>
  <c r="B196" i="58"/>
  <c r="B31" i="84"/>
  <c r="B121" i="76" l="1"/>
  <c r="B101" i="78"/>
  <c r="B81" i="74"/>
  <c r="B111" i="80"/>
  <c r="B197" i="58"/>
  <c r="B32" i="84"/>
  <c r="B33" i="84" s="1"/>
  <c r="B34" i="84" s="1"/>
  <c r="B36" i="84" s="1"/>
  <c r="B37" i="84" s="1"/>
  <c r="B38" i="84" s="1"/>
  <c r="B39" i="84" s="1"/>
  <c r="B123" i="76" l="1"/>
  <c r="B124" i="76"/>
  <c r="B102" i="78"/>
  <c r="B82" i="74"/>
  <c r="B112" i="80"/>
  <c r="B198" i="58"/>
  <c r="B40" i="84"/>
  <c r="B41" i="84" s="1"/>
  <c r="B125" i="76" l="1"/>
  <c r="B103" i="78"/>
  <c r="B83" i="74"/>
  <c r="B113" i="80"/>
  <c r="B199" i="58"/>
  <c r="B42" i="84"/>
  <c r="B126" i="76" l="1"/>
  <c r="B104" i="78"/>
  <c r="B84" i="74"/>
  <c r="B114" i="80"/>
  <c r="B200" i="58"/>
  <c r="B43" i="84"/>
  <c r="B127" i="76" l="1"/>
  <c r="B105" i="78"/>
  <c r="B106" i="78" s="1"/>
  <c r="B107" i="78" s="1"/>
  <c r="B108" i="78" s="1"/>
  <c r="B109" i="78" s="1"/>
  <c r="B110" i="78" s="1"/>
  <c r="B111" i="78" s="1"/>
  <c r="B112" i="78" s="1"/>
  <c r="B113" i="78" s="1"/>
  <c r="B114" i="78" s="1"/>
  <c r="B116" i="78" s="1"/>
  <c r="B117" i="78" s="1"/>
  <c r="B118" i="78" s="1"/>
  <c r="B119" i="78" s="1"/>
  <c r="B120" i="78" s="1"/>
  <c r="B121" i="78" s="1"/>
  <c r="B123" i="78" s="1"/>
  <c r="B124" i="78" s="1"/>
  <c r="B125" i="78" s="1"/>
  <c r="B126" i="78" s="1"/>
  <c r="B127" i="78" s="1"/>
  <c r="B128" i="78" s="1"/>
  <c r="B129" i="78" s="1"/>
  <c r="B130" i="78" s="1"/>
  <c r="B131" i="78" s="1"/>
  <c r="B132" i="78" s="1"/>
  <c r="B133" i="78" s="1"/>
  <c r="B134" i="78" s="1"/>
  <c r="B135" i="78" s="1"/>
  <c r="B136" i="78" s="1"/>
  <c r="B137" i="78" s="1"/>
  <c r="B138" i="78" s="1"/>
  <c r="B139" i="78" s="1"/>
  <c r="B140" i="78" s="1"/>
  <c r="B141" i="78" s="1"/>
  <c r="B142" i="78" s="1"/>
  <c r="B144" i="78" s="1"/>
  <c r="B145" i="78" s="1"/>
  <c r="B146" i="78" s="1"/>
  <c r="B147" i="78" s="1"/>
  <c r="B148" i="78" s="1"/>
  <c r="B149" i="78" s="1"/>
  <c r="B150" i="78" s="1"/>
  <c r="B151" i="78" s="1"/>
  <c r="B152" i="78" s="1"/>
  <c r="B153" i="78" s="1"/>
  <c r="B154" i="78" s="1"/>
  <c r="B155" i="78" s="1"/>
  <c r="B156" i="78" s="1"/>
  <c r="B157" i="78" s="1"/>
  <c r="B158" i="78" s="1"/>
  <c r="B159" i="78" s="1"/>
  <c r="B160" i="78" s="1"/>
  <c r="B161" i="78" s="1"/>
  <c r="B162" i="78" s="1"/>
  <c r="B163" i="78" s="1"/>
  <c r="B85" i="74"/>
  <c r="B115" i="80"/>
  <c r="B201" i="58"/>
  <c r="B44" i="84"/>
  <c r="B128" i="76" l="1"/>
  <c r="B164" i="78"/>
  <c r="B165" i="78" s="1"/>
  <c r="B166" i="78" s="1"/>
  <c r="B167" i="78" s="1"/>
  <c r="B86" i="74"/>
  <c r="B116" i="80"/>
  <c r="B202" i="58"/>
  <c r="B45" i="84"/>
  <c r="B46" i="84" s="1"/>
  <c r="B47" i="84" s="1"/>
  <c r="B48" i="84" s="1"/>
  <c r="B49" i="84" s="1"/>
  <c r="B50" i="84" s="1"/>
  <c r="B51" i="84" s="1"/>
  <c r="B52" i="84" s="1"/>
  <c r="B53" i="84" s="1"/>
  <c r="B54" i="84" s="1"/>
  <c r="B56" i="84" s="1"/>
  <c r="B57" i="84" s="1"/>
  <c r="B58" i="84" s="1"/>
  <c r="B59" i="84" s="1"/>
  <c r="B60" i="84" s="1"/>
  <c r="B61" i="84" s="1"/>
  <c r="B62" i="84" s="1"/>
  <c r="B63" i="84" s="1"/>
  <c r="B64" i="84" s="1"/>
  <c r="B65" i="84" s="1"/>
  <c r="B66" i="84" s="1"/>
  <c r="B67" i="84" s="1"/>
  <c r="B68" i="84" s="1"/>
  <c r="B69" i="84" s="1"/>
  <c r="B70" i="84" s="1"/>
  <c r="B129" i="76" l="1"/>
  <c r="B87" i="74"/>
  <c r="B117" i="80"/>
  <c r="B203" i="58"/>
  <c r="A259" i="58"/>
  <c r="A260" i="58" s="1"/>
  <c r="A261" i="58" s="1"/>
  <c r="A262" i="58" s="1"/>
  <c r="A263" i="58" s="1"/>
  <c r="A264" i="58" s="1"/>
  <c r="A271" i="58" s="1"/>
  <c r="A272" i="58" s="1"/>
  <c r="A273" i="58" s="1"/>
  <c r="A274" i="58" s="1"/>
  <c r="A275" i="58" s="1"/>
  <c r="A276" i="58" s="1"/>
  <c r="A277" i="58" s="1"/>
  <c r="A278" i="58" s="1"/>
  <c r="A279" i="58" s="1"/>
  <c r="A280" i="58" s="1"/>
  <c r="A281" i="58" s="1"/>
  <c r="A284" i="58" s="1"/>
  <c r="B172" i="78" l="1"/>
  <c r="B173" i="78" s="1"/>
  <c r="B174" i="78" s="1"/>
  <c r="B175" i="78" s="1"/>
  <c r="B177" i="78" s="1"/>
  <c r="B178" i="78" s="1"/>
  <c r="B179" i="78" s="1"/>
  <c r="B180" i="78" s="1"/>
  <c r="B181" i="78" s="1"/>
  <c r="B182" i="78" s="1"/>
  <c r="B183" i="78" s="1"/>
  <c r="B184" i="78" s="1"/>
  <c r="B185" i="78" s="1"/>
  <c r="B186" i="78" s="1"/>
  <c r="B187" i="78" s="1"/>
  <c r="B188" i="78" s="1"/>
  <c r="B189" i="78" s="1"/>
  <c r="B190" i="78" s="1"/>
  <c r="B191" i="78" s="1"/>
  <c r="B192" i="78" s="1"/>
  <c r="B193" i="78" s="1"/>
  <c r="B194" i="78" s="1"/>
  <c r="B195" i="78" s="1"/>
  <c r="B196" i="78" s="1"/>
  <c r="B197" i="78" s="1"/>
  <c r="B198" i="78" s="1"/>
  <c r="B199" i="78" s="1"/>
  <c r="B200" i="78" s="1"/>
  <c r="B201" i="78" s="1"/>
  <c r="B202" i="78" s="1"/>
  <c r="B203" i="78" s="1"/>
  <c r="B204" i="78" s="1"/>
  <c r="B205" i="78" s="1"/>
  <c r="B206" i="78" s="1"/>
  <c r="B207" i="78" s="1"/>
  <c r="B208" i="78" s="1"/>
  <c r="B209" i="78" s="1"/>
  <c r="B210" i="78" s="1"/>
  <c r="B211" i="78" s="1"/>
  <c r="B212" i="78" s="1"/>
  <c r="B213" i="78" s="1"/>
  <c r="B214" i="78" s="1"/>
  <c r="B215" i="78" s="1"/>
  <c r="B216" i="78" s="1"/>
  <c r="B217" i="78" s="1"/>
  <c r="B218" i="78" s="1"/>
  <c r="B219" i="78" s="1"/>
  <c r="B220" i="78" s="1"/>
  <c r="B221" i="78" s="1"/>
  <c r="B222" i="78" s="1"/>
  <c r="B223" i="78" s="1"/>
  <c r="B224" i="78" s="1"/>
  <c r="B225" i="78" s="1"/>
  <c r="B226" i="78" s="1"/>
  <c r="B227" i="78" s="1"/>
  <c r="B228" i="78" s="1"/>
  <c r="B229" i="78" s="1"/>
  <c r="B230" i="78" s="1"/>
  <c r="B231" i="78" s="1"/>
  <c r="B232" i="78" s="1"/>
  <c r="B233" i="78" s="1"/>
  <c r="B234" i="78" s="1"/>
  <c r="B235" i="78" s="1"/>
  <c r="B236" i="78" s="1"/>
  <c r="B237" i="78" s="1"/>
  <c r="B238" i="78" s="1"/>
  <c r="B239" i="78" s="1"/>
  <c r="B240" i="78" s="1"/>
  <c r="B241" i="78" s="1"/>
  <c r="B242" i="78" s="1"/>
  <c r="B244" i="78" s="1"/>
  <c r="B130" i="76"/>
  <c r="B88" i="74"/>
  <c r="B118" i="80"/>
  <c r="B71" i="84"/>
  <c r="B204" i="58"/>
  <c r="A290" i="58"/>
  <c r="A291" i="58" s="1"/>
  <c r="A292" i="58" s="1"/>
  <c r="A287" i="58"/>
  <c r="B131" i="76" l="1"/>
  <c r="B89" i="74"/>
  <c r="B119" i="80"/>
  <c r="B72" i="84"/>
  <c r="B73" i="84" s="1"/>
  <c r="B74" i="84" s="1"/>
  <c r="B205" i="58"/>
  <c r="B132" i="76" l="1"/>
  <c r="B90" i="74"/>
  <c r="B121" i="80"/>
  <c r="B75" i="84"/>
  <c r="B76" i="84" s="1"/>
  <c r="B77" i="84" s="1"/>
  <c r="B78" i="84" s="1"/>
  <c r="B79" i="84" s="1"/>
  <c r="B80" i="84" s="1"/>
  <c r="B206" i="58"/>
  <c r="B81" i="84" l="1"/>
  <c r="B82" i="84"/>
  <c r="B133" i="76"/>
  <c r="B91" i="74"/>
  <c r="B122" i="80"/>
  <c r="B207" i="58"/>
  <c r="B83" i="84"/>
  <c r="B134" i="76" l="1"/>
  <c r="B92" i="74"/>
  <c r="B123" i="80"/>
  <c r="B208" i="58"/>
  <c r="B84" i="84"/>
  <c r="B135" i="76" l="1"/>
  <c r="B93" i="74"/>
  <c r="B124" i="80"/>
  <c r="B209" i="58"/>
  <c r="B85" i="84"/>
  <c r="B136" i="76" l="1"/>
  <c r="B137" i="76" s="1"/>
  <c r="B138" i="76" s="1"/>
  <c r="B139" i="76" s="1"/>
  <c r="B140" i="76" s="1"/>
  <c r="B141" i="76" s="1"/>
  <c r="B142" i="76" s="1"/>
  <c r="B143" i="76" s="1"/>
  <c r="B144" i="76" s="1"/>
  <c r="B145" i="76" s="1"/>
  <c r="B146" i="76" s="1"/>
  <c r="B147" i="76" s="1"/>
  <c r="B148" i="76" s="1"/>
  <c r="B149" i="76" s="1"/>
  <c r="B150" i="76" s="1"/>
  <c r="B151" i="76" s="1"/>
  <c r="B152" i="76" s="1"/>
  <c r="B153" i="76" s="1"/>
  <c r="B154" i="76" s="1"/>
  <c r="B155" i="76" s="1"/>
  <c r="B156" i="76" s="1"/>
  <c r="B157" i="76" s="1"/>
  <c r="B158" i="76" s="1"/>
  <c r="B159" i="76" s="1"/>
  <c r="B161" i="76" s="1"/>
  <c r="B162" i="76" s="1"/>
  <c r="B163" i="76" s="1"/>
  <c r="B164" i="76" s="1"/>
  <c r="B165" i="76" s="1"/>
  <c r="B166" i="76" s="1"/>
  <c r="B167" i="76" s="1"/>
  <c r="B168" i="76" s="1"/>
  <c r="B169" i="76" s="1"/>
  <c r="B170" i="76" s="1"/>
  <c r="B171" i="76" s="1"/>
  <c r="B172" i="76" s="1"/>
  <c r="B173" i="76" s="1"/>
  <c r="B174" i="76" s="1"/>
  <c r="B175" i="76" s="1"/>
  <c r="B176" i="76" s="1"/>
  <c r="B177" i="76" s="1"/>
  <c r="B178" i="76" s="1"/>
  <c r="B179" i="76" s="1"/>
  <c r="B180" i="76" s="1"/>
  <c r="B181" i="76" s="1"/>
  <c r="B94" i="74"/>
  <c r="B125" i="80"/>
  <c r="B210" i="58"/>
  <c r="B86" i="84"/>
  <c r="B87" i="84" s="1"/>
  <c r="B89" i="84" s="1"/>
  <c r="B90" i="84" s="1"/>
  <c r="B91" i="84" s="1"/>
  <c r="B92" i="84" s="1"/>
  <c r="B93" i="84" s="1"/>
  <c r="B94" i="84" s="1"/>
  <c r="B95" i="84" s="1"/>
  <c r="B96" i="84" s="1"/>
  <c r="B97" i="84" s="1"/>
  <c r="B98" i="84" s="1"/>
  <c r="B99" i="84" s="1"/>
  <c r="B100" i="84" s="1"/>
  <c r="B101" i="84" s="1"/>
  <c r="B102" i="84" s="1"/>
  <c r="B182" i="76" l="1"/>
  <c r="B183" i="76" s="1"/>
  <c r="B184" i="76" s="1"/>
  <c r="B185" i="76" s="1"/>
  <c r="B186" i="76" s="1"/>
  <c r="B187" i="76" s="1"/>
  <c r="B95" i="74"/>
  <c r="B126" i="80"/>
  <c r="B103" i="84"/>
  <c r="B104" i="84" s="1"/>
  <c r="B105" i="84" s="1"/>
  <c r="B106" i="84" s="1"/>
  <c r="B107" i="84" s="1"/>
  <c r="B108" i="84" s="1"/>
  <c r="B211" i="58"/>
  <c r="B96" i="74" l="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B155" i="74" s="1"/>
  <c r="B156" i="74" s="1"/>
  <c r="B157" i="74" s="1"/>
  <c r="B158" i="74" s="1"/>
  <c r="B159" i="74" s="1"/>
  <c r="B160" i="74" s="1"/>
  <c r="B161" i="74" s="1"/>
  <c r="B162" i="74" s="1"/>
  <c r="B163" i="74" s="1"/>
  <c r="B164" i="74" s="1"/>
  <c r="B165" i="74" s="1"/>
  <c r="B166" i="74" s="1"/>
  <c r="B168" i="74" s="1"/>
  <c r="B169" i="74" s="1"/>
  <c r="B170" i="74" s="1"/>
  <c r="B171" i="74" s="1"/>
  <c r="B172" i="74" s="1"/>
  <c r="B173" i="74" s="1"/>
  <c r="B174" i="74" s="1"/>
  <c r="B175" i="74" s="1"/>
  <c r="B176" i="74" s="1"/>
  <c r="B177" i="74" s="1"/>
  <c r="B178" i="74" s="1"/>
  <c r="B179" i="74" s="1"/>
  <c r="B180" i="74" s="1"/>
  <c r="B181" i="74" s="1"/>
  <c r="B182" i="74" s="1"/>
  <c r="B183" i="74" s="1"/>
  <c r="B184" i="74" s="1"/>
  <c r="B185" i="74" s="1"/>
  <c r="B186" i="74" s="1"/>
  <c r="B127" i="80"/>
  <c r="B109" i="84"/>
  <c r="B110" i="84" s="1"/>
  <c r="B111" i="84" s="1"/>
  <c r="B112" i="84" s="1"/>
  <c r="B113" i="84" s="1"/>
  <c r="B115" i="84" s="1"/>
  <c r="B116" i="84" s="1"/>
  <c r="B117" i="84" s="1"/>
  <c r="B118" i="84" s="1"/>
  <c r="B119" i="84" s="1"/>
  <c r="B120" i="84" s="1"/>
  <c r="B121" i="84" s="1"/>
  <c r="B122" i="84" s="1"/>
  <c r="B123" i="84" s="1"/>
  <c r="B124" i="84" s="1"/>
  <c r="B125" i="84" s="1"/>
  <c r="B126" i="84" s="1"/>
  <c r="B127" i="84" s="1"/>
  <c r="B128" i="84" s="1"/>
  <c r="B129" i="84" s="1"/>
  <c r="B130" i="84" s="1"/>
  <c r="B131" i="84" s="1"/>
  <c r="B132" i="84" s="1"/>
  <c r="B134" i="84" s="1"/>
  <c r="B135" i="84" s="1"/>
  <c r="B136" i="84" s="1"/>
  <c r="B137" i="84" s="1"/>
  <c r="B138" i="84" s="1"/>
  <c r="B139" i="84" s="1"/>
  <c r="B140" i="84" s="1"/>
  <c r="B141" i="84" s="1"/>
  <c r="B212" i="58"/>
  <c r="B188" i="76" l="1"/>
  <c r="B189" i="76" s="1"/>
  <c r="B190" i="76" s="1"/>
  <c r="B191" i="76" s="1"/>
  <c r="B192" i="76" s="1"/>
  <c r="B193" i="76" s="1"/>
  <c r="B195" i="76" s="1"/>
  <c r="B196" i="76" s="1"/>
  <c r="B197" i="76" s="1"/>
  <c r="B198" i="76" s="1"/>
  <c r="B199" i="76" s="1"/>
  <c r="B200" i="76" s="1"/>
  <c r="B201" i="76" s="1"/>
  <c r="B202" i="76" s="1"/>
  <c r="B203" i="76" s="1"/>
  <c r="B204" i="76" s="1"/>
  <c r="B205" i="76" s="1"/>
  <c r="B206" i="76" s="1"/>
  <c r="B207" i="76" s="1"/>
  <c r="B208" i="76" s="1"/>
  <c r="B209" i="76" s="1"/>
  <c r="B210" i="76" s="1"/>
  <c r="B211" i="76" s="1"/>
  <c r="B212" i="76" s="1"/>
  <c r="B213" i="76" s="1"/>
  <c r="B214" i="76" s="1"/>
  <c r="B215" i="76" s="1"/>
  <c r="B216" i="76" s="1"/>
  <c r="B217" i="76" s="1"/>
  <c r="B218" i="76" s="1"/>
  <c r="B219" i="76" s="1"/>
  <c r="B220" i="76" s="1"/>
  <c r="B221" i="76" s="1"/>
  <c r="B222" i="76" s="1"/>
  <c r="B223" i="76" s="1"/>
  <c r="B224" i="76" s="1"/>
  <c r="B225" i="76" s="1"/>
  <c r="B226" i="76" s="1"/>
  <c r="B227" i="76" s="1"/>
  <c r="B228" i="76" s="1"/>
  <c r="B229" i="76" s="1"/>
  <c r="B230" i="76" s="1"/>
  <c r="B232" i="76" s="1"/>
  <c r="B187" i="74"/>
  <c r="B188" i="74" s="1"/>
  <c r="B189" i="74" s="1"/>
  <c r="B190" i="74" s="1"/>
  <c r="B128" i="80"/>
  <c r="B142" i="84"/>
  <c r="B214" i="58"/>
  <c r="B129" i="80" l="1"/>
  <c r="B143" i="84"/>
  <c r="B215" i="58"/>
  <c r="B193" i="74" l="1"/>
  <c r="B194" i="74" s="1"/>
  <c r="B195" i="74" s="1"/>
  <c r="B196" i="74" s="1"/>
  <c r="B197" i="74" s="1"/>
  <c r="B198" i="74" s="1"/>
  <c r="B200" i="74" s="1"/>
  <c r="B201" i="74" s="1"/>
  <c r="B202" i="74" s="1"/>
  <c r="B203" i="74" s="1"/>
  <c r="B204" i="74" s="1"/>
  <c r="B205" i="74" s="1"/>
  <c r="B206" i="74" s="1"/>
  <c r="B207" i="74" s="1"/>
  <c r="B208" i="74" s="1"/>
  <c r="B209" i="74" s="1"/>
  <c r="B210" i="74" s="1"/>
  <c r="B211" i="74" s="1"/>
  <c r="B212" i="74" s="1"/>
  <c r="B213" i="74" s="1"/>
  <c r="B214" i="74" s="1"/>
  <c r="B215" i="74" s="1"/>
  <c r="B216" i="74" s="1"/>
  <c r="B217" i="74" s="1"/>
  <c r="B218" i="74" s="1"/>
  <c r="B219" i="74" s="1"/>
  <c r="B220" i="74" s="1"/>
  <c r="B221" i="74" s="1"/>
  <c r="B222" i="74" s="1"/>
  <c r="B223" i="74" s="1"/>
  <c r="B224" i="74" s="1"/>
  <c r="B225" i="74" s="1"/>
  <c r="B226" i="74" s="1"/>
  <c r="B227" i="74" s="1"/>
  <c r="B228" i="74" s="1"/>
  <c r="B229" i="74" s="1"/>
  <c r="B230" i="74" s="1"/>
  <c r="B231" i="74" s="1"/>
  <c r="B232" i="74" s="1"/>
  <c r="B233" i="74" s="1"/>
  <c r="B234" i="74" s="1"/>
  <c r="B235" i="74" s="1"/>
  <c r="B236" i="74" s="1"/>
  <c r="B237" i="74" s="1"/>
  <c r="B238" i="74" s="1"/>
  <c r="B239" i="74" s="1"/>
  <c r="B240" i="74" s="1"/>
  <c r="B241" i="74" s="1"/>
  <c r="B242" i="74" s="1"/>
  <c r="B243" i="74" s="1"/>
  <c r="B245" i="74" s="1"/>
  <c r="B130" i="80"/>
  <c r="B144" i="84"/>
  <c r="B216" i="58"/>
  <c r="B131" i="80" l="1"/>
  <c r="B145" i="84"/>
  <c r="B146" i="84" s="1"/>
  <c r="B147" i="84" s="1"/>
  <c r="B148" i="84" s="1"/>
  <c r="B149" i="84" s="1"/>
  <c r="B150" i="84" s="1"/>
  <c r="B151" i="84" s="1"/>
  <c r="B152" i="84" s="1"/>
  <c r="B217" i="58"/>
  <c r="B132" i="80" l="1"/>
  <c r="B153" i="84"/>
  <c r="B154" i="84" s="1"/>
  <c r="B218" i="58"/>
  <c r="B133" i="80" l="1"/>
  <c r="B155" i="84"/>
  <c r="B156" i="84" s="1"/>
  <c r="B157" i="84" s="1"/>
  <c r="B158" i="84" s="1"/>
  <c r="B159" i="84" s="1"/>
  <c r="B160" i="84" s="1"/>
  <c r="B161" i="84" s="1"/>
  <c r="B162" i="84" s="1"/>
  <c r="B163" i="84" s="1"/>
  <c r="B164" i="84" s="1"/>
  <c r="B165" i="84" s="1"/>
  <c r="B166" i="84" s="1"/>
  <c r="B167" i="84" s="1"/>
  <c r="B168" i="84" s="1"/>
  <c r="B169" i="84" s="1"/>
  <c r="B170" i="84" s="1"/>
  <c r="B171" i="84" s="1"/>
  <c r="B172" i="84" s="1"/>
  <c r="B173" i="84" s="1"/>
  <c r="B174" i="84" s="1"/>
  <c r="B175" i="84" s="1"/>
  <c r="B176" i="84" s="1"/>
  <c r="B177" i="84" s="1"/>
  <c r="B219" i="58"/>
  <c r="B134" i="80" l="1"/>
  <c r="B178" i="84"/>
  <c r="B179" i="84" s="1"/>
  <c r="B220" i="58"/>
  <c r="B135" i="80" l="1"/>
  <c r="B180" i="84"/>
  <c r="B182" i="84" s="1"/>
  <c r="B183" i="84" s="1"/>
  <c r="B221" i="58"/>
  <c r="B136" i="80" l="1"/>
  <c r="B184" i="84"/>
  <c r="B185" i="84"/>
  <c r="B186" i="84" s="1"/>
  <c r="B187" i="84" s="1"/>
  <c r="B188" i="84" s="1"/>
  <c r="B189" i="84" s="1"/>
  <c r="B190" i="84" s="1"/>
  <c r="B191" i="84" s="1"/>
  <c r="B222" i="58"/>
  <c r="B137" i="80" l="1"/>
  <c r="B192" i="84"/>
  <c r="B193" i="84" s="1"/>
  <c r="B194" i="84" s="1"/>
  <c r="B195" i="84" s="1"/>
  <c r="B196" i="84" s="1"/>
  <c r="B197" i="84" s="1"/>
  <c r="B223" i="58"/>
  <c r="B224" i="58" s="1"/>
  <c r="B225" i="58" s="1"/>
  <c r="B226" i="58" s="1"/>
  <c r="B227" i="58" s="1"/>
  <c r="B228" i="58" s="1"/>
  <c r="B229" i="58" s="1"/>
  <c r="B138" i="80" l="1"/>
  <c r="B198" i="84"/>
  <c r="B199" i="84" s="1"/>
  <c r="B200" i="84" s="1"/>
  <c r="B201" i="84" s="1"/>
  <c r="B202" i="84" s="1"/>
  <c r="B203" i="84" s="1"/>
  <c r="B204" i="84" s="1"/>
  <c r="B205" i="84" s="1"/>
  <c r="B206" i="84" s="1"/>
  <c r="B207" i="84" s="1"/>
  <c r="B208" i="84" s="1"/>
  <c r="B209" i="84" s="1"/>
  <c r="B210" i="84" s="1"/>
  <c r="B211" i="84" s="1"/>
  <c r="B212" i="84" s="1"/>
  <c r="B213" i="84" s="1"/>
  <c r="B214" i="84" s="1"/>
  <c r="B215" i="84" s="1"/>
  <c r="B216" i="84" s="1"/>
  <c r="B217" i="84" s="1"/>
  <c r="B218" i="84" s="1"/>
  <c r="B219" i="84" s="1"/>
  <c r="B220" i="84" s="1"/>
  <c r="B221" i="84" s="1"/>
  <c r="B223" i="84" s="1"/>
  <c r="B224" i="84" s="1"/>
  <c r="B225" i="84" s="1"/>
  <c r="B226" i="84" s="1"/>
  <c r="B227" i="84" s="1"/>
  <c r="B228" i="84" s="1"/>
  <c r="B229" i="84" s="1"/>
  <c r="B230" i="84" s="1"/>
  <c r="B231" i="84" s="1"/>
  <c r="B232" i="84" s="1"/>
  <c r="B233" i="84" s="1"/>
  <c r="B234" i="84" s="1"/>
  <c r="B235" i="84" s="1"/>
  <c r="B236" i="84" s="1"/>
  <c r="B237" i="84" s="1"/>
  <c r="B238" i="84" s="1"/>
  <c r="B239" i="84" s="1"/>
  <c r="B240" i="84" s="1"/>
  <c r="B241" i="84" s="1"/>
  <c r="B242" i="84" s="1"/>
  <c r="B243" i="84" s="1"/>
  <c r="B244" i="84" s="1"/>
  <c r="B245" i="84" s="1"/>
  <c r="B246" i="84" s="1"/>
  <c r="B247" i="84" s="1"/>
  <c r="B230" i="58"/>
  <c r="B231" i="58" s="1"/>
  <c r="B232" i="58" s="1"/>
  <c r="B233" i="58" s="1"/>
  <c r="B234" i="58" s="1"/>
  <c r="B235" i="58" s="1"/>
  <c r="B236" i="58" s="1"/>
  <c r="B237" i="58" s="1"/>
  <c r="B238" i="58" s="1"/>
  <c r="B239" i="58" s="1"/>
  <c r="B240" i="58" s="1"/>
  <c r="B241" i="58" l="1"/>
  <c r="B242" i="58" s="1"/>
  <c r="B243" i="58" s="1"/>
  <c r="B244" i="58" s="1"/>
  <c r="B139" i="80"/>
  <c r="B248" i="84"/>
  <c r="B249" i="84" s="1"/>
  <c r="B250" i="84" s="1"/>
  <c r="B251" i="84" s="1"/>
  <c r="B254" i="84" l="1"/>
  <c r="B247" i="58"/>
  <c r="B248" i="58" s="1"/>
  <c r="B249" i="58" s="1"/>
  <c r="B250" i="58" s="1"/>
  <c r="B251" i="58" s="1"/>
  <c r="B252" i="58" s="1"/>
  <c r="B254" i="58" s="1"/>
  <c r="B255" i="58" s="1"/>
  <c r="B256" i="58" s="1"/>
  <c r="B257" i="58" s="1"/>
  <c r="B258" i="58" s="1"/>
  <c r="B259" i="58" s="1"/>
  <c r="B260" i="58" s="1"/>
  <c r="B261" i="58" s="1"/>
  <c r="B262" i="58" s="1"/>
  <c r="B263" i="58" s="1"/>
  <c r="B264" i="58" s="1"/>
  <c r="B265" i="58" s="1"/>
  <c r="B266" i="58" s="1"/>
  <c r="B267" i="58" s="1"/>
  <c r="B268" i="58" s="1"/>
  <c r="B269" i="58" s="1"/>
  <c r="B270" i="58" s="1"/>
  <c r="B271" i="58" s="1"/>
  <c r="B272" i="58" s="1"/>
  <c r="B273" i="58" s="1"/>
  <c r="B274" i="58" s="1"/>
  <c r="B275" i="58" s="1"/>
  <c r="B276" i="58" s="1"/>
  <c r="B277" i="58" s="1"/>
  <c r="B278" i="58" s="1"/>
  <c r="B279" i="58" s="1"/>
  <c r="B280" i="58" s="1"/>
  <c r="B281" i="58" s="1"/>
  <c r="B282" i="58" s="1"/>
  <c r="B283" i="58" s="1"/>
  <c r="B284" i="58" s="1"/>
  <c r="B285" i="58" s="1"/>
  <c r="B286" i="58" s="1"/>
  <c r="B287" i="58" s="1"/>
  <c r="B288" i="58" s="1"/>
  <c r="B289" i="58" s="1"/>
  <c r="B290" i="58" s="1"/>
  <c r="B291" i="58" s="1"/>
  <c r="B292" i="58" s="1"/>
  <c r="B293" i="58" s="1"/>
  <c r="B294" i="58" s="1"/>
  <c r="B295" i="58" s="1"/>
  <c r="B296" i="58" s="1"/>
  <c r="B297" i="58" s="1"/>
  <c r="B298" i="58" s="1"/>
  <c r="B299" i="58" s="1"/>
  <c r="B300" i="58" s="1"/>
  <c r="B301" i="58" s="1"/>
  <c r="B302" i="58" s="1"/>
  <c r="B303" i="58" s="1"/>
  <c r="B304" i="58" s="1"/>
  <c r="B305" i="58" s="1"/>
  <c r="B306" i="58" s="1"/>
  <c r="B307" i="58" s="1"/>
  <c r="B308" i="58" s="1"/>
  <c r="B309" i="58" s="1"/>
  <c r="B310" i="58" s="1"/>
  <c r="B311" i="58" s="1"/>
  <c r="B312" i="58" s="1"/>
  <c r="B313" i="58" s="1"/>
  <c r="B314" i="58" s="1"/>
  <c r="B315" i="58" s="1"/>
  <c r="B316" i="58" s="1"/>
  <c r="B317" i="58" s="1"/>
  <c r="B319" i="58" s="1"/>
  <c r="B140" i="80"/>
  <c r="B255" i="84"/>
  <c r="B256" i="84" s="1"/>
  <c r="B257" i="84" s="1"/>
  <c r="B258" i="84" s="1"/>
  <c r="B259" i="84" s="1"/>
  <c r="B261" i="84" s="1"/>
  <c r="B262" i="84" s="1"/>
  <c r="B263" i="84" s="1"/>
  <c r="B264" i="84" s="1"/>
  <c r="B265" i="84" s="1"/>
  <c r="B266" i="84" s="1"/>
  <c r="B267" i="84" s="1"/>
  <c r="B268" i="84" s="1"/>
  <c r="B269" i="84" s="1"/>
  <c r="B270" i="84" s="1"/>
  <c r="B271" i="84" s="1"/>
  <c r="B272" i="84" s="1"/>
  <c r="B273" i="84" s="1"/>
  <c r="B274" i="84" s="1"/>
  <c r="B275" i="84" s="1"/>
  <c r="B276" i="84" s="1"/>
  <c r="B277" i="84" s="1"/>
  <c r="B278" i="84" s="1"/>
  <c r="B279" i="84" s="1"/>
  <c r="B280" i="84" s="1"/>
  <c r="B281" i="84" s="1"/>
  <c r="B282" i="84" s="1"/>
  <c r="B283" i="84" s="1"/>
  <c r="B284" i="84" s="1"/>
  <c r="B285" i="84" s="1"/>
  <c r="B286" i="84" s="1"/>
  <c r="B287" i="84" s="1"/>
  <c r="B288" i="84" s="1"/>
  <c r="B289" i="84" s="1"/>
  <c r="B290" i="84" s="1"/>
  <c r="B291" i="84" s="1"/>
  <c r="B292" i="84" s="1"/>
  <c r="B293" i="84" s="1"/>
  <c r="B294" i="84" s="1"/>
  <c r="B295" i="84" s="1"/>
  <c r="B296" i="84" s="1"/>
  <c r="B297" i="84" s="1"/>
  <c r="B298" i="84" s="1"/>
  <c r="B299" i="84" s="1"/>
  <c r="B300" i="84" s="1"/>
  <c r="B301" i="84" s="1"/>
  <c r="B302" i="84" s="1"/>
  <c r="B303" i="84" s="1"/>
  <c r="B304" i="84" s="1"/>
  <c r="B305" i="84" s="1"/>
  <c r="B306" i="84" s="1"/>
  <c r="B307" i="84" s="1"/>
  <c r="B308" i="84" s="1"/>
  <c r="B309" i="84" s="1"/>
  <c r="B310" i="84" s="1"/>
  <c r="B311" i="84" s="1"/>
  <c r="B312" i="84" s="1"/>
  <c r="B313" i="84" s="1"/>
  <c r="B314" i="84" s="1"/>
  <c r="B315" i="84" s="1"/>
  <c r="B316" i="84" s="1"/>
  <c r="B317" i="84" s="1"/>
  <c r="B318" i="84" s="1"/>
  <c r="B319" i="84" s="1"/>
  <c r="B320" i="84" s="1"/>
  <c r="B321" i="84" s="1"/>
  <c r="B322" i="84" s="1"/>
  <c r="B323" i="84" s="1"/>
  <c r="B324" i="84" s="1"/>
  <c r="B326" i="84" s="1"/>
  <c r="B141" i="80" l="1"/>
  <c r="B142" i="80" l="1"/>
  <c r="B143" i="80" l="1"/>
  <c r="B144" i="80" l="1"/>
  <c r="B145" i="80" s="1"/>
  <c r="B146" i="80" s="1"/>
  <c r="B147" i="80" s="1"/>
  <c r="B148" i="80" s="1"/>
  <c r="B149" i="80" s="1"/>
  <c r="B150" i="80" s="1"/>
  <c r="B151" i="80" s="1"/>
  <c r="B152" i="80" s="1"/>
  <c r="B153" i="80" s="1"/>
  <c r="B154" i="80" s="1"/>
  <c r="B156" i="80" s="1"/>
  <c r="B157" i="80" s="1"/>
  <c r="B158" i="80" s="1"/>
  <c r="B159" i="80" s="1"/>
  <c r="B160" i="80" s="1"/>
  <c r="B161" i="80" s="1"/>
  <c r="B162" i="80" s="1"/>
  <c r="B163" i="80" s="1"/>
  <c r="B164" i="80" s="1"/>
  <c r="B165" i="80" s="1"/>
  <c r="B166" i="80" s="1"/>
  <c r="B167" i="80" s="1"/>
  <c r="B168" i="80" s="1"/>
  <c r="B169" i="80" s="1"/>
  <c r="B170" i="80" s="1"/>
  <c r="B171" i="80" s="1"/>
  <c r="B172" i="80" s="1"/>
  <c r="B173" i="80" s="1"/>
  <c r="B174" i="80" s="1"/>
  <c r="B175" i="80" s="1"/>
  <c r="B176" i="80" s="1"/>
  <c r="B177" i="80" s="1"/>
  <c r="B178" i="80" s="1"/>
  <c r="B179" i="80" s="1"/>
  <c r="B180" i="80" s="1"/>
  <c r="B181" i="80" s="1"/>
  <c r="B182" i="80" s="1"/>
  <c r="B183" i="80" s="1"/>
  <c r="B184" i="80" s="1"/>
  <c r="B185" i="80" s="1"/>
  <c r="B186" i="80" s="1"/>
  <c r="B187" i="80" s="1"/>
  <c r="B188" i="80" s="1"/>
  <c r="B189" i="80" s="1"/>
  <c r="B191" i="80" s="1"/>
  <c r="B192" i="80" s="1"/>
  <c r="B193" i="80" s="1"/>
  <c r="B194" i="80" s="1"/>
  <c r="B195" i="80" s="1"/>
  <c r="B196" i="80" s="1"/>
  <c r="B197" i="80" s="1"/>
  <c r="B198" i="80" s="1"/>
  <c r="B199" i="80" s="1"/>
  <c r="B200" i="80" s="1"/>
  <c r="B201" i="80" s="1"/>
  <c r="B202" i="80" s="1"/>
  <c r="B203" i="80" s="1"/>
  <c r="B204" i="80" s="1"/>
  <c r="B205" i="80" s="1"/>
  <c r="B206" i="80" s="1"/>
  <c r="B207" i="80" s="1"/>
  <c r="B208" i="80" s="1"/>
  <c r="B209" i="80" s="1"/>
  <c r="B210" i="80" s="1"/>
  <c r="B211" i="80" l="1"/>
  <c r="B212" i="80" s="1"/>
  <c r="B213" i="80" s="1"/>
  <c r="B214" i="80" s="1"/>
  <c r="B217" i="80" l="1"/>
  <c r="B218" i="80" s="1"/>
  <c r="B219" i="80" s="1"/>
  <c r="B220" i="80" s="1"/>
  <c r="B221" i="80" s="1"/>
  <c r="B222" i="80" s="1"/>
  <c r="B224" i="80" s="1"/>
  <c r="B225" i="80" s="1"/>
  <c r="B226" i="80" s="1"/>
  <c r="B227" i="80" s="1"/>
  <c r="B228" i="80" s="1"/>
  <c r="B229" i="80" s="1"/>
  <c r="B230" i="80" s="1"/>
  <c r="B231" i="80" s="1"/>
  <c r="B232" i="80" s="1"/>
  <c r="B233" i="80" s="1"/>
  <c r="B234" i="80" s="1"/>
  <c r="B235" i="80" s="1"/>
  <c r="B236" i="80" s="1"/>
  <c r="B237" i="80" s="1"/>
  <c r="B238" i="80" s="1"/>
  <c r="B239" i="80" s="1"/>
  <c r="B240" i="80" s="1"/>
  <c r="B241" i="80" s="1"/>
  <c r="B242" i="80" s="1"/>
  <c r="B243" i="80" s="1"/>
  <c r="B244" i="80" s="1"/>
  <c r="B245" i="80" s="1"/>
  <c r="B246" i="80" s="1"/>
  <c r="B247" i="80" s="1"/>
  <c r="B248" i="80" s="1"/>
  <c r="B249" i="80" s="1"/>
  <c r="B250" i="80" s="1"/>
  <c r="B251" i="80" s="1"/>
  <c r="B252" i="80" s="1"/>
  <c r="B253" i="80" s="1"/>
  <c r="B254" i="80" s="1"/>
  <c r="B255" i="80" s="1"/>
  <c r="B256" i="80" s="1"/>
  <c r="B257" i="80" s="1"/>
  <c r="B258" i="80" s="1"/>
  <c r="B259" i="80" s="1"/>
  <c r="B260" i="80" s="1"/>
  <c r="B261" i="80" s="1"/>
  <c r="B262" i="80" s="1"/>
  <c r="B263" i="80" s="1"/>
  <c r="B264" i="80" s="1"/>
  <c r="B265" i="80" s="1"/>
  <c r="B266" i="80" s="1"/>
  <c r="B267" i="80" s="1"/>
  <c r="B268" i="80" s="1"/>
  <c r="B269" i="80" s="1"/>
  <c r="B270" i="80" s="1"/>
  <c r="B271" i="80" s="1"/>
  <c r="B272" i="80" s="1"/>
  <c r="B273" i="80" s="1"/>
  <c r="B274" i="80" s="1"/>
  <c r="B275" i="80" s="1"/>
  <c r="B276" i="80" s="1"/>
  <c r="B277" i="80" s="1"/>
  <c r="B278" i="80" s="1"/>
  <c r="B279" i="80" s="1"/>
  <c r="B280" i="80" s="1"/>
  <c r="B281" i="80" s="1"/>
  <c r="B282" i="80" s="1"/>
  <c r="B283" i="80" s="1"/>
  <c r="B285" i="80"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<sst xmlns="http://schemas.openxmlformats.org/spreadsheetml/2006/main" count="16218" uniqueCount="990">
  <si>
    <t>Set</t>
  </si>
  <si>
    <t>Status</t>
  </si>
  <si>
    <t>Y</t>
  </si>
  <si>
    <t>Duration</t>
  </si>
  <si>
    <t>Environment</t>
  </si>
  <si>
    <t>blnExecute</t>
  </si>
  <si>
    <t>Parameter</t>
  </si>
  <si>
    <t>Value</t>
  </si>
  <si>
    <t>ResultFileLocation</t>
  </si>
  <si>
    <t>ResultFilename</t>
  </si>
  <si>
    <t>SheetsToExecute</t>
  </si>
  <si>
    <t>Notes</t>
  </si>
  <si>
    <t>Comments</t>
  </si>
  <si>
    <t>CreateHtmlReport</t>
  </si>
  <si>
    <t>ResultTitle</t>
  </si>
  <si>
    <t>Used for reporting. If this parameter is missing or blank, default behavior is True (html report will be generated)</t>
  </si>
  <si>
    <t>Used for reporting. If this parameter is missing or blank, default value is used "Test Run Result".</t>
  </si>
  <si>
    <t>Used for reporting. If this parameter is missing or blank, default value is used "N/A".</t>
  </si>
  <si>
    <t>TCID</t>
  </si>
  <si>
    <t>TC_ID_Column</t>
  </si>
  <si>
    <t>TC_Name_Column</t>
  </si>
  <si>
    <t>N</t>
  </si>
  <si>
    <t>SendEmailTO</t>
  </si>
  <si>
    <t>SendEmailCC</t>
  </si>
  <si>
    <t>EmailRunTimeDatasheet</t>
  </si>
  <si>
    <t>EmailSubject</t>
  </si>
  <si>
    <t>Error_Check</t>
  </si>
  <si>
    <t>Test_Case</t>
  </si>
  <si>
    <t>Step_Number</t>
  </si>
  <si>
    <t>Step_Name</t>
  </si>
  <si>
    <t>Index</t>
  </si>
  <si>
    <t>Method</t>
  </si>
  <si>
    <t>Output_Value</t>
  </si>
  <si>
    <t>Open</t>
  </si>
  <si>
    <t>Click</t>
  </si>
  <si>
    <t>isHTMLParsing</t>
  </si>
  <si>
    <t>removeNamespacesInResponse</t>
  </si>
  <si>
    <t>sendOutlookMail</t>
  </si>
  <si>
    <t>Default is True</t>
  </si>
  <si>
    <t>Default is False</t>
  </si>
  <si>
    <t>Default is False. XML parsing will be used for default</t>
  </si>
  <si>
    <t>Contains</t>
  </si>
  <si>
    <t>FindBy</t>
  </si>
  <si>
    <t>FindBy_Value</t>
  </si>
  <si>
    <t>Output_Property</t>
  </si>
  <si>
    <t>Expected_Value</t>
  </si>
  <si>
    <t>Ignore_not_existing_object</t>
  </si>
  <si>
    <t>Page</t>
  </si>
  <si>
    <t>Exact_Match</t>
  </si>
  <si>
    <t>Start_Time</t>
  </si>
  <si>
    <t>End_Time</t>
  </si>
  <si>
    <t>Timeout</t>
  </si>
  <si>
    <t>isDisabled</t>
  </si>
  <si>
    <t>breakpoint</t>
  </si>
  <si>
    <t>ParameterSheet</t>
  </si>
  <si>
    <t>xpath</t>
  </si>
  <si>
    <t>QuitBreakOnFailure</t>
  </si>
  <si>
    <t>DT_URL</t>
  </si>
  <si>
    <t>DT_Scenario</t>
  </si>
  <si>
    <t>1</t>
  </si>
  <si>
    <t>01</t>
  </si>
  <si>
    <t>Application</t>
  </si>
  <si>
    <t>WorkItemNumber</t>
  </si>
  <si>
    <t>WorkItemDescription</t>
  </si>
  <si>
    <t>Cycle</t>
  </si>
  <si>
    <t>isOfficial</t>
  </si>
  <si>
    <t>ManualTestHours</t>
  </si>
  <si>
    <t>Wait</t>
  </si>
  <si>
    <t>Zscaler Sign in Email</t>
  </si>
  <si>
    <t>Zscaler Password</t>
  </si>
  <si>
    <t xml:space="preserve">Click Sign in </t>
  </si>
  <si>
    <t>//input[@id='okta-signin-username']</t>
  </si>
  <si>
    <t>//input[@id='okta-signin-password']</t>
  </si>
  <si>
    <t>//input[@id='okta-signin-submit']</t>
  </si>
  <si>
    <t>DT_ZScalerUser</t>
  </si>
  <si>
    <t>DT_ZScalerPassword</t>
  </si>
  <si>
    <t>blnQuit</t>
  </si>
  <si>
    <t>NA</t>
  </si>
  <si>
    <t>Scenario</t>
  </si>
  <si>
    <t>{TAB}</t>
  </si>
  <si>
    <t>PauseOnFail</t>
  </si>
  <si>
    <t>//input[@name='tripDepartureDate']</t>
  </si>
  <si>
    <t>//input[@name='tripReturnDate']</t>
  </si>
  <si>
    <t>//input[@name='dateOfBirth']</t>
  </si>
  <si>
    <t>bln_TG</t>
  </si>
  <si>
    <t>Click Continue</t>
  </si>
  <si>
    <t>18</t>
  </si>
  <si>
    <t>//button[@type='SUBMIT']</t>
  </si>
  <si>
    <t>100</t>
  </si>
  <si>
    <t>Enter City</t>
  </si>
  <si>
    <t>//input[@name='email']</t>
  </si>
  <si>
    <t>Payment</t>
  </si>
  <si>
    <t>//input[@name='cardName']</t>
  </si>
  <si>
    <t>Enter Card Name</t>
  </si>
  <si>
    <t>Enter Card Number</t>
  </si>
  <si>
    <t>switchtoframe</t>
  </si>
  <si>
    <t>switchtodefault</t>
  </si>
  <si>
    <t>Quit</t>
  </si>
  <si>
    <t>Output</t>
  </si>
  <si>
    <t>innertext</t>
  </si>
  <si>
    <t>Confirmation Page</t>
  </si>
  <si>
    <t>qa@travelguard.com</t>
  </si>
  <si>
    <t>Select Trip Type</t>
  </si>
  <si>
    <t>Enter Last Name</t>
  </si>
  <si>
    <t>City</t>
  </si>
  <si>
    <t>//input[@name='lastName']</t>
  </si>
  <si>
    <t>12</t>
  </si>
  <si>
    <t>//span[@class='handlebar-recursive-replacement productName']</t>
  </si>
  <si>
    <t>//button[@id='add-container-button__1']</t>
  </si>
  <si>
    <t>//button[@id='add-container-button__2']</t>
  </si>
  <si>
    <t>//button[@id='add-container-button__3']</t>
  </si>
  <si>
    <t>Params_5</t>
  </si>
  <si>
    <t>Params_6</t>
  </si>
  <si>
    <t>Params_1</t>
  </si>
  <si>
    <t>Params_2</t>
  </si>
  <si>
    <t>Params_3</t>
  </si>
  <si>
    <t>Params_4</t>
  </si>
  <si>
    <t>Owner_AZ</t>
  </si>
  <si>
    <t>Comprehensive Coverage - Owner Advantange Plan</t>
  </si>
  <si>
    <t>Owner_CRVD</t>
  </si>
  <si>
    <t>Comprehensive Coverage - Rental Car Damage Plan</t>
  </si>
  <si>
    <t>Owner_RVD</t>
  </si>
  <si>
    <t>Rental Car Coverage - Rental Car Damage Plan</t>
  </si>
  <si>
    <t>PostDeparture</t>
  </si>
  <si>
    <t>Post Departure Plan</t>
  </si>
  <si>
    <t>Preview</t>
  </si>
  <si>
    <t>Preview Plan</t>
  </si>
  <si>
    <t>Travelkore</t>
  </si>
  <si>
    <t>Travel Med Go</t>
  </si>
  <si>
    <t>ITERATION_NO</t>
  </si>
  <si>
    <t>Open Owner Advantage URL</t>
  </si>
  <si>
    <t>bln677971</t>
  </si>
  <si>
    <t>Open Browser</t>
  </si>
  <si>
    <t>Owner Advantage</t>
  </si>
  <si>
    <t>DT_BrowserType</t>
  </si>
  <si>
    <t>Quote - Home Page</t>
  </si>
  <si>
    <t>Switch to Frame</t>
  </si>
  <si>
    <t>SWITCHTOFRAME</t>
  </si>
  <si>
    <t>aemFormFrame</t>
  </si>
  <si>
    <t>tripType</t>
  </si>
  <si>
    <t>Check Exist</t>
  </si>
  <si>
    <t>//button[text()='Accept All Cookies']</t>
  </si>
  <si>
    <t>Exist</t>
  </si>
  <si>
    <t>Output Cookie</t>
  </si>
  <si>
    <t>Accept All Cookies</t>
  </si>
  <si>
    <t>Cookies</t>
  </si>
  <si>
    <t>//button[@id='onetrust-accept-btn-handler']</t>
  </si>
  <si>
    <t>js_click</t>
  </si>
  <si>
    <t>Click Destination</t>
  </si>
  <si>
    <t>//input[@id='cmp-Input' and @placeholder='Select a country or region']</t>
  </si>
  <si>
    <t>Write Destination</t>
  </si>
  <si>
    <t>Write</t>
  </si>
  <si>
    <t>Destination</t>
  </si>
  <si>
    <t>Departure Date</t>
  </si>
  <si>
    <t/>
  </si>
  <si>
    <t>DepDate</t>
  </si>
  <si>
    <t>Return Date</t>
  </si>
  <si>
    <t>RetDate</t>
  </si>
  <si>
    <t>Deposit Date</t>
  </si>
  <si>
    <t>//input[@name='tripDepositDate']</t>
  </si>
  <si>
    <t>DepoDate</t>
  </si>
  <si>
    <t>Click State</t>
  </si>
  <si>
    <t>//input[@id='cmp-Input' and @placeholder='Select your state']</t>
  </si>
  <si>
    <t>Write State</t>
  </si>
  <si>
    <t>Residence</t>
  </si>
  <si>
    <t>Enter Age</t>
  </si>
  <si>
    <t>(//input[@name='insuredAge'])[1]</t>
  </si>
  <si>
    <t>Age</t>
  </si>
  <si>
    <t>Enter Trip Cost</t>
  </si>
  <si>
    <t>(//input[@name='display_tripCost'])[1]</t>
  </si>
  <si>
    <t>Cost</t>
  </si>
  <si>
    <t>Click Add</t>
  </si>
  <si>
    <t>Enter Age1</t>
  </si>
  <si>
    <t>(//input[@name='insuredAge'])[2]</t>
  </si>
  <si>
    <t>Age1</t>
  </si>
  <si>
    <t>Enter Trip Cost1</t>
  </si>
  <si>
    <t>(//input[@name='display_tripCost'])[2]</t>
  </si>
  <si>
    <t>Cost1</t>
  </si>
  <si>
    <t>Enter Age2</t>
  </si>
  <si>
    <t>(//input[@name='insuredAge'])[3]</t>
  </si>
  <si>
    <t>Age2</t>
  </si>
  <si>
    <t>Enter Trip Cost2</t>
  </si>
  <si>
    <t>(//input[@name='display_tripCost'])[3]</t>
  </si>
  <si>
    <t>Cost2</t>
  </si>
  <si>
    <t>Enter Age3</t>
  </si>
  <si>
    <t>(//input[@name='insuredAge'])[4]</t>
  </si>
  <si>
    <t>Age3</t>
  </si>
  <si>
    <t>Enter Trip Cost3</t>
  </si>
  <si>
    <t>(//input[@name='display_tripCost'])[4]</t>
  </si>
  <si>
    <t>Cost3</t>
  </si>
  <si>
    <t>Click Submit button</t>
  </si>
  <si>
    <t>Plan Option and Upgrades</t>
  </si>
  <si>
    <t>Comprehensive Coverage</t>
  </si>
  <si>
    <t>//button[@name='selectPlan' and @value='MRZ-0925']</t>
  </si>
  <si>
    <t>Rental Car Coverage</t>
  </si>
  <si>
    <t>//button[@name='selectPlan' and @value='MRCDZ-0925']</t>
  </si>
  <si>
    <t>Rental Car Damage Plan</t>
  </si>
  <si>
    <t>Pet Care</t>
  </si>
  <si>
    <t>//input[@name='PCU_addOn' and @value='Yes']</t>
  </si>
  <si>
    <t>Rental Car Damage</t>
  </si>
  <si>
    <t>//input[@name='RVD_addOn' and @value='Yes']</t>
  </si>
  <si>
    <t>Pick Up Date</t>
  </si>
  <si>
    <t>//input[@name='pickupDate']</t>
  </si>
  <si>
    <t>PickUpDate</t>
  </si>
  <si>
    <t>Drop Off Date</t>
  </si>
  <si>
    <t>//input[@name='dropoffDate']</t>
  </si>
  <si>
    <t>DropOffDate</t>
  </si>
  <si>
    <t>Click Add Dates</t>
  </si>
  <si>
    <t>//button[@id='RVD_addDates']</t>
  </si>
  <si>
    <t>Verify Date added</t>
  </si>
  <si>
    <t>(//div[@id='text-eca6e55636'])[2]</t>
  </si>
  <si>
    <t>PickUpDate1</t>
  </si>
  <si>
    <t>DropOffDate1</t>
  </si>
  <si>
    <t>(//div[@id='text-eca6e55636'])[3]</t>
  </si>
  <si>
    <t>PickUpDate2</t>
  </si>
  <si>
    <t>DropOffDate2</t>
  </si>
  <si>
    <t>(//div[@id='text-eca6e55636'])[4]</t>
  </si>
  <si>
    <t>Additional Baggage Lost</t>
  </si>
  <si>
    <t>//input[@name='BL_addOn' and @value='Yes']</t>
  </si>
  <si>
    <t>Travelers Information</t>
  </si>
  <si>
    <t>Enter First Name</t>
  </si>
  <si>
    <t>//input[@name='firstName']</t>
  </si>
  <si>
    <t>FirstName</t>
  </si>
  <si>
    <t>LastName</t>
  </si>
  <si>
    <t>Enter Birth Date</t>
  </si>
  <si>
    <t>BirthDate</t>
  </si>
  <si>
    <t>Click tab</t>
  </si>
  <si>
    <t>SendKeys</t>
  </si>
  <si>
    <t>Enter Address</t>
  </si>
  <si>
    <t>//input[@name='address1']</t>
  </si>
  <si>
    <t>Address</t>
  </si>
  <si>
    <t>//input[@name='city']</t>
  </si>
  <si>
    <t>Enter Zip Code</t>
  </si>
  <si>
    <t>//input[@name='postalCode']</t>
  </si>
  <si>
    <t>Zip</t>
  </si>
  <si>
    <t>Enter Phone</t>
  </si>
  <si>
    <t>//input[@name='dayPhone']</t>
  </si>
  <si>
    <t>Phone</t>
  </si>
  <si>
    <t>Enter Email</t>
  </si>
  <si>
    <t>Email</t>
  </si>
  <si>
    <t>Enter Owner Number</t>
  </si>
  <si>
    <t>//input[@name='ownerNumber']</t>
  </si>
  <si>
    <t>OwnerPhone</t>
  </si>
  <si>
    <t>Enter First Name 2</t>
  </si>
  <si>
    <t>(//input[@name='firstName'])[3]</t>
  </si>
  <si>
    <t>Trav_FirstName2</t>
  </si>
  <si>
    <t>Enter Last Name 2</t>
  </si>
  <si>
    <t>(//input[@name='lastName'])[3]</t>
  </si>
  <si>
    <t>Trav_LastName2</t>
  </si>
  <si>
    <t>Enter Birth Date 2</t>
  </si>
  <si>
    <t>(//input[@name='dateOfBirth'])[3]</t>
  </si>
  <si>
    <t>Trav_BirthDate2</t>
  </si>
  <si>
    <t>Enter First Name 3</t>
  </si>
  <si>
    <t>(//input[@name='firstName'])[4]</t>
  </si>
  <si>
    <t>Trav_FirstName3</t>
  </si>
  <si>
    <t>Enter Last Name 3</t>
  </si>
  <si>
    <t>(//input[@name='lastName'])[4]</t>
  </si>
  <si>
    <t>Trav_LastName3</t>
  </si>
  <si>
    <t>Enter Birth Date 3</t>
  </si>
  <si>
    <t>(//input[@name='dateOfBirth'])[4]</t>
  </si>
  <si>
    <t>Trav_BirthDate3</t>
  </si>
  <si>
    <t>CardName</t>
  </si>
  <si>
    <t>Change iFrame</t>
  </si>
  <si>
    <t>//input[@name='tsep-cardNum']</t>
  </si>
  <si>
    <t>CardNumber</t>
  </si>
  <si>
    <t>Enter Card Expiry Month</t>
  </si>
  <si>
    <t>ExpiryMonth</t>
  </si>
  <si>
    <t>Enter Card Expiry Year</t>
  </si>
  <si>
    <t>ExpiryYear</t>
  </si>
  <si>
    <t>Edit Quote/Restart</t>
  </si>
  <si>
    <t>Click Get a Quote (Bar)</t>
  </si>
  <si>
    <t>//a[contains(.,'Get Quote')]</t>
  </si>
  <si>
    <t>js_Click</t>
  </si>
  <si>
    <t>(//input[@id='cmp-Input' and @class='inputField'])[1]</t>
  </si>
  <si>
    <t>Destination1</t>
  </si>
  <si>
    <t>DepDateValid</t>
  </si>
  <si>
    <t>RetDateValid</t>
  </si>
  <si>
    <t>(//input[@id='cmp-Input' and @class='inputField'])[2]</t>
  </si>
  <si>
    <t>Residence1</t>
  </si>
  <si>
    <t>Update Trip Cost</t>
  </si>
  <si>
    <t>Traveler Information</t>
  </si>
  <si>
    <t>Zip1</t>
  </si>
  <si>
    <t>Phone1</t>
  </si>
  <si>
    <t>Email1</t>
  </si>
  <si>
    <t>Verify Traveler 2</t>
  </si>
  <si>
    <t>//h2[contains(.,'Traveler  2 - ')]</t>
  </si>
  <si>
    <t>Enter First Name 1</t>
  </si>
  <si>
    <t>(//input[@name='firstName'])[2]</t>
  </si>
  <si>
    <t>Trav_FirstName1</t>
  </si>
  <si>
    <t>Enter Last Name 1</t>
  </si>
  <si>
    <t>(//input[@name='lastName'])[2]</t>
  </si>
  <si>
    <t>Trav_LastName1</t>
  </si>
  <si>
    <t>Enter Birth Date 1</t>
  </si>
  <si>
    <t>(//input[@name='dateOfBirth'])[2]</t>
  </si>
  <si>
    <t>BirthDate1</t>
  </si>
  <si>
    <t xml:space="preserve">Verify Destination </t>
  </si>
  <si>
    <t>(//div[contains(@class,'cmp-text')]//span[contains(@class,'destinationCountry_multi_display')])[2]</t>
  </si>
  <si>
    <t>Verify Travel (Departure) Dates</t>
  </si>
  <si>
    <t>//span[@class='handlebar-recursive-replacement tripDepartureDate']</t>
  </si>
  <si>
    <t>Verify Travel (Return) Dates</t>
  </si>
  <si>
    <t>//span[@class='handlebar-recursive-replacement tripReturnDate']</t>
  </si>
  <si>
    <t>Verify Selected Plan</t>
  </si>
  <si>
    <t>Owner Advantage Plan</t>
  </si>
  <si>
    <t>Verify Trip Summary - Pet Care</t>
  </si>
  <si>
    <t>(//div[@id="text-ccb4f311fb"]//p)[1]</t>
  </si>
  <si>
    <t>Verify Trip Summary - Rental Car Damage</t>
  </si>
  <si>
    <t>(//div[@id="text-ccb4f311fb"]//p)[2]</t>
  </si>
  <si>
    <t>Verify Trip Summary - Additional Baggage Lost</t>
  </si>
  <si>
    <t>(//div[@id="text-ccb4f311fb"]//p)[3]</t>
  </si>
  <si>
    <t>Additional Baggage Loss</t>
  </si>
  <si>
    <t>Verify Total</t>
  </si>
  <si>
    <t>//div[@id='text-d710cc164e']//p</t>
  </si>
  <si>
    <t>I Agree</t>
  </si>
  <si>
    <t>//input[@value='I agree']</t>
  </si>
  <si>
    <t>Verify Contact Number is present in the upper right corner</t>
  </si>
  <si>
    <t>//div[@id='text-81c394aa71']//a</t>
  </si>
  <si>
    <t>1-800-351-5212</t>
  </si>
  <si>
    <t>Confirmation Message</t>
  </si>
  <si>
    <t>//div[@id="title-22fb927d63"]/h1</t>
  </si>
  <si>
    <t>Thank you for choosing us for your travel</t>
  </si>
  <si>
    <t>Confirmation Message 1</t>
  </si>
  <si>
    <t>//div[@id="text-31db911350"]/p</t>
  </si>
  <si>
    <t>Your purchase is confirmed. We have sent a confirmation email with all necessary policy documents to qa@travelguard.com. We wish you a safe and pleasant journey!</t>
  </si>
  <si>
    <t>Confirmation Message 2</t>
  </si>
  <si>
    <t>//div[@id="text-31db911350"]/p/b/span</t>
  </si>
  <si>
    <t>Confirmation Message 3</t>
  </si>
  <si>
    <t>//p[contains(.,'We wish you a safe and pleasant journey')]</t>
  </si>
  <si>
    <t>Output Policy Number</t>
  </si>
  <si>
    <t>//span[@class='handlebar-recursive-replacement purchaseResponse.policy.confirmationNumber']</t>
  </si>
  <si>
    <t>PolicyNumber_OUT</t>
  </si>
  <si>
    <t>Output Plan Choose</t>
  </si>
  <si>
    <t>Output Benifits 1</t>
  </si>
  <si>
    <t>(//div[@id='text-6f70b5a964']//p)[1]</t>
  </si>
  <si>
    <t>
Trip Interruption Up to 100% of Trip Cost up to $1,000</t>
  </si>
  <si>
    <t>Output Benifits 2</t>
  </si>
  <si>
    <t>(//div[@id='text-6f70b5a964']//p)[2]</t>
  </si>
  <si>
    <t>
Travel Delay (6 hours) $1,000 ($350/day)</t>
  </si>
  <si>
    <t>Output Benifits 3</t>
  </si>
  <si>
    <t>(//div[@id='text-6f70b5a964']//p)[3]</t>
  </si>
  <si>
    <t>
Missed Connection $1,000</t>
  </si>
  <si>
    <t>Output Benifits 4</t>
  </si>
  <si>
    <t>(//div[@id='text-6f70b5a964']//p)[4]</t>
  </si>
  <si>
    <t>
Baggage &amp; Personal Effects $1,000</t>
  </si>
  <si>
    <t>Output Benifits 5</t>
  </si>
  <si>
    <t>(//div[@id='text-6f70b5a964']//p)[5]</t>
  </si>
  <si>
    <t>
Baggage Delay (12 hours) $250</t>
  </si>
  <si>
    <t>Output Benifits 6</t>
  </si>
  <si>
    <t>(//div[@id='text-6f70b5a964']//p)[6]</t>
  </si>
  <si>
    <t>
Emergency Medical &amp; Dental Expense $25,000</t>
  </si>
  <si>
    <t>Output Message 4</t>
  </si>
  <si>
    <t>(//div[@id='text-9452340a21']//p)[2]</t>
  </si>
  <si>
    <t>Thank you for choosing Travelex Insurance to help protect your upcoming trip. If you should happen to have any questions or need to make a modification to your plan, please reach out to us at 800-351-5212.</t>
  </si>
  <si>
    <t>Output Destination</t>
  </si>
  <si>
    <t>//div[@id='text-c91052af4d']//span[contains(text(),'Australia')]</t>
  </si>
  <si>
    <t>Output Departure Date</t>
  </si>
  <si>
    <t>//span[contains(@class,'tripDepartureDate')]</t>
  </si>
  <si>
    <t>Output Return Date</t>
  </si>
  <si>
    <t>//span[contains(@class,'tripReturnDate')]</t>
  </si>
  <si>
    <t>Output Policy Information (PDP)</t>
  </si>
  <si>
    <t>//div[@id='container-622eee321c']//span[contains(@class,'productName')]</t>
  </si>
  <si>
    <t>Output First Name</t>
  </si>
  <si>
    <t>//div[@id='text-fa9c057110']//span[contains(@class,'purchaseResponse.policy.travelers.[0].firstName')]</t>
  </si>
  <si>
    <t>Output Last Name</t>
  </si>
  <si>
    <t>//div[@id='text-fa9c057110']//span[contains(@class,'purchaseResponse.policy.travelers.[0].lastName')]</t>
  </si>
  <si>
    <t>Output Date of Birth</t>
  </si>
  <si>
    <t>//div[@class='cmp-text']//span[contains(@class,'multiTravellerLoop-replication-index-iteration_1_input_dateOfBirth')]</t>
  </si>
  <si>
    <t>Output Mobile</t>
  </si>
  <si>
    <t>//div[@class='cmp-text']//span[contains(@class,'dayPhone')]</t>
  </si>
  <si>
    <t>Output Payment Summary (PDP)</t>
  </si>
  <si>
    <t>//span[contains(@class,'handlebar-recursive-replacement productName')]</t>
  </si>
  <si>
    <t>Output Payment Summary (PDP) Total</t>
  </si>
  <si>
    <t>//div[@id='text-ce281b73f4']//p</t>
  </si>
  <si>
    <t>Output Payment Summary (Pet Care)</t>
  </si>
  <si>
    <t>(//div[@class='cmp-text']//p)[26]</t>
  </si>
  <si>
    <t>Output Payment Summary (Pet Care) Total</t>
  </si>
  <si>
    <t>(//div[@class='cmp-text']//p)[27]</t>
  </si>
  <si>
    <t>Output Payment Summary (Rental Car Damage)</t>
  </si>
  <si>
    <t>(//div[@class='cmp-text']//p)[28]</t>
  </si>
  <si>
    <t>Output Payment Summary (Rental Care Damage) Total</t>
  </si>
  <si>
    <t>(//div[@class='cmp-text']//p)[29]</t>
  </si>
  <si>
    <t>Output Payment Summary (Additional Baggage Loss)</t>
  </si>
  <si>
    <t>Output Payment Summary (Additional Baggage Loss) Total</t>
  </si>
  <si>
    <t>(//div[@class='cmp-text']//p)[31]</t>
  </si>
  <si>
    <t>Output Payment Total</t>
  </si>
  <si>
    <t>//div[@id='text-0b9116b34c']//p[contains(.,'$')]</t>
  </si>
  <si>
    <t>Click Description of Coverage Link</t>
  </si>
  <si>
    <t>(//a[contains(.,'Description of Coverage')])[1]</t>
  </si>
  <si>
    <t>Switch to Window</t>
  </si>
  <si>
    <t>SWITCHTOWINDOW</t>
  </si>
  <si>
    <t>-1</t>
  </si>
  <si>
    <t>Verify URL</t>
  </si>
  <si>
    <t>GET_CURRENT_URL</t>
  </si>
  <si>
    <t>URL_OUT</t>
  </si>
  <si>
    <t>SCREENSHOT</t>
  </si>
  <si>
    <t>Switch to Main Window</t>
  </si>
  <si>
    <t>SwitchToMainWindow</t>
  </si>
  <si>
    <t>MOUSE_SCROLL</t>
  </si>
  <si>
    <t>400, N</t>
  </si>
  <si>
    <t>SENDKEYS</t>
  </si>
  <si>
    <t>^-^-^-^-^-^-</t>
  </si>
  <si>
    <t>//div[@id="text-31db911350"]/p/b</t>
  </si>
  <si>
    <t>. We wish you a safe and pleasant journey!</t>
  </si>
  <si>
    <t>Zoom</t>
  </si>
  <si>
    <t>^{+}^{+}^{+}^{+}</t>
  </si>
  <si>
    <t>Save SS Confirmation1</t>
  </si>
  <si>
    <t>Scroll</t>
  </si>
  <si>
    <t>{DOWN}{DOWN}{DOWN}{DOWN}{DOWN}{DOWN}</t>
  </si>
  <si>
    <t>Save SS Confirmation2</t>
  </si>
  <si>
    <t>Save SS Confirmation3</t>
  </si>
  <si>
    <t>{DOWN}{DOWN}{DOWN}{DOWN}{DOWN}{DOWN}{DOWN}</t>
  </si>
  <si>
    <t>Save SS Confirmation4</t>
  </si>
  <si>
    <t>Close Browser</t>
  </si>
  <si>
    <t>bln680505</t>
  </si>
  <si>
    <t>Click Summary DropDown</t>
  </si>
  <si>
    <t>//button[@id='my-trip-accordion-item-85f740dcaf-button']</t>
  </si>
  <si>
    <t>Click Get Quote</t>
  </si>
  <si>
    <t>Select Rental Car Damage Plan</t>
  </si>
  <si>
    <t>Click Close</t>
  </si>
  <si>
    <t>//button[@class='cmp-button']</t>
  </si>
  <si>
    <t>bln678042</t>
  </si>
  <si>
    <t>Click the My Trip dropdown next to the total premium</t>
  </si>
  <si>
    <t>(//button[@type='button'])[2]</t>
  </si>
  <si>
    <t>Verify the displayed Destination</t>
  </si>
  <si>
    <t>//div[@class='cmp-text']//span[contains(@class,'destinationCountry_multi_display')]</t>
  </si>
  <si>
    <t>Verify the displayed Trip Dates match the selected Departure Date</t>
  </si>
  <si>
    <t>(//div[@class='cmp-text']//span[contains(@class,'tripDepartureDate')])[1]</t>
  </si>
  <si>
    <t>Verify the displayed Trip Dates match the selected Return Dates</t>
  </si>
  <si>
    <t>(//div[@class='cmp-text']//span[contains(@class,'tripReturnDate')])[1]</t>
  </si>
  <si>
    <t>(//button[@type='button'])[1]</t>
  </si>
  <si>
    <t>Verify the Selected Plan (Rental Car Damage Plan)</t>
  </si>
  <si>
    <t>(//div[@class='cmp-text']//span[contains(@class,'productName')])[1]</t>
  </si>
  <si>
    <t>Verify the Selected Plan Amount</t>
  </si>
  <si>
    <t>//span[contains(@class,'selectedBaseRate-2') and contains(ancestor::p,'$')]</t>
  </si>
  <si>
    <t>Verify the displayed Total Amount</t>
  </si>
  <si>
    <t>//span[contains(@class,'totalBaseRate-2') and contains(ancestor::p,'$')]</t>
  </si>
  <si>
    <t xml:space="preserve">Close My Trip dropdown </t>
  </si>
  <si>
    <t>Click Get a Quote from the progress bar</t>
  </si>
  <si>
    <t>//a[text()='Get Quote']</t>
  </si>
  <si>
    <t>bln678042 - Update Traveler Details</t>
  </si>
  <si>
    <t>(//input[@id='cmp-Input'])[1]</t>
  </si>
  <si>
    <t>DepDate1</t>
  </si>
  <si>
    <t>RetDate1</t>
  </si>
  <si>
    <t>(//input[@id='cmp-Input'])[2]</t>
  </si>
  <si>
    <t>Verify previously entered value is displayed in the first name</t>
  </si>
  <si>
    <t>getAttribute("value")</t>
  </si>
  <si>
    <t>Verify previously entered value is displayed in the last name</t>
  </si>
  <si>
    <t>Verify previously entered value is displayed in the address 1</t>
  </si>
  <si>
    <t>Verify previously entered value is displayed in the city</t>
  </si>
  <si>
    <t>Verify previously entered value is displayed in the postal code</t>
  </si>
  <si>
    <t>Verify previously entered value is displayed in the phone</t>
  </si>
  <si>
    <t>Verify previously entered value is displayed in the email</t>
  </si>
  <si>
    <t>Verify previously entered value is displayed in the owner number</t>
  </si>
  <si>
    <t>Verify the displayed Destination matches the entered destination</t>
  </si>
  <si>
    <t>(//div[@class='cmp-text']//span[contains(@class,'destinationCountry_multi_display')])[2]</t>
  </si>
  <si>
    <t>//div[@id='text-d710cc164e']//span[contains(text(),'$')]</t>
  </si>
  <si>
    <t>Output Label Thank you</t>
  </si>
  <si>
    <t>//div[@class='cmp-title']/h1</t>
  </si>
  <si>
    <t>Output Text Purchase is confirmed</t>
  </si>
  <si>
    <t>(//div[@class='cmp-text']/p)[2]</t>
  </si>
  <si>
    <t>Output Benifits Trip Interruption</t>
  </si>
  <si>
    <t>(//div[@class='cmp-text']//p)[6]</t>
  </si>
  <si>
    <t>
Trip Interruption $100 for residents of CT, IN, KS, MO, MT, NY, VA, VT, &amp; WA Only</t>
  </si>
  <si>
    <t>Output Benefits Rental Car Damage</t>
  </si>
  <si>
    <t>(//div[@class='cmp-text']//p)[7]</t>
  </si>
  <si>
    <t>
Rental Car Damage $50,000 ($100 deductible)</t>
  </si>
  <si>
    <t>Output Benefits Travel Assistance</t>
  </si>
  <si>
    <t>(//div[@class='cmp-text']//p)[8]</t>
  </si>
  <si>
    <t>
Travel Assistance Services Included</t>
  </si>
  <si>
    <t>Output Benefits Restricted Destinations</t>
  </si>
  <si>
    <t>(//div[@class='cmp-text']//p)[9]</t>
  </si>
  <si>
    <t>
Restricted Destinations Travelex travel insurance products do not provide coverage for trips to, through, or from destinations sanctioned by Zurich Group or the U.S. Department of the Treasury’s Office of Foreign Assets Control (OFAC).
Please check the OFAC website and our travel alerts details for information on affected countries.</t>
  </si>
  <si>
    <t>Output Benefits Primary/Secondary Coverage</t>
  </si>
  <si>
    <t>(//div[@class='cmp-text']//p)[10]</t>
  </si>
  <si>
    <t>
Primary/Secondary Coverage Primary</t>
  </si>
  <si>
    <t>Output Benefits Pre-existing</t>
  </si>
  <si>
    <t>(//div[@class='cmp-text']//p)[11]</t>
  </si>
  <si>
    <t>
Pre-existing Look Back Period N/A</t>
  </si>
  <si>
    <t>Output Thank you for choosing</t>
  </si>
  <si>
    <t>(//div[@class='cmp-text']//p)[13]</t>
  </si>
  <si>
    <t>Output Policy Information</t>
  </si>
  <si>
    <t>(//div[@class='cmp-text']//span[contains(@class,'productName')])[2]</t>
  </si>
  <si>
    <t>//div[@class='cmp-text']//span[contains(@class,'purchaseResponse.policy.travelers.[0].firstName')]</t>
  </si>
  <si>
    <t>//div[@class='cmp-text']//span[contains(@class,'purchaseResponse.policy.travelers.[0].lastName')]</t>
  </si>
  <si>
    <t>1234567897</t>
  </si>
  <si>
    <t>Output Payment Summary (RCDP)</t>
  </si>
  <si>
    <t>(//div[@class='cmp-text']//span[contains(@class,'productName')])[3]</t>
  </si>
  <si>
    <t xml:space="preserve">Output Payment Amount </t>
  </si>
  <si>
    <t>(//div[@class='cmp-text']//p)[23]</t>
  </si>
  <si>
    <t>(//div[@class='cmp-text']//p)[24]</t>
  </si>
  <si>
    <t>Switch to window</t>
  </si>
  <si>
    <t>Output Travel Alerts</t>
  </si>
  <si>
    <t>^-</t>
  </si>
  <si>
    <t>Save SS</t>
  </si>
  <si>
    <t>Switch to Main window</t>
  </si>
  <si>
    <t>Switch iframe</t>
  </si>
  <si>
    <t>^{+}^{+}</t>
  </si>
  <si>
    <t>Open Post Departure URL</t>
  </si>
  <si>
    <t>bln680922</t>
  </si>
  <si>
    <t>Post Departure</t>
  </si>
  <si>
    <t>Select Post Departure Plan</t>
  </si>
  <si>
    <t>//button[@name='selectPlan' and @value='MPDZ-0925']</t>
  </si>
  <si>
    <t>Select No Rental Car Damage</t>
  </si>
  <si>
    <t>//input[@name='RVD_addOn' and @value='No']</t>
  </si>
  <si>
    <t>Click back button</t>
  </si>
  <si>
    <t>//a[contains(.,'Return to previous step')]</t>
  </si>
  <si>
    <t>Click the dropdown next to the total premium</t>
  </si>
  <si>
    <t>(//button[@type="button"])[1]</t>
  </si>
  <si>
    <t>Click Edit</t>
  </si>
  <si>
    <t>//a[@type="button"]</t>
  </si>
  <si>
    <t>Verify that the amount is added according to the selected upgrades</t>
  </si>
  <si>
    <t>//button[@type='button']//span[contains(@class,'totalBaseRateWithCurrency')]</t>
  </si>
  <si>
    <t>Verify Trip Summary - Add Ons (Rental Car Damage)</t>
  </si>
  <si>
    <t>//div[@id="text-ccb4f311fb"]//p</t>
  </si>
  <si>
    <t>Output Payment Summary (Rental)</t>
  </si>
  <si>
    <t>//div[@id='text-f6ddfce567']//p</t>
  </si>
  <si>
    <t>Output Payment Summary (Rental) Total</t>
  </si>
  <si>
    <t>//div[@id='text-9dc474a7f7']//p</t>
  </si>
  <si>
    <t>Open Preview URL</t>
  </si>
  <si>
    <t>bln680759</t>
  </si>
  <si>
    <t>//input[@name='display_tripCost']</t>
  </si>
  <si>
    <t>Select Preview Plan</t>
  </si>
  <si>
    <t>//button[@name='selectPlan' and @value='MPEZ-0925']</t>
  </si>
  <si>
    <t>Select Yes Rental Car Damage</t>
  </si>
  <si>
    <t>Enter Reservation Confirmation Number</t>
  </si>
  <si>
    <t>//input[@name='invoiceNumber']</t>
  </si>
  <si>
    <t>ReservationConfirmationNumber</t>
  </si>
  <si>
    <t>//input[@name='insuredAge']</t>
  </si>
  <si>
    <t>PickUpDate3</t>
  </si>
  <si>
    <t>DropOffDate3</t>
  </si>
  <si>
    <t>PickUpDate4</t>
  </si>
  <si>
    <t>DropOffDate4</t>
  </si>
  <si>
    <t>Verify that the premium is added according to the selected upgrades</t>
  </si>
  <si>
    <t>Rental Car Damage Upgrade</t>
  </si>
  <si>
    <t>(//div[@class='cmp-text']//a)[1]</t>
  </si>
  <si>
    <t>(//div[@class='cmp-text']/p/b/span)[1]</t>
  </si>
  <si>
    <t>
Trip Cancellation Up to 100% of Insured Trip Cost up to $10,000</t>
  </si>
  <si>
    <t>
Trip Interruption Up to 100% of Insured Trip Cost up to $10,000</t>
  </si>
  <si>
    <t>
Travel Delay (5 hours) $2,000</t>
  </si>
  <si>
    <t>
Trip Inconvenience $1,000</t>
  </si>
  <si>
    <t>Output Policy Information (PP)</t>
  </si>
  <si>
    <t>Output Trip Cost</t>
  </si>
  <si>
    <t>Trip Cost: $1,500.00</t>
  </si>
  <si>
    <t>Output Payment Summary (PP)</t>
  </si>
  <si>
    <t>Output Payment Summary (PP) Total</t>
  </si>
  <si>
    <t>(//div[@class='cmp-text']//p)[25]</t>
  </si>
  <si>
    <t>(//div[@class="cmp-text"]//p[contains(.,'$')])[10]</t>
  </si>
  <si>
    <t xml:space="preserve">Click Description of coverage link </t>
  </si>
  <si>
    <t>//div[@class='cmp-text']//a[text()='Preview Description of Coverage']</t>
  </si>
  <si>
    <t>Open Travelkore URL</t>
  </si>
  <si>
    <t>bln687809</t>
  </si>
  <si>
    <t>Verify that the Plan displayed is Travel Med Go</t>
  </si>
  <si>
    <t>Select Travel Med Go</t>
  </si>
  <si>
    <t>//button[@name='selectPlan' and @value='TMGZ-1224']</t>
  </si>
  <si>
    <t>Travelers</t>
  </si>
  <si>
    <t>Click back</t>
  </si>
  <si>
    <t>BACK</t>
  </si>
  <si>
    <t>Click the dropdown</t>
  </si>
  <si>
    <t>//a[contains(.,'Edit')]</t>
  </si>
  <si>
    <t>Click My Trip Panel dropdown</t>
  </si>
  <si>
    <t>(//div[contains(@class,'cmp-text')]//span[contains(@class,'destinationCountry_multi_display')])[1]</t>
  </si>
  <si>
    <t>Verify Travel Dates</t>
  </si>
  <si>
    <t>//div[@id="text-688c88e0df"]//p</t>
  </si>
  <si>
    <t>(//div[@class="cmp-container"]//span[contains(@class,'insuredAge_display')])[1]</t>
  </si>
  <si>
    <t>(//div[@class="cmp-text"]//p)[9]</t>
  </si>
  <si>
    <t>Accidental Death for Air Travel</t>
  </si>
  <si>
    <t>//input[@name='AOAD_addOn' and @value='Yes']</t>
  </si>
  <si>
    <t>Medical</t>
  </si>
  <si>
    <t>//input[@name='MU_addOn' and @value='Yes']</t>
  </si>
  <si>
    <t>Adventure Activities</t>
  </si>
  <si>
    <t>//input[@name='ADVS_addOn' and @value='Yes']</t>
  </si>
  <si>
    <t>Baggage</t>
  </si>
  <si>
    <t>Security Deposit</t>
  </si>
  <si>
    <t>//input[@name='SDU_addOn' and @value='Yes']</t>
  </si>
  <si>
    <t>//button[@class='cmp-accordion__button']</t>
  </si>
  <si>
    <t>//span[@class='handlebar-recursive-replacement totalBaseRate-2--,']</t>
  </si>
  <si>
    <t>Verify Trip Summary - Accidental Death for Air Travel</t>
  </si>
  <si>
    <t>Verify Trip Summary - Adventure Activities</t>
  </si>
  <si>
    <t>Verify Trip Summary - Medical</t>
  </si>
  <si>
    <t>(//div[@id="text-ccb4f311fb"]//p)[4]</t>
  </si>
  <si>
    <t>(//div[@id="text-ccb4f311fb"]//p)[5]</t>
  </si>
  <si>
    <t>Verify Trip Summary - Baggage</t>
  </si>
  <si>
    <t>(//div[@id="text-ccb4f311fb"]//p)[6]</t>
  </si>
  <si>
    <t>Verify Trip Summary - Security Deposit</t>
  </si>
  <si>
    <t>(//div[@id="text-ccb4f311fb"]//p)[7]</t>
  </si>
  <si>
    <t>1-800-228-9792</t>
  </si>
  <si>
    <t>
Trip Interruption Up to $1,000</t>
  </si>
  <si>
    <t>
Travel Delay $500 ($200/day)</t>
  </si>
  <si>
    <t>
Missed Connection - Air &amp; Cruise Only $300</t>
  </si>
  <si>
    <t>
Baggage and Personal Effects $1,000</t>
  </si>
  <si>
    <t>
Baggage Delay $500</t>
  </si>
  <si>
    <t>
Emergency Medical Expense $50,000</t>
  </si>
  <si>
    <t>Please download the Policy Details for a comprehensive view of your benefits.</t>
  </si>
  <si>
    <t>Output Payment Summary (TMG)</t>
  </si>
  <si>
    <t>Output Payment Summary Add Ons 1</t>
  </si>
  <si>
    <t>Output Payment Summary Add Ons 2</t>
  </si>
  <si>
    <t>Output Payment Summary Add Ons 3</t>
  </si>
  <si>
    <t>Output Payment Summary Add Ons 4</t>
  </si>
  <si>
    <t>Output Payment Summary Add Ons 5</t>
  </si>
  <si>
    <t>(//div[@class='cmp-text']//p)[33]</t>
  </si>
  <si>
    <t>Output Payment Summary Add Ons 6</t>
  </si>
  <si>
    <t>(//div[@class='cmp-text']//p)[35]</t>
  </si>
  <si>
    <t>(//div[@class="cmp-text"]//p[contains(.,'$')])[15]</t>
  </si>
  <si>
    <t>Click Policy Details</t>
  </si>
  <si>
    <t>//div[@class='cmp-text']//a[text()='Policy Details']</t>
  </si>
  <si>
    <t>DateToday</t>
  </si>
  <si>
    <t>Plan</t>
  </si>
  <si>
    <t>Restricted</t>
  </si>
  <si>
    <t>Destination2</t>
  </si>
  <si>
    <t>Destination3</t>
  </si>
  <si>
    <t>Destination4</t>
  </si>
  <si>
    <t>Destination5</t>
  </si>
  <si>
    <t>Destination6</t>
  </si>
  <si>
    <t>Destination7</t>
  </si>
  <si>
    <t>Destination8</t>
  </si>
  <si>
    <t>Destination9</t>
  </si>
  <si>
    <t>Destination10</t>
  </si>
  <si>
    <t>Destination11</t>
  </si>
  <si>
    <t>Destination12</t>
  </si>
  <si>
    <t>Destination13</t>
  </si>
  <si>
    <t>Destination14</t>
  </si>
  <si>
    <t>Destination15</t>
  </si>
  <si>
    <t>Destination16</t>
  </si>
  <si>
    <t>Destination17</t>
  </si>
  <si>
    <t>Destination18</t>
  </si>
  <si>
    <t>Destination19</t>
  </si>
  <si>
    <t>Destination20</t>
  </si>
  <si>
    <t>Destination21</t>
  </si>
  <si>
    <t>Destination22</t>
  </si>
  <si>
    <t>Destination23</t>
  </si>
  <si>
    <t>Destination24</t>
  </si>
  <si>
    <t>Destination25</t>
  </si>
  <si>
    <t>Destination26</t>
  </si>
  <si>
    <t>Destination27</t>
  </si>
  <si>
    <t>Destination28</t>
  </si>
  <si>
    <t>Destination29</t>
  </si>
  <si>
    <t>Destination30</t>
  </si>
  <si>
    <t>Destination31</t>
  </si>
  <si>
    <t>Destination32</t>
  </si>
  <si>
    <t>Destination33</t>
  </si>
  <si>
    <t>DepoYearInvalid</t>
  </si>
  <si>
    <t>DepoYearValid</t>
  </si>
  <si>
    <t>DepoMonthInvalid</t>
  </si>
  <si>
    <t>DepoMonthValid</t>
  </si>
  <si>
    <t>DepoDayInvalid</t>
  </si>
  <si>
    <t>DepoDayValid</t>
  </si>
  <si>
    <t>Residence2</t>
  </si>
  <si>
    <t>Residence3</t>
  </si>
  <si>
    <t>Residence4</t>
  </si>
  <si>
    <t>Residence5</t>
  </si>
  <si>
    <t>Residence6</t>
  </si>
  <si>
    <t>Residence7</t>
  </si>
  <si>
    <t>Residence8</t>
  </si>
  <si>
    <t>Residence9</t>
  </si>
  <si>
    <t>Residence10</t>
  </si>
  <si>
    <t>Residence11</t>
  </si>
  <si>
    <t>Residence12</t>
  </si>
  <si>
    <t>Residence13</t>
  </si>
  <si>
    <t>Residence14</t>
  </si>
  <si>
    <t>Residence15</t>
  </si>
  <si>
    <t>Residence16</t>
  </si>
  <si>
    <t>Residence17</t>
  </si>
  <si>
    <t>Residence18</t>
  </si>
  <si>
    <t>Residence19</t>
  </si>
  <si>
    <t>Residence20</t>
  </si>
  <si>
    <t>Residence21</t>
  </si>
  <si>
    <t>Residence22</t>
  </si>
  <si>
    <t>Residence23</t>
  </si>
  <si>
    <t>Residence24</t>
  </si>
  <si>
    <t>Residence25</t>
  </si>
  <si>
    <t>Residence26</t>
  </si>
  <si>
    <t>Residence27</t>
  </si>
  <si>
    <t>Residence28</t>
  </si>
  <si>
    <t>Residence29</t>
  </si>
  <si>
    <t>Residence30</t>
  </si>
  <si>
    <t>Residence31</t>
  </si>
  <si>
    <t>Residence32</t>
  </si>
  <si>
    <t>Residence33</t>
  </si>
  <si>
    <t>Residence34</t>
  </si>
  <si>
    <t>Residence35</t>
  </si>
  <si>
    <t>Residence36</t>
  </si>
  <si>
    <t>Residence37</t>
  </si>
  <si>
    <t>Residence38</t>
  </si>
  <si>
    <t>Residence39</t>
  </si>
  <si>
    <t>Residence40</t>
  </si>
  <si>
    <t>Residence41</t>
  </si>
  <si>
    <t>Residence42</t>
  </si>
  <si>
    <t>Residence43</t>
  </si>
  <si>
    <t>Residence44</t>
  </si>
  <si>
    <t>Residence45</t>
  </si>
  <si>
    <t>Residence46</t>
  </si>
  <si>
    <t>Residence47</t>
  </si>
  <si>
    <t>Residence48</t>
  </si>
  <si>
    <t>Residence49</t>
  </si>
  <si>
    <t>Residence50</t>
  </si>
  <si>
    <t>Residence51</t>
  </si>
  <si>
    <t>Residence52</t>
  </si>
  <si>
    <t>Residence53</t>
  </si>
  <si>
    <t>CostAllowed</t>
  </si>
  <si>
    <t>Trav_BirthDate1</t>
  </si>
  <si>
    <t>Age4</t>
  </si>
  <si>
    <t>Cost4</t>
  </si>
  <si>
    <t>Trav_FirstName4</t>
  </si>
  <si>
    <t>Trav_LastName4</t>
  </si>
  <si>
    <t>Trav_BirthDate4</t>
  </si>
  <si>
    <t>Age5</t>
  </si>
  <si>
    <t>Cost5</t>
  </si>
  <si>
    <t>Trav_FirstName5</t>
  </si>
  <si>
    <t>Trav_LastName5</t>
  </si>
  <si>
    <t>Trav_BirthDate5</t>
  </si>
  <si>
    <t>Age6</t>
  </si>
  <si>
    <t>Cost6</t>
  </si>
  <si>
    <t>Trav_FirstName6</t>
  </si>
  <si>
    <t>Trav_LastName6</t>
  </si>
  <si>
    <t>Trav_BirthDate6</t>
  </si>
  <si>
    <t>Age7</t>
  </si>
  <si>
    <t>Cost7</t>
  </si>
  <si>
    <t>Trav_FirstName7</t>
  </si>
  <si>
    <t>Trav_LastName7</t>
  </si>
  <si>
    <t>Trav_BirthDate7</t>
  </si>
  <si>
    <t>Age8</t>
  </si>
  <si>
    <t>Cost8</t>
  </si>
  <si>
    <t>Trav_FirstName8</t>
  </si>
  <si>
    <t>Trav_LastName8</t>
  </si>
  <si>
    <t>Trav_BirthDate8</t>
  </si>
  <si>
    <t>Age9</t>
  </si>
  <si>
    <t>Cost9</t>
  </si>
  <si>
    <t>Trav_FirstName9</t>
  </si>
  <si>
    <t>Trav_LastName9</t>
  </si>
  <si>
    <t>Trav_BirthDate9</t>
  </si>
  <si>
    <t>BirthDateInvalid</t>
  </si>
  <si>
    <t>CardNumber1</t>
  </si>
  <si>
    <t>Cost_OUT</t>
  </si>
  <si>
    <t>Cost_RES</t>
  </si>
  <si>
    <t>Destination_OUT</t>
  </si>
  <si>
    <t>Destination_RES</t>
  </si>
  <si>
    <t>Plan_OUT</t>
  </si>
  <si>
    <t>Plan_RES</t>
  </si>
  <si>
    <t>Plan1</t>
  </si>
  <si>
    <t>Plan1_OUT</t>
  </si>
  <si>
    <t>Plan2</t>
  </si>
  <si>
    <t>Plan2_OUT</t>
  </si>
  <si>
    <t>ErrorMessage</t>
  </si>
  <si>
    <t>ErrorMessage_OUT</t>
  </si>
  <si>
    <t>ErrorMessage_RES</t>
  </si>
  <si>
    <t>ErrorMessage1</t>
  </si>
  <si>
    <t>ErrorMessage1_OUT</t>
  </si>
  <si>
    <t>ErrorMessage2</t>
  </si>
  <si>
    <t>ErrorMessage2_OUT</t>
  </si>
  <si>
    <t>ErrorMessage3</t>
  </si>
  <si>
    <t>ErrorMessage3_OUT</t>
  </si>
  <si>
    <t>Tooltip</t>
  </si>
  <si>
    <t>Tooltip_OUT</t>
  </si>
  <si>
    <t>Tooltip_RES</t>
  </si>
  <si>
    <t>Tooltip1</t>
  </si>
  <si>
    <t>Tooltip1_OUT</t>
  </si>
  <si>
    <t>Tooltip1_RES</t>
  </si>
  <si>
    <t>Tooltip2</t>
  </si>
  <si>
    <t>Tooltip2_OUT</t>
  </si>
  <si>
    <t>Tooltip2_RES</t>
  </si>
  <si>
    <t>FAQ1</t>
  </si>
  <si>
    <t>FAQ1_OUT</t>
  </si>
  <si>
    <t>FAQ1_RES</t>
  </si>
  <si>
    <t>FAQ2</t>
  </si>
  <si>
    <t>FAQ2_OUT</t>
  </si>
  <si>
    <t>FAQ2_RES</t>
  </si>
  <si>
    <t>FAQ3</t>
  </si>
  <si>
    <t>FAQ3_OUT</t>
  </si>
  <si>
    <t>FAQ3_RES</t>
  </si>
  <si>
    <t>FAQ4</t>
  </si>
  <si>
    <t>FAQ4_OUT</t>
  </si>
  <si>
    <t>FAQ4_RES</t>
  </si>
  <si>
    <t>FAQ5</t>
  </si>
  <si>
    <t>FAQ5_OUT</t>
  </si>
  <si>
    <t>FAQ5_RES</t>
  </si>
  <si>
    <t>OwnerAdvantagePlan_OUT</t>
  </si>
  <si>
    <t>RentalCarDamagePlan_OUT</t>
  </si>
  <si>
    <t>OwnerAdvantagePlan_VERIFY</t>
  </si>
  <si>
    <t>RentalCarDamage_VERIFY</t>
  </si>
  <si>
    <t>Chrome</t>
  </si>
  <si>
    <t>TC_677971</t>
  </si>
  <si>
    <t>Advantage Plan</t>
  </si>
  <si>
    <t>Singapore</t>
  </si>
  <si>
    <t>Australia</t>
  </si>
  <si>
    <t>California</t>
  </si>
  <si>
    <t>Nebraska</t>
  </si>
  <si>
    <t>New York</t>
  </si>
  <si>
    <t>110</t>
  </si>
  <si>
    <t>1000</t>
  </si>
  <si>
    <t>1500</t>
  </si>
  <si>
    <t>26</t>
  </si>
  <si>
    <t>01/01/2000</t>
  </si>
  <si>
    <t>QA213 COR246</t>
  </si>
  <si>
    <t>68102</t>
  </si>
  <si>
    <t>2222222222</t>
  </si>
  <si>
    <t>qa@travelexinsurance.com</t>
  </si>
  <si>
    <t>qwertyuiopasdfgh</t>
  </si>
  <si>
    <t>QA Test</t>
  </si>
  <si>
    <t>4111111111111111</t>
  </si>
  <si>
    <t>2030</t>
  </si>
  <si>
    <t>TC_680505</t>
  </si>
  <si>
    <t>TC_678042</t>
  </si>
  <si>
    <t>TC_680922</t>
  </si>
  <si>
    <t>TC_680759</t>
  </si>
  <si>
    <t>TC_687809</t>
  </si>
  <si>
    <r>
      <t xml:space="preserve">Used for reporting. </t>
    </r>
    <r>
      <rPr>
        <b/>
        <sz val="11"/>
        <rFont val="Calibri"/>
        <family val="2"/>
        <scheme val="minor"/>
      </rPr>
      <t>This is required</t>
    </r>
    <r>
      <rPr>
        <sz val="11"/>
        <rFont val="Calibri"/>
        <family val="2"/>
        <scheme val="minor"/>
      </rPr>
      <t>. If this is missing, result summary table of the report will be empty.</t>
    </r>
  </si>
  <si>
    <t>Verify and Output Zip code is required</t>
  </si>
  <si>
    <t>ZIP code is required.</t>
  </si>
  <si>
    <t>//div[@class='customErr']</t>
  </si>
  <si>
    <t>Please enter a ZIP code that matches the State you selected.</t>
  </si>
  <si>
    <t>Enter valide Zip Code for the selected state</t>
  </si>
  <si>
    <t>Verify and Output Please Enter a valid Zip Code for the state selected</t>
  </si>
  <si>
    <t>Enter Zip Code for the selected state</t>
  </si>
  <si>
    <t>90001</t>
  </si>
  <si>
    <t>Los Angeles</t>
  </si>
  <si>
    <t>92101</t>
  </si>
  <si>
    <t>San Diego</t>
  </si>
  <si>
    <t>City1</t>
  </si>
  <si>
    <t>Omaha</t>
  </si>
  <si>
    <t>ZipX</t>
  </si>
  <si>
    <t>12345</t>
  </si>
  <si>
    <t>Mexico</t>
  </si>
  <si>
    <t>//input[@id='cmp-Input' and @class='inputField']</t>
  </si>
  <si>
    <t>Verify Default Destination displays Mexico</t>
  </si>
  <si>
    <t>//span[@selectedcountrycode='1404' and @aria-hidden='true']</t>
  </si>
  <si>
    <t>(//span[@class='handlebar-recursive-replacement tripDepartureDate'])[2]</t>
  </si>
  <si>
    <t>(//span[@class='handlebar-recursive-replacement tripReturnDate'])[2]</t>
  </si>
  <si>
    <t>(//span[@class='handlebar-recursive-replacement productName'])[2]</t>
  </si>
  <si>
    <t>//span[contains(@class,'destinationCountry_multi_display')]</t>
  </si>
  <si>
    <t>//span[contains(@class,'productName')]</t>
  </si>
  <si>
    <t>//span[contains(@class,'selectedBaseRate-2')]</t>
  </si>
  <si>
    <t>//span[contains(@class,'totalBaseRate-2')]</t>
  </si>
  <si>
    <t>(//span[contains(@class,'destinationCountry_multi_display')])[2]</t>
  </si>
  <si>
    <t>(//span[contains(@class,'totalBaseRate-2') and contains(ancestor::p,'$')])[2]</t>
  </si>
  <si>
    <t>(//span[contains(@class,'productName')])[2]</t>
  </si>
  <si>
    <t>//span[contains(@class,'purchaseResponse.policy.travelers.[0].firstName')]</t>
  </si>
  <si>
    <t>//span[contains(@class,'purchaseResponse.policy.travelers.[0].lastName')]</t>
  </si>
  <si>
    <t>//span[contains(@class,'dayPhone')]</t>
  </si>
  <si>
    <t>(//span[contains(@class,'productName')])[3]</t>
  </si>
  <si>
    <t>//span[@class='handlebar-recursive-replacement selectedBaseRate-2--,']</t>
  </si>
  <si>
    <t>(//div[@id='text-eca6e55636']/p)[2]</t>
  </si>
  <si>
    <t>(//div[@id='text-eca6e55636']/p)[3]</t>
  </si>
  <si>
    <t>(//div[@id="text-0b9116b34c"]//p[contains(.,'$')]//span)[2]</t>
  </si>
  <si>
    <t>//div[@id="text-187fb15107"]/p</t>
  </si>
  <si>
    <t>//div[@id='title-66463e0db5']/h2/span</t>
  </si>
  <si>
    <t>Enter a birth date that does not match the age entered on the GAQ page.</t>
  </si>
  <si>
    <t>55</t>
  </si>
  <si>
    <t>Verify Total has been updated</t>
  </si>
  <si>
    <t>//b[contains(., '$')]/span</t>
  </si>
  <si>
    <t>AOAD1</t>
  </si>
  <si>
    <t>AOAD2</t>
  </si>
  <si>
    <t>AOAD3</t>
  </si>
  <si>
    <t>Select AOAD Upgrade Options</t>
  </si>
  <si>
    <t>Select</t>
  </si>
  <si>
    <t>//select[@name='aoad-options']</t>
  </si>
  <si>
    <t>Verify AOAD Total has been updated</t>
  </si>
  <si>
    <t>Compare AOAD Premium in My Trip Panel</t>
  </si>
  <si>
    <t>//p[contains(.,'$')]</t>
  </si>
  <si>
    <t>$200,000</t>
  </si>
  <si>
    <t>$1,000,000</t>
  </si>
  <si>
    <t>$500,000</t>
  </si>
  <si>
    <t>Verify AOAD Premium is updated</t>
  </si>
  <si>
    <t>Go Back to Upgrades for Verification</t>
  </si>
  <si>
    <t>//a[@href='/add-ons']</t>
  </si>
  <si>
    <t>Compare AOAD Premium in My Trip Panel from previuous quote</t>
  </si>
  <si>
    <t>//button[@type='button']</t>
  </si>
  <si>
    <t>BirthDate2</t>
  </si>
  <si>
    <t>(//div[@class='cmp-text']//p)[20]</t>
  </si>
  <si>
    <t>ANZ</t>
  </si>
  <si>
    <t>Params_7</t>
  </si>
  <si>
    <t>Open Air New Zealand URL</t>
  </si>
  <si>
    <t>Air New Zealand</t>
  </si>
  <si>
    <t>TC_694769</t>
  </si>
  <si>
    <t>bln694769</t>
  </si>
  <si>
    <t>Travel Protection Plan</t>
  </si>
  <si>
    <t>//button[@name='selectPlan' and @value='805ZA-0224']</t>
  </si>
  <si>
    <t>Click the My Trip dropdown</t>
  </si>
  <si>
    <t>Enter Koru Membership Number</t>
  </si>
  <si>
    <t>KoruMembershipNumber</t>
  </si>
  <si>
    <t>Tick</t>
  </si>
  <si>
    <t xml:space="preserve">Click Get a Quote </t>
  </si>
  <si>
    <t>//button[@type='button'and @aria-label='addButtonBelow']</t>
  </si>
  <si>
    <t>Enter Age 1</t>
  </si>
  <si>
    <t>Enter Trip Cost 1</t>
  </si>
  <si>
    <t>Click Get a Quote button</t>
  </si>
  <si>
    <t>Verify Air New Zealand logo is present in the upper right corner</t>
  </si>
  <si>
    <t>(//div[@class='cmp-text']/p)[1]</t>
  </si>
  <si>
    <t>(//div[@class='cmp-text']//p)[5]</t>
  </si>
  <si>
    <t>
Trip Cancellation 100% of Insured Trip Cost up to a maximum of $30,000</t>
  </si>
  <si>
    <t>
Trip Interruption 150% of Insured Trip Cost up to a maximum of $45,000</t>
  </si>
  <si>
    <t>
Travel Delay $750 ($150/per day)</t>
  </si>
  <si>
    <t>
Missed Connection - Air &amp; Cruise Only $1,000</t>
  </si>
  <si>
    <t>
Baggage Delay $250</t>
  </si>
  <si>
    <t>(//div[@class='cmp-text']//p)[12]</t>
  </si>
  <si>
    <t>(//div[@class="cmp-text"]//p[contains(.,'$')])[9]</t>
  </si>
  <si>
    <t>Click Owner Advantage Plan</t>
  </si>
  <si>
    <t>Click My Trip Dropdown</t>
  </si>
  <si>
    <t>//button[@class='cmp-accordion__button' and @type='button']</t>
  </si>
  <si>
    <t>Verify that the destination matches the one entered in GAQ.</t>
  </si>
  <si>
    <t>//span[@class='handlebar-recursive-replacement destinationCountry_multi_display']</t>
  </si>
  <si>
    <t>//span[@class='handlebar-recursive-replacement insuredAge_display']</t>
  </si>
  <si>
    <t>Output Age(s)</t>
  </si>
  <si>
    <t>//span[@class='handlebar-recursive-replacement totalTripCost-2--,']</t>
  </si>
  <si>
    <t>Output Total</t>
  </si>
  <si>
    <t>Verify that the age(s) on the Plan Options page match those entered previously.</t>
  </si>
  <si>
    <t>Verify that the Trip Cost on the Plan Options page match those entered previously.</t>
  </si>
  <si>
    <t>Output Selected Plan</t>
  </si>
  <si>
    <t>Output Plan Premium</t>
  </si>
  <si>
    <t>//button[@type='button' and @aria-controls='my-trip-accordion-item-85f740dcaf-panel']</t>
  </si>
  <si>
    <t>Verify My Trip Summary - Pet Care</t>
  </si>
  <si>
    <t>Verify My Trip Summary - Rental Car Damage</t>
  </si>
  <si>
    <t>Verify My Trip Summary - Additional Baggage Lost</t>
  </si>
  <si>
    <t>//div[@class='container responsivegrid aem-building-blocks_867326380_styles aem-shortcut_4250708500337852_styles aem-shortcut_569673399970485_styles']</t>
  </si>
  <si>
    <t>//div[@id='container-5e82dea01f']</t>
  </si>
  <si>
    <t>Output Age</t>
  </si>
  <si>
    <t>Output Travel (Departure) Dates</t>
  </si>
  <si>
    <t>Output Travel (Return) Dates</t>
  </si>
  <si>
    <t>Output Destination Country</t>
  </si>
  <si>
    <t>Verify that the destination country is the same as the one entered on the GAQ page.</t>
  </si>
  <si>
    <t>Verify that Travel (Departure) Dates is the same as entered in GAQ page</t>
  </si>
  <si>
    <t>Verifu that Travel (Return) Dates is the same as entered in GAQ page</t>
  </si>
  <si>
    <t>Verify the Age is the same as entered in GAQ page</t>
  </si>
  <si>
    <t>Click My Trip Summary Dropdown</t>
  </si>
  <si>
    <t>Output Total before selecting an Upgrade(s)</t>
  </si>
  <si>
    <t>Verify Trip Cost is the same as entered in GAQ page</t>
  </si>
  <si>
    <t>Verify Plan Premium</t>
  </si>
  <si>
    <t>Verify My Trip Summary - AOAD</t>
  </si>
  <si>
    <t>Verify My Trip Summary - Adventure Activities</t>
  </si>
  <si>
    <t>Verify My Trip Summary - Medical</t>
  </si>
  <si>
    <t>Verify My Trip Summary - Baggage</t>
  </si>
  <si>
    <t>Verify My Trip Summary - Security Deposit</t>
  </si>
  <si>
    <t>Verify AOAD Amount is the same as previously selected</t>
  </si>
  <si>
    <t>//option[@data-cmp-claimantid='3']</t>
  </si>
  <si>
    <t>Home Page - GAQ</t>
  </si>
  <si>
    <t>Plan Options</t>
  </si>
  <si>
    <t>Home Page - GAQ Edit/Restart</t>
  </si>
  <si>
    <t>//div[@id='container-99b0cf2aba']</t>
  </si>
  <si>
    <t>Output Traveler 1 | Age 1</t>
  </si>
  <si>
    <t>Output Traveler 2 | Age 2</t>
  </si>
  <si>
    <t>Verify Trip Cost is the same as entered in the previous page</t>
  </si>
  <si>
    <t>Verify Plan Name displays Owner Advantage Plan (QA)</t>
  </si>
  <si>
    <t>Verify Plan Name displays Owner Advantage Plan (UAT/PROD)</t>
  </si>
  <si>
    <t>Verify Plan Options display Owner Advantage Plan (QA)</t>
  </si>
  <si>
    <t>Verify Plan Options display Rental Car Damage Plan (QA)</t>
  </si>
  <si>
    <t>Verify Plan Options display Owner Advantage Plan (UAT/PROD)</t>
  </si>
  <si>
    <t>Verify Plan Options display Rental Car Damage Plan (UAT/PROD)</t>
  </si>
  <si>
    <t>Compare AOAD Premium from previous quote (UAT/PROD)</t>
  </si>
  <si>
    <t>Compare AOAD Premium from previous quote (QA)</t>
  </si>
  <si>
    <t>Headless</t>
  </si>
  <si>
    <t>Click Expiry Date</t>
  </si>
  <si>
    <t>//input[@name='tsep-datepicker']</t>
  </si>
  <si>
    <t>w/ captcha</t>
  </si>
  <si>
    <t>Type</t>
  </si>
  <si>
    <t>Input Expiry Month</t>
  </si>
  <si>
    <t>Input Expiry Year</t>
  </si>
  <si>
    <t>Verify Travel (Departure) Dates (QA)</t>
  </si>
  <si>
    <t>Verify Travel (Return) Dates (QA)</t>
  </si>
  <si>
    <t>Verify Travel (Departure) Dates (UAT/PROD)</t>
  </si>
  <si>
    <t>Verify Travel (Return) Dates (UAT/PROD)</t>
  </si>
  <si>
    <t>Verify Selected Plan (QA)</t>
  </si>
  <si>
    <t>Verify Selected Plan (UAT/PROD)</t>
  </si>
  <si>
    <t>HeadlessMode</t>
  </si>
  <si>
    <t>CW</t>
  </si>
  <si>
    <t>WM</t>
  </si>
  <si>
    <t>Params_8</t>
  </si>
  <si>
    <t>Params_9</t>
  </si>
  <si>
    <t>bln696157</t>
  </si>
  <si>
    <t>Club Wyndham</t>
  </si>
  <si>
    <t>Open Club Wyndham URL</t>
  </si>
  <si>
    <t>Open World Mark URL</t>
  </si>
  <si>
    <t>World Mark</t>
  </si>
  <si>
    <t>bln696153</t>
  </si>
  <si>
    <t>TC_696157</t>
  </si>
  <si>
    <t>TC_696153</t>
  </si>
  <si>
    <t>Click Residence</t>
  </si>
  <si>
    <t>//button[@name='selectPlan' and @value='914ZA-0824']</t>
  </si>
  <si>
    <t>United States</t>
  </si>
  <si>
    <t>United Kingdom</t>
  </si>
  <si>
    <t>28202</t>
  </si>
  <si>
    <t>Charlotte</t>
  </si>
  <si>
    <t>North Carolina</t>
  </si>
  <si>
    <t>
Trip Cancellation 100% of Insured Trip Cost up to $7,500</t>
  </si>
  <si>
    <t>
Trip Interruption 100% of Insured Trip Cost up to $7,500</t>
  </si>
  <si>
    <t>
Travel Delay $1,000 (Includes Kennel Benefit - $50/day sublimit for up to 10 days)</t>
  </si>
  <si>
    <t>
Property Damage and Security Deposit Protection $2,000</t>
  </si>
  <si>
    <t xml:space="preserve">Output Payment Summary </t>
  </si>
  <si>
    <t>(//div[@class="cmp-text"]//p[contains(.,'$')])[8]</t>
  </si>
  <si>
    <t>//button[@name='selectPlan' and @value='913ZA-0824']</t>
  </si>
  <si>
    <t>UAT</t>
  </si>
  <si>
    <t>Move to Element</t>
  </si>
  <si>
    <t>MOVETOELEMENT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</si>
</sst>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1" formatCode="_(* #,##0_);_(* \(#,##0\);_(* &quot;-&quot;_);_(@_)"/>
    <numFmt numFmtId="44" formatCode="_(&quot;$&quot;* #,##0.00_);_(&quot;$&quot;* \(#,##0.00\);_(&quot;$&quot;* &quot;-&quot;??_);_(@_)"/>
    <numFmt numFmtId="43" formatCode="_(* #,##0.00_);_(* \(#,##0.00\);_(* &quot;-&quot;??_);_(@_)"/>
    <numFmt numFmtId="164" formatCode="_(&quot;ß&quot;* #,##0_);_(&quot;ß&quot;* \(#,##0\);_(&quot;ß&quot;* &quot;-&quot;_);_(@_)"/>
    <numFmt numFmtId="165" formatCode="_(&quot;ß&quot;* #,##0.00_);_(&quot;ß&quot;* \(#,##0.00\);_(&quot;ß&quot;* &quot;-&quot;??_);_(@_)"/>
  </numFmts>
  <fonts count="31">
    <font>
      <sz val="10"/>
      <name val="Mic Shell Dlg"/>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Mic Shell Dlg"/>
      <charset val="1"/>
    </font>
    <font>
      <sz val="11"/>
      <color indexed="8"/>
      <name val="Mic Shell Dlg"/>
      <charset val="1"/>
    </font>
    <font>
      <sz val="10"/>
      <color indexed="8"/>
      <name val="Arial"/>
      <family val="2"/>
    </font>
    <font>
      <sz val="12"/>
      <name val="新細明體"/>
      <charset val="136"/>
    </font>
    <font>
      <sz val="11"/>
      <color theme="1"/>
      <name val="Calibri"/>
      <family val="2"/>
      <scheme val="minor"/>
    </font>
    <font>
      <u/>
      <sz val="10"/>
      <color theme="10"/>
      <name val="Mic Shell Dlg"/>
      <charset val="1"/>
    </font>
    <font>
      <u/>
      <sz val="11"/>
      <color theme="10"/>
      <name val="Calibri"/>
      <family val="2"/>
    </font>
    <font>
      <u/>
      <sz val="11"/>
      <color theme="10"/>
      <name val="Calibri"/>
      <family val="2"/>
      <scheme val="minor"/>
    </font>
    <font>
      <u/>
      <sz val="10"/>
      <color indexed="12"/>
      <name val="Arial"/>
      <family val="2"/>
    </font>
    <font>
      <sz val="10"/>
      <name val="Helv"/>
      <family val="2"/>
    </font>
    <font>
      <sz val="8"/>
      <name val="Mic Shell Dlg"/>
      <charset val="1"/>
    </font>
    <font>
      <sz val="10"/>
      <name val="Calibri"/>
      <family val="2"/>
      <scheme val="minor"/>
    </font>
    <font>
      <sz val="10"/>
      <color theme="1"/>
      <name val="Calibri"/>
      <family val="2"/>
      <scheme val="minor"/>
    </font>
    <font>
      <b/>
      <sz val="10"/>
      <name val="Calibri"/>
      <family val="2"/>
      <scheme val="minor"/>
    </font>
    <font>
      <b/>
      <sz val="10"/>
      <color rgb="FFFF0000"/>
      <name val="Calibri"/>
      <family val="2"/>
      <scheme val="minor"/>
    </font>
    <font>
      <b/>
      <sz val="11"/>
      <color theme="0"/>
      <name val="Calibri"/>
      <family val="2"/>
      <scheme val="minor"/>
    </font>
    <font>
      <sz val="11"/>
      <name val="Calibri"/>
      <family val="2"/>
      <scheme val="minor"/>
    </font>
    <font>
      <b/>
      <sz val="10"/>
      <color rgb="FFFFFF00"/>
      <name val="Calibri"/>
      <family val="2"/>
      <scheme val="minor"/>
    </font>
    <font>
      <b/>
      <sz val="10"/>
      <color theme="0"/>
      <name val="Calibri"/>
      <family val="2"/>
      <scheme val="minor"/>
    </font>
    <font>
      <b/>
      <sz val="10"/>
      <color rgb="FF008000"/>
      <name val="Calibri"/>
      <family val="2"/>
      <scheme val="minor"/>
    </font>
    <font>
      <u/>
      <sz val="10"/>
      <color theme="1"/>
      <name val="Calibri"/>
      <family val="2"/>
      <scheme val="minor"/>
    </font>
    <font>
      <b/>
      <sz val="11"/>
      <name val="Calibri"/>
      <family val="2"/>
      <scheme val="minor"/>
    </font>
    <font>
      <sz val="10"/>
      <color rgb="FFFF0000"/>
      <name val="Calibri"/>
      <family val="2"/>
      <scheme val="minor"/>
    </font>
  </fonts>
  <fills count="25">
    <fill>
      <patternFill patternType="none"/>
    </fill>
    <fill>
      <patternFill patternType="gray125"/>
    </fill>
    <fill>
      <patternFill patternType="solid">
        <fgColor theme="9" tint="0.79998168889431442"/>
        <bgColor indexed="65"/>
      </patternFill>
    </fill>
    <fill>
      <patternFill patternType="solid">
        <fgColor rgb="FFFFFF00"/>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rgb="FF92D050"/>
        <bgColor indexed="64"/>
      </patternFill>
    </fill>
    <fill>
      <patternFill patternType="solid">
        <fgColor theme="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499984740745262"/>
        <bgColor indexed="64"/>
      </patternFill>
    </fill>
    <fill>
      <patternFill patternType="solid">
        <fgColor rgb="FFEBF1DE"/>
        <bgColor indexed="64"/>
      </patternFill>
    </fill>
    <fill>
      <patternFill patternType="solid">
        <fgColor theme="9"/>
        <bgColor indexed="64"/>
      </patternFill>
    </fill>
    <fill>
      <patternFill patternType="solid">
        <fgColor theme="6"/>
        <bgColor indexed="64"/>
      </patternFill>
    </fill>
    <fill>
      <patternFill patternType="solid">
        <fgColor rgb="FFFF9966"/>
        <bgColor indexed="64"/>
      </patternFill>
    </fill>
    <fill>
      <patternFill patternType="solid">
        <fgColor theme="1"/>
        <bgColor indexed="64"/>
      </patternFill>
    </fill>
    <fill>
      <patternFill patternType="solid">
        <fgColor rgb="FFFF0000"/>
        <bgColor indexed="64"/>
      </patternFill>
    </fill>
    <fill>
      <patternFill patternType="solid">
        <fgColor theme="9" tint="-0.249977111117893"/>
        <bgColor indexed="64"/>
      </patternFill>
    </fill>
    <fill>
      <patternFill patternType="solid">
        <fgColor theme="6" tint="0.39997558519241921"/>
        <bgColor indexed="64"/>
      </patternFill>
    </fill>
    <fill>
      <patternFill patternType="solid">
        <fgColor theme="2"/>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rgb="FFFFC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s>
  <cellStyleXfs count="32">
    <xf numFmtId="0" fontId="0" fillId="0" borderId="0"/>
    <xf numFmtId="0" fontId="13" fillId="0" borderId="0" applyNumberFormat="0" applyFill="0" applyBorder="0" applyAlignment="0" applyProtection="0"/>
    <xf numFmtId="0" fontId="13"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15" fillId="0" borderId="0" applyNumberFormat="0" applyFill="0" applyBorder="0" applyAlignment="0" applyProtection="0"/>
    <xf numFmtId="0" fontId="8" fillId="0" borderId="0"/>
    <xf numFmtId="0" fontId="8" fillId="0" borderId="0"/>
    <xf numFmtId="0" fontId="11" fillId="0" borderId="0"/>
    <xf numFmtId="0" fontId="7" fillId="0" borderId="0">
      <alignment vertical="top"/>
    </xf>
    <xf numFmtId="0" fontId="12" fillId="0" borderId="0"/>
    <xf numFmtId="0" fontId="9" fillId="0" borderId="0"/>
    <xf numFmtId="0" fontId="8" fillId="0" borderId="0"/>
    <xf numFmtId="0" fontId="8" fillId="0" borderId="0"/>
    <xf numFmtId="0" fontId="10" fillId="0" borderId="0">
      <alignment vertical="top"/>
    </xf>
    <xf numFmtId="0" fontId="7" fillId="0" borderId="0"/>
    <xf numFmtId="41" fontId="7" fillId="0" borderId="0" applyFont="0" applyFill="0" applyBorder="0" applyAlignment="0" applyProtection="0"/>
    <xf numFmtId="43" fontId="7" fillId="0" borderId="0" applyFont="0" applyFill="0" applyBorder="0" applyAlignment="0" applyProtection="0"/>
    <xf numFmtId="164" fontId="7" fillId="0" borderId="0" applyFont="0" applyFill="0" applyBorder="0" applyAlignment="0" applyProtection="0"/>
    <xf numFmtId="165" fontId="7" fillId="0" borderId="0" applyFont="0" applyFill="0" applyBorder="0" applyAlignment="0" applyProtection="0"/>
    <xf numFmtId="0" fontId="6" fillId="2" borderId="0" applyNumberFormat="0" applyBorder="0" applyAlignment="0" applyProtection="0"/>
    <xf numFmtId="0" fontId="6" fillId="0" borderId="0"/>
    <xf numFmtId="0" fontId="5" fillId="0" borderId="0"/>
    <xf numFmtId="0" fontId="13" fillId="0" borderId="0" applyNumberFormat="0" applyFill="0" applyBorder="0" applyAlignment="0" applyProtection="0"/>
    <xf numFmtId="0" fontId="4" fillId="0" borderId="0"/>
    <xf numFmtId="0" fontId="3" fillId="0" borderId="0"/>
    <xf numFmtId="0" fontId="16" fillId="0" borderId="0" applyNumberFormat="0" applyFill="0" applyBorder="0" applyAlignment="0" applyProtection="0">
      <alignment vertical="top"/>
      <protection locked="0"/>
    </xf>
    <xf numFmtId="0" fontId="2" fillId="0" borderId="0"/>
    <xf numFmtId="0" fontId="8" fillId="0" borderId="0"/>
    <xf numFmtId="0" fontId="17" fillId="0" borderId="0"/>
    <xf numFmtId="0" fontId="1" fillId="0" borderId="0"/>
    <xf numFmtId="0" fontId="8" fillId="0" borderId="0"/>
    <xf numFmtId="44" fontId="8" fillId="0" borderId="0" applyFont="0" applyFill="0" applyBorder="0" applyAlignment="0" applyProtection="0"/>
  </cellStyleXfs>
  <cellXfs count="252">
    <xf numFmtId="0" fontId="0" fillId="0" borderId="0" xfId="0"/>
    <xf numFmtId="0" fontId="0" fillId="0" borderId="2" xfId="0" applyBorder="1"/>
    <xf numFmtId="0" fontId="0" fillId="3" borderId="0" xfId="0" applyFill="1"/>
    <xf numFmtId="0" fontId="0" fillId="3" borderId="0" xfId="0" quotePrefix="1" applyFill="1"/>
    <xf numFmtId="0" fontId="0" fillId="3" borderId="3" xfId="0" applyFill="1" applyBorder="1"/>
    <xf numFmtId="22" fontId="0" fillId="0" borderId="0" xfId="0" applyNumberFormat="1"/>
    <xf numFmtId="0" fontId="19" fillId="0" borderId="1" xfId="0" applyFont="1" applyBorder="1" applyAlignment="1">
      <alignment vertical="center"/>
    </xf>
    <xf numFmtId="0" fontId="19" fillId="0" borderId="1" xfId="0" applyFont="1" applyBorder="1" applyAlignment="1">
      <alignment horizontal="left" vertical="top"/>
    </xf>
    <xf numFmtId="0" fontId="19" fillId="0" borderId="1" xfId="0" applyFont="1" applyBorder="1" applyAlignment="1">
      <alignment horizontal="center" vertical="top"/>
    </xf>
    <xf numFmtId="0" fontId="19" fillId="0" borderId="0" xfId="0" applyFont="1"/>
    <xf numFmtId="0" fontId="19" fillId="0" borderId="0" xfId="30" applyFont="1"/>
    <xf numFmtId="0" fontId="19" fillId="3" borderId="4" xfId="0" applyFont="1" applyFill="1" applyBorder="1"/>
    <xf numFmtId="0" fontId="19" fillId="7" borderId="0" xfId="0" applyFont="1" applyFill="1"/>
    <xf numFmtId="0" fontId="19" fillId="0" borderId="0" xfId="0" applyFont="1" applyAlignment="1">
      <alignment horizontal="left" vertical="top"/>
    </xf>
    <xf numFmtId="0" fontId="19" fillId="0" borderId="0" xfId="0" applyFont="1" applyAlignment="1">
      <alignment horizontal="center" vertical="top"/>
    </xf>
    <xf numFmtId="0" fontId="19" fillId="0" borderId="0" xfId="0" applyFont="1" applyAlignment="1">
      <alignment vertical="center"/>
    </xf>
    <xf numFmtId="0" fontId="19" fillId="4" borderId="0" xfId="30" applyFont="1" applyFill="1"/>
    <xf numFmtId="0" fontId="19" fillId="4" borderId="0" xfId="0" applyFont="1" applyFill="1"/>
    <xf numFmtId="0" fontId="20" fillId="8" borderId="0" xfId="0" applyFont="1" applyFill="1"/>
    <xf numFmtId="0" fontId="20" fillId="4" borderId="0" xfId="0" applyFont="1" applyFill="1"/>
    <xf numFmtId="0" fontId="19" fillId="6" borderId="0" xfId="0" applyFont="1" applyFill="1"/>
    <xf numFmtId="0" fontId="0" fillId="0" borderId="1" xfId="0" applyBorder="1"/>
    <xf numFmtId="0" fontId="24" fillId="9" borderId="0" xfId="0" applyFont="1" applyFill="1"/>
    <xf numFmtId="0" fontId="24" fillId="10" borderId="0" xfId="0" applyFont="1" applyFill="1"/>
    <xf numFmtId="2" fontId="19" fillId="10" borderId="0" xfId="0" quotePrefix="1" applyNumberFormat="1" applyFont="1" applyFill="1" applyAlignment="1">
      <alignment horizontal="left"/>
    </xf>
    <xf numFmtId="0" fontId="24" fillId="5" borderId="0" xfId="0" applyFont="1" applyFill="1"/>
    <xf numFmtId="2" fontId="19" fillId="5" borderId="0" xfId="0" quotePrefix="1" applyNumberFormat="1" applyFont="1" applyFill="1" applyAlignment="1">
      <alignment horizontal="left"/>
    </xf>
    <xf numFmtId="0" fontId="24" fillId="11" borderId="0" xfId="0" applyFont="1" applyFill="1"/>
    <xf numFmtId="2" fontId="20" fillId="11" borderId="0" xfId="0" quotePrefix="1" applyNumberFormat="1" applyFont="1" applyFill="1" applyAlignment="1">
      <alignment horizontal="left"/>
    </xf>
    <xf numFmtId="0" fontId="19" fillId="0" borderId="1" xfId="0" applyFont="1" applyBorder="1" applyAlignment="1">
      <alignment horizontal="left" vertical="center"/>
    </xf>
    <xf numFmtId="0" fontId="25" fillId="12" borderId="1" xfId="0" applyFont="1" applyFill="1" applyBorder="1" applyAlignment="1">
      <alignment horizontal="left" vertical="center"/>
    </xf>
    <xf numFmtId="0" fontId="26" fillId="12" borderId="1" xfId="0" applyFont="1" applyFill="1" applyBorder="1" applyAlignment="1">
      <alignment horizontal="center" vertical="top"/>
    </xf>
    <xf numFmtId="0" fontId="26" fillId="12" borderId="1" xfId="0" applyFont="1" applyFill="1" applyBorder="1" applyAlignment="1">
      <alignment horizontal="left" vertical="top"/>
    </xf>
    <xf numFmtId="0" fontId="19" fillId="9" borderId="1" xfId="30" applyFont="1" applyFill="1" applyBorder="1" applyAlignment="1">
      <alignment vertical="center"/>
    </xf>
    <xf numFmtId="0" fontId="19" fillId="9" borderId="1" xfId="0" applyFont="1" applyFill="1" applyBorder="1" applyAlignment="1">
      <alignment horizontal="center"/>
    </xf>
    <xf numFmtId="0" fontId="19" fillId="9" borderId="1" xfId="0" applyFont="1" applyFill="1" applyBorder="1"/>
    <xf numFmtId="0" fontId="19" fillId="9" borderId="1" xfId="0" applyFont="1" applyFill="1" applyBorder="1" applyAlignment="1">
      <alignment horizontal="left"/>
    </xf>
    <xf numFmtId="0" fontId="19" fillId="9" borderId="1" xfId="0" applyFont="1" applyFill="1" applyBorder="1" applyAlignment="1">
      <alignment horizontal="left" vertical="top"/>
    </xf>
    <xf numFmtId="0" fontId="19" fillId="9" borderId="1" xfId="0" applyFont="1" applyFill="1" applyBorder="1" applyAlignment="1">
      <alignment horizontal="center" vertical="top"/>
    </xf>
    <xf numFmtId="0" fontId="19" fillId="9" borderId="1" xfId="0" quotePrefix="1" applyFont="1" applyFill="1" applyBorder="1" applyAlignment="1">
      <alignment horizontal="left" vertical="top"/>
    </xf>
    <xf numFmtId="0" fontId="19" fillId="9" borderId="1" xfId="0" applyFont="1" applyFill="1" applyBorder="1" applyAlignment="1">
      <alignment horizontal="right" vertical="top"/>
    </xf>
    <xf numFmtId="0" fontId="19" fillId="9" borderId="1" xfId="30" applyFont="1" applyFill="1" applyBorder="1" applyAlignment="1">
      <alignment vertical="top"/>
    </xf>
    <xf numFmtId="0" fontId="19" fillId="9" borderId="1" xfId="30" applyFont="1" applyFill="1" applyBorder="1" applyAlignment="1">
      <alignment horizontal="center" vertical="top"/>
    </xf>
    <xf numFmtId="0" fontId="19" fillId="13" borderId="1" xfId="0" applyFont="1" applyFill="1" applyBorder="1" applyAlignment="1">
      <alignment vertical="top"/>
    </xf>
    <xf numFmtId="0" fontId="19" fillId="13" borderId="1" xfId="0" applyFont="1" applyFill="1" applyBorder="1" applyAlignment="1">
      <alignment horizontal="left" vertical="top"/>
    </xf>
    <xf numFmtId="0" fontId="19" fillId="14" borderId="1" xfId="0" applyFont="1" applyFill="1" applyBorder="1" applyAlignment="1">
      <alignment vertical="center"/>
    </xf>
    <xf numFmtId="0" fontId="19" fillId="14" borderId="1" xfId="0" applyFont="1" applyFill="1" applyBorder="1"/>
    <xf numFmtId="0" fontId="19" fillId="14" borderId="1" xfId="0" applyFont="1" applyFill="1" applyBorder="1" applyAlignment="1">
      <alignment horizontal="center"/>
    </xf>
    <xf numFmtId="0" fontId="19" fillId="14" borderId="1" xfId="0" applyFont="1" applyFill="1" applyBorder="1" applyAlignment="1">
      <alignment horizontal="left"/>
    </xf>
    <xf numFmtId="0" fontId="19" fillId="14" borderId="1" xfId="0" quotePrefix="1" applyFont="1" applyFill="1" applyBorder="1" applyAlignment="1">
      <alignment horizontal="left"/>
    </xf>
    <xf numFmtId="0" fontId="19" fillId="15" borderId="1" xfId="0" applyFont="1" applyFill="1" applyBorder="1" applyAlignment="1">
      <alignment horizontal="left"/>
    </xf>
    <xf numFmtId="0" fontId="27" fillId="9" borderId="1" xfId="0" quotePrefix="1" applyFont="1" applyFill="1" applyBorder="1"/>
    <xf numFmtId="0" fontId="19" fillId="9" borderId="1" xfId="0" quotePrefix="1" applyFont="1" applyFill="1" applyBorder="1"/>
    <xf numFmtId="0" fontId="19" fillId="9" borderId="1" xfId="0" applyFont="1" applyFill="1" applyBorder="1" applyAlignment="1">
      <alignment vertical="center"/>
    </xf>
    <xf numFmtId="0" fontId="22" fillId="9" borderId="1" xfId="0" quotePrefix="1" applyFont="1" applyFill="1" applyBorder="1"/>
    <xf numFmtId="0" fontId="19" fillId="9" borderId="1" xfId="0" quotePrefix="1" applyFont="1" applyFill="1" applyBorder="1" applyAlignment="1">
      <alignment horizontal="left"/>
    </xf>
    <xf numFmtId="0" fontId="19" fillId="9" borderId="1" xfId="6" applyFont="1" applyFill="1" applyBorder="1"/>
    <xf numFmtId="0" fontId="27" fillId="9" borderId="1" xfId="6" quotePrefix="1" applyFont="1" applyFill="1" applyBorder="1"/>
    <xf numFmtId="0" fontId="19" fillId="9" borderId="1" xfId="6" quotePrefix="1" applyFont="1" applyFill="1" applyBorder="1"/>
    <xf numFmtId="0" fontId="19" fillId="9" borderId="1" xfId="6" applyFont="1" applyFill="1" applyBorder="1" applyAlignment="1">
      <alignment horizontal="center"/>
    </xf>
    <xf numFmtId="0" fontId="19" fillId="9" borderId="1" xfId="6" applyFont="1" applyFill="1" applyBorder="1" applyAlignment="1">
      <alignment horizontal="left"/>
    </xf>
    <xf numFmtId="0" fontId="19" fillId="13" borderId="1" xfId="0" applyFont="1" applyFill="1" applyBorder="1"/>
    <xf numFmtId="0" fontId="19" fillId="13" borderId="1" xfId="0" applyFont="1" applyFill="1" applyBorder="1" applyAlignment="1">
      <alignment horizontal="center"/>
    </xf>
    <xf numFmtId="0" fontId="19" fillId="13" borderId="1" xfId="0" applyFont="1" applyFill="1" applyBorder="1" applyAlignment="1">
      <alignment horizontal="left"/>
    </xf>
    <xf numFmtId="8" fontId="19" fillId="9" borderId="1" xfId="0" applyNumberFormat="1" applyFont="1" applyFill="1" applyBorder="1" applyAlignment="1">
      <alignment horizontal="left"/>
    </xf>
    <xf numFmtId="0" fontId="19" fillId="0" borderId="1" xfId="0" applyFont="1" applyBorder="1"/>
    <xf numFmtId="0" fontId="19" fillId="0" borderId="1" xfId="0" applyFont="1" applyBorder="1" applyAlignment="1">
      <alignment horizontal="center"/>
    </xf>
    <xf numFmtId="0" fontId="19" fillId="16" borderId="1" xfId="0" applyFont="1" applyFill="1" applyBorder="1" applyAlignment="1">
      <alignment vertical="center"/>
    </xf>
    <xf numFmtId="0" fontId="19" fillId="16" borderId="1" xfId="0" applyFont="1" applyFill="1" applyBorder="1" applyAlignment="1">
      <alignment horizontal="center" vertical="center"/>
    </xf>
    <xf numFmtId="0" fontId="19" fillId="9" borderId="1" xfId="0" applyFont="1" applyFill="1" applyBorder="1" applyAlignment="1">
      <alignment horizontal="right"/>
    </xf>
    <xf numFmtId="0" fontId="19" fillId="9" borderId="1" xfId="30" applyFont="1" applyFill="1" applyBorder="1" applyAlignment="1">
      <alignment horizontal="left" vertical="top"/>
    </xf>
    <xf numFmtId="0" fontId="19" fillId="10" borderId="1" xfId="30" applyFont="1" applyFill="1" applyBorder="1" applyAlignment="1">
      <alignment vertical="center"/>
    </xf>
    <xf numFmtId="0" fontId="19" fillId="10" borderId="1" xfId="0" applyFont="1" applyFill="1" applyBorder="1" applyAlignment="1">
      <alignment horizontal="center"/>
    </xf>
    <xf numFmtId="0" fontId="19" fillId="10" borderId="1" xfId="0" applyFont="1" applyFill="1" applyBorder="1"/>
    <xf numFmtId="0" fontId="19" fillId="10" borderId="1" xfId="0" applyFont="1" applyFill="1" applyBorder="1" applyAlignment="1">
      <alignment horizontal="left"/>
    </xf>
    <xf numFmtId="0" fontId="19" fillId="10" borderId="1" xfId="0" applyFont="1" applyFill="1" applyBorder="1" applyAlignment="1">
      <alignment horizontal="left" vertical="top"/>
    </xf>
    <xf numFmtId="0" fontId="19" fillId="10" borderId="1" xfId="0" applyFont="1" applyFill="1" applyBorder="1" applyAlignment="1">
      <alignment horizontal="center" vertical="top"/>
    </xf>
    <xf numFmtId="0" fontId="19" fillId="10" borderId="1" xfId="0" quotePrefix="1" applyFont="1" applyFill="1" applyBorder="1" applyAlignment="1">
      <alignment horizontal="left" vertical="top"/>
    </xf>
    <xf numFmtId="0" fontId="19" fillId="10" borderId="1" xfId="0" applyFont="1" applyFill="1" applyBorder="1" applyAlignment="1">
      <alignment horizontal="right" vertical="top"/>
    </xf>
    <xf numFmtId="0" fontId="19" fillId="10" borderId="1" xfId="30" applyFont="1" applyFill="1" applyBorder="1" applyAlignment="1">
      <alignment vertical="top"/>
    </xf>
    <xf numFmtId="0" fontId="19" fillId="10" borderId="1" xfId="30" applyFont="1" applyFill="1" applyBorder="1" applyAlignment="1">
      <alignment horizontal="center" vertical="top"/>
    </xf>
    <xf numFmtId="0" fontId="19" fillId="10" borderId="1" xfId="0" applyFont="1" applyFill="1" applyBorder="1" applyAlignment="1">
      <alignment vertical="top"/>
    </xf>
    <xf numFmtId="0" fontId="19" fillId="7" borderId="1" xfId="0" applyFont="1" applyFill="1" applyBorder="1" applyAlignment="1">
      <alignment horizontal="left"/>
    </xf>
    <xf numFmtId="0" fontId="27" fillId="10" borderId="1" xfId="0" quotePrefix="1" applyFont="1" applyFill="1" applyBorder="1"/>
    <xf numFmtId="0" fontId="19" fillId="10" borderId="1" xfId="0" quotePrefix="1" applyFont="1" applyFill="1" applyBorder="1"/>
    <xf numFmtId="0" fontId="19" fillId="10" borderId="1" xfId="0" applyFont="1" applyFill="1" applyBorder="1" applyAlignment="1">
      <alignment vertical="center"/>
    </xf>
    <xf numFmtId="0" fontId="22" fillId="10" borderId="1" xfId="0" quotePrefix="1" applyFont="1" applyFill="1" applyBorder="1"/>
    <xf numFmtId="0" fontId="19" fillId="10" borderId="1" xfId="0" quotePrefix="1" applyFont="1" applyFill="1" applyBorder="1" applyAlignment="1">
      <alignment horizontal="left"/>
    </xf>
    <xf numFmtId="0" fontId="19" fillId="10" borderId="1" xfId="6" applyFont="1" applyFill="1" applyBorder="1"/>
    <xf numFmtId="0" fontId="27" fillId="10" borderId="1" xfId="6" quotePrefix="1" applyFont="1" applyFill="1" applyBorder="1"/>
    <xf numFmtId="0" fontId="19" fillId="10" borderId="1" xfId="6" quotePrefix="1" applyFont="1" applyFill="1" applyBorder="1"/>
    <xf numFmtId="0" fontId="19" fillId="10" borderId="1" xfId="6" applyFont="1" applyFill="1" applyBorder="1" applyAlignment="1">
      <alignment horizontal="center"/>
    </xf>
    <xf numFmtId="0" fontId="19" fillId="10" borderId="1" xfId="6" applyFont="1" applyFill="1" applyBorder="1" applyAlignment="1">
      <alignment horizontal="left"/>
    </xf>
    <xf numFmtId="0" fontId="19" fillId="5" borderId="1" xfId="30" applyFont="1" applyFill="1" applyBorder="1" applyAlignment="1">
      <alignment vertical="center"/>
    </xf>
    <xf numFmtId="0" fontId="19" fillId="5" borderId="1" xfId="0" applyFont="1" applyFill="1" applyBorder="1" applyAlignment="1">
      <alignment horizontal="center"/>
    </xf>
    <xf numFmtId="0" fontId="19" fillId="5" borderId="1" xfId="0" applyFont="1" applyFill="1" applyBorder="1"/>
    <xf numFmtId="0" fontId="19" fillId="5" borderId="1" xfId="0" applyFont="1" applyFill="1" applyBorder="1" applyAlignment="1">
      <alignment horizontal="left"/>
    </xf>
    <xf numFmtId="0" fontId="19" fillId="5" borderId="1" xfId="0" applyFont="1" applyFill="1" applyBorder="1" applyAlignment="1">
      <alignment horizontal="left" vertical="top"/>
    </xf>
    <xf numFmtId="0" fontId="19" fillId="5" borderId="1" xfId="0" applyFont="1" applyFill="1" applyBorder="1" applyAlignment="1">
      <alignment horizontal="center" vertical="top"/>
    </xf>
    <xf numFmtId="0" fontId="19" fillId="5" borderId="1" xfId="0" quotePrefix="1" applyFont="1" applyFill="1" applyBorder="1" applyAlignment="1">
      <alignment horizontal="left" vertical="top"/>
    </xf>
    <xf numFmtId="0" fontId="19" fillId="5" borderId="1" xfId="0" applyFont="1" applyFill="1" applyBorder="1" applyAlignment="1">
      <alignment horizontal="right" vertical="top"/>
    </xf>
    <xf numFmtId="0" fontId="19" fillId="5" borderId="1" xfId="30" applyFont="1" applyFill="1" applyBorder="1" applyAlignment="1">
      <alignment vertical="top"/>
    </xf>
    <xf numFmtId="0" fontId="19" fillId="5" borderId="1" xfId="30" applyFont="1" applyFill="1" applyBorder="1" applyAlignment="1">
      <alignment horizontal="center" vertical="top"/>
    </xf>
    <xf numFmtId="0" fontId="19" fillId="5" borderId="1" xfId="0" applyFont="1" applyFill="1" applyBorder="1" applyAlignment="1">
      <alignment vertical="top"/>
    </xf>
    <xf numFmtId="0" fontId="27" fillId="5" borderId="1" xfId="0" quotePrefix="1" applyFont="1" applyFill="1" applyBorder="1"/>
    <xf numFmtId="0" fontId="19" fillId="5" borderId="1" xfId="0" quotePrefix="1" applyFont="1" applyFill="1" applyBorder="1"/>
    <xf numFmtId="0" fontId="19" fillId="5" borderId="1" xfId="0" applyFont="1" applyFill="1" applyBorder="1" applyAlignment="1">
      <alignment vertical="center"/>
    </xf>
    <xf numFmtId="0" fontId="21" fillId="5" borderId="1" xfId="0" applyFont="1" applyFill="1" applyBorder="1"/>
    <xf numFmtId="0" fontId="22" fillId="5" borderId="1" xfId="0" quotePrefix="1" applyFont="1" applyFill="1" applyBorder="1"/>
    <xf numFmtId="0" fontId="19" fillId="5" borderId="1" xfId="0" quotePrefix="1" applyFont="1" applyFill="1" applyBorder="1" applyAlignment="1">
      <alignment horizontal="left"/>
    </xf>
    <xf numFmtId="0" fontId="19" fillId="5" borderId="1" xfId="6" applyFont="1" applyFill="1" applyBorder="1"/>
    <xf numFmtId="0" fontId="27" fillId="5" borderId="1" xfId="6" quotePrefix="1" applyFont="1" applyFill="1" applyBorder="1"/>
    <xf numFmtId="0" fontId="19" fillId="5" borderId="1" xfId="6" quotePrefix="1" applyFont="1" applyFill="1" applyBorder="1"/>
    <xf numFmtId="0" fontId="19" fillId="5" borderId="1" xfId="6" applyFont="1" applyFill="1" applyBorder="1" applyAlignment="1">
      <alignment horizontal="center"/>
    </xf>
    <xf numFmtId="0" fontId="19" fillId="5" borderId="1" xfId="6" applyFont="1" applyFill="1" applyBorder="1" applyAlignment="1">
      <alignment horizontal="left"/>
    </xf>
    <xf numFmtId="0" fontId="19" fillId="5" borderId="1" xfId="30" applyFont="1" applyFill="1" applyBorder="1" applyAlignment="1">
      <alignment horizontal="left" vertical="top"/>
    </xf>
    <xf numFmtId="0" fontId="19" fillId="11" borderId="1" xfId="30" applyFont="1" applyFill="1" applyBorder="1" applyAlignment="1">
      <alignment vertical="center"/>
    </xf>
    <xf numFmtId="0" fontId="19" fillId="11" borderId="1" xfId="0" applyFont="1" applyFill="1" applyBorder="1" applyAlignment="1">
      <alignment horizontal="center"/>
    </xf>
    <xf numFmtId="0" fontId="19" fillId="11" borderId="1" xfId="0" applyFont="1" applyFill="1" applyBorder="1"/>
    <xf numFmtId="0" fontId="19" fillId="11" borderId="1" xfId="0" applyFont="1" applyFill="1" applyBorder="1" applyAlignment="1">
      <alignment horizontal="left"/>
    </xf>
    <xf numFmtId="0" fontId="19" fillId="11" borderId="1" xfId="0" applyFont="1" applyFill="1" applyBorder="1" applyAlignment="1">
      <alignment horizontal="left" vertical="top"/>
    </xf>
    <xf numFmtId="0" fontId="19" fillId="11" borderId="1" xfId="0" applyFont="1" applyFill="1" applyBorder="1" applyAlignment="1">
      <alignment horizontal="center" vertical="top"/>
    </xf>
    <xf numFmtId="0" fontId="19" fillId="11" borderId="1" xfId="0" quotePrefix="1" applyFont="1" applyFill="1" applyBorder="1" applyAlignment="1">
      <alignment horizontal="left" vertical="top"/>
    </xf>
    <xf numFmtId="0" fontId="19" fillId="11" borderId="1" xfId="0" applyFont="1" applyFill="1" applyBorder="1" applyAlignment="1">
      <alignment horizontal="right" vertical="top"/>
    </xf>
    <xf numFmtId="0" fontId="19" fillId="11" borderId="1" xfId="30" applyFont="1" applyFill="1" applyBorder="1" applyAlignment="1">
      <alignment vertical="top"/>
    </xf>
    <xf numFmtId="0" fontId="19" fillId="11" borderId="1" xfId="30" applyFont="1" applyFill="1" applyBorder="1" applyAlignment="1">
      <alignment horizontal="center" vertical="top"/>
    </xf>
    <xf numFmtId="0" fontId="19" fillId="11" borderId="1" xfId="0" applyFont="1" applyFill="1" applyBorder="1" applyAlignment="1">
      <alignment vertical="top"/>
    </xf>
    <xf numFmtId="0" fontId="27" fillId="11" borderId="1" xfId="0" quotePrefix="1" applyFont="1" applyFill="1" applyBorder="1"/>
    <xf numFmtId="0" fontId="19" fillId="11" borderId="1" xfId="0" quotePrefix="1" applyFont="1" applyFill="1" applyBorder="1"/>
    <xf numFmtId="0" fontId="0" fillId="11" borderId="1" xfId="0" applyFill="1" applyBorder="1"/>
    <xf numFmtId="0" fontId="19" fillId="11" borderId="1" xfId="30" applyFont="1" applyFill="1" applyBorder="1" applyAlignment="1">
      <alignment horizontal="left" vertical="top"/>
    </xf>
    <xf numFmtId="0" fontId="19" fillId="11" borderId="0" xfId="0" applyFont="1" applyFill="1"/>
    <xf numFmtId="0" fontId="19" fillId="11" borderId="1" xfId="0" applyFont="1" applyFill="1" applyBorder="1" applyAlignment="1">
      <alignment vertical="center"/>
    </xf>
    <xf numFmtId="0" fontId="21" fillId="11" borderId="1" xfId="0" applyFont="1" applyFill="1" applyBorder="1"/>
    <xf numFmtId="0" fontId="22" fillId="11" borderId="1" xfId="0" quotePrefix="1" applyFont="1" applyFill="1" applyBorder="1"/>
    <xf numFmtId="0" fontId="19" fillId="11" borderId="1" xfId="0" quotePrefix="1" applyFont="1" applyFill="1" applyBorder="1" applyAlignment="1">
      <alignment horizontal="left"/>
    </xf>
    <xf numFmtId="0" fontId="19" fillId="11" borderId="1" xfId="6" applyFont="1" applyFill="1" applyBorder="1"/>
    <xf numFmtId="0" fontId="27" fillId="11" borderId="1" xfId="6" quotePrefix="1" applyFont="1" applyFill="1" applyBorder="1"/>
    <xf numFmtId="0" fontId="19" fillId="11" borderId="1" xfId="6" quotePrefix="1" applyFont="1" applyFill="1" applyBorder="1"/>
    <xf numFmtId="0" fontId="19" fillId="11" borderId="1" xfId="6" applyFont="1" applyFill="1" applyBorder="1" applyAlignment="1">
      <alignment horizontal="center"/>
    </xf>
    <xf numFmtId="0" fontId="19" fillId="11" borderId="1" xfId="6" applyFont="1" applyFill="1" applyBorder="1" applyAlignment="1">
      <alignment horizontal="left"/>
    </xf>
    <xf numFmtId="0" fontId="26" fillId="17" borderId="0" xfId="0" applyFont="1" applyFill="1" applyAlignment="1">
      <alignment horizontal="left"/>
    </xf>
    <xf numFmtId="0" fontId="26" fillId="17" borderId="1" xfId="0" applyFont="1" applyFill="1" applyBorder="1" applyAlignment="1">
      <alignment horizontal="left"/>
    </xf>
    <xf numFmtId="0" fontId="26" fillId="17" borderId="1" xfId="0" applyFont="1" applyFill="1" applyBorder="1" applyAlignment="1">
      <alignment horizontal="left" vertical="center"/>
    </xf>
    <xf numFmtId="0" fontId="26" fillId="18" borderId="1" xfId="0" applyFont="1" applyFill="1" applyBorder="1" applyAlignment="1">
      <alignment horizontal="left" wrapText="1"/>
    </xf>
    <xf numFmtId="0" fontId="21" fillId="3" borderId="1" xfId="0" applyFont="1" applyFill="1" applyBorder="1" applyAlignment="1">
      <alignment horizontal="left"/>
    </xf>
    <xf numFmtId="0" fontId="21" fillId="0" borderId="0" xfId="0" applyFont="1" applyAlignment="1">
      <alignment horizontal="left"/>
    </xf>
    <xf numFmtId="0" fontId="19" fillId="0" borderId="1" xfId="0" applyFont="1" applyBorder="1" applyAlignment="1">
      <alignment horizontal="left"/>
    </xf>
    <xf numFmtId="0" fontId="19" fillId="3" borderId="1" xfId="0" applyFont="1" applyFill="1" applyBorder="1" applyAlignment="1">
      <alignment horizontal="left" wrapText="1"/>
    </xf>
    <xf numFmtId="14" fontId="19" fillId="0" borderId="1" xfId="2" applyNumberFormat="1" applyFont="1" applyFill="1" applyBorder="1" applyAlignment="1" applyProtection="1">
      <alignment horizontal="left"/>
    </xf>
    <xf numFmtId="2" fontId="19" fillId="0" borderId="1" xfId="0" quotePrefix="1" applyNumberFormat="1" applyFont="1" applyBorder="1" applyAlignment="1">
      <alignment horizontal="left"/>
    </xf>
    <xf numFmtId="2" fontId="19" fillId="0" borderId="1" xfId="2" quotePrefix="1" applyNumberFormat="1" applyFont="1" applyFill="1" applyBorder="1" applyAlignment="1" applyProtection="1">
      <alignment horizontal="left"/>
    </xf>
    <xf numFmtId="2" fontId="20" fillId="0" borderId="1" xfId="2" quotePrefix="1" applyNumberFormat="1" applyFont="1" applyFill="1" applyBorder="1" applyAlignment="1" applyProtection="1">
      <alignment horizontal="left"/>
    </xf>
    <xf numFmtId="2" fontId="19" fillId="18" borderId="1" xfId="2" quotePrefix="1" applyNumberFormat="1" applyFont="1" applyFill="1" applyBorder="1" applyAlignment="1" applyProtection="1">
      <alignment horizontal="left"/>
    </xf>
    <xf numFmtId="2" fontId="19" fillId="8" borderId="1" xfId="2" quotePrefix="1" applyNumberFormat="1" applyFont="1" applyFill="1" applyBorder="1" applyAlignment="1" applyProtection="1">
      <alignment horizontal="left"/>
    </xf>
    <xf numFmtId="14" fontId="19" fillId="0" borderId="1" xfId="0" quotePrefix="1" applyNumberFormat="1" applyFont="1" applyBorder="1" applyAlignment="1">
      <alignment horizontal="left"/>
    </xf>
    <xf numFmtId="0" fontId="19" fillId="0" borderId="1" xfId="0" quotePrefix="1" applyFont="1" applyBorder="1" applyAlignment="1">
      <alignment horizontal="left"/>
    </xf>
    <xf numFmtId="0" fontId="20" fillId="0" borderId="1" xfId="0" quotePrefix="1" applyFont="1" applyBorder="1" applyAlignment="1">
      <alignment horizontal="left"/>
    </xf>
    <xf numFmtId="0" fontId="28" fillId="0" borderId="1" xfId="2" quotePrefix="1" applyFont="1" applyBorder="1" applyAlignment="1" applyProtection="1">
      <alignment horizontal="left"/>
    </xf>
    <xf numFmtId="0" fontId="19" fillId="0" borderId="1" xfId="0" quotePrefix="1" applyFont="1" applyBorder="1" applyAlignment="1">
      <alignment horizontal="left" wrapText="1"/>
    </xf>
    <xf numFmtId="0" fontId="19" fillId="0" borderId="0" xfId="0" applyFont="1" applyAlignment="1">
      <alignment horizontal="left"/>
    </xf>
    <xf numFmtId="14" fontId="19" fillId="0" borderId="1" xfId="0" quotePrefix="1" applyNumberFormat="1" applyFont="1" applyBorder="1" applyAlignment="1">
      <alignment horizontal="left" wrapText="1"/>
    </xf>
    <xf numFmtId="0" fontId="19" fillId="0" borderId="1" xfId="0" quotePrefix="1" applyFont="1" applyBorder="1" applyAlignment="1">
      <alignment horizontal="left" vertical="center" wrapText="1"/>
    </xf>
    <xf numFmtId="0" fontId="20" fillId="0" borderId="1" xfId="0" applyFont="1" applyBorder="1" applyAlignment="1">
      <alignment horizontal="left"/>
    </xf>
    <xf numFmtId="0" fontId="20" fillId="3" borderId="1" xfId="0" applyFont="1" applyFill="1" applyBorder="1" applyAlignment="1">
      <alignment horizontal="left" wrapText="1"/>
    </xf>
    <xf numFmtId="14" fontId="20" fillId="0" borderId="1" xfId="2" applyNumberFormat="1" applyFont="1" applyFill="1" applyBorder="1" applyAlignment="1" applyProtection="1">
      <alignment horizontal="left"/>
    </xf>
    <xf numFmtId="2" fontId="20" fillId="0" borderId="1" xfId="0" quotePrefix="1" applyNumberFormat="1" applyFont="1" applyBorder="1" applyAlignment="1">
      <alignment horizontal="left"/>
    </xf>
    <xf numFmtId="2" fontId="20" fillId="18" borderId="1" xfId="2" quotePrefix="1" applyNumberFormat="1" applyFont="1" applyFill="1" applyBorder="1" applyAlignment="1" applyProtection="1">
      <alignment horizontal="left"/>
    </xf>
    <xf numFmtId="2" fontId="20" fillId="8" borderId="1" xfId="2" quotePrefix="1" applyNumberFormat="1" applyFont="1" applyFill="1" applyBorder="1" applyAlignment="1" applyProtection="1">
      <alignment horizontal="left"/>
    </xf>
    <xf numFmtId="14" fontId="20" fillId="0" borderId="1" xfId="0" quotePrefix="1" applyNumberFormat="1" applyFont="1" applyBorder="1" applyAlignment="1">
      <alignment horizontal="left"/>
    </xf>
    <xf numFmtId="0" fontId="20" fillId="0" borderId="1" xfId="0" quotePrefix="1" applyFont="1" applyBorder="1" applyAlignment="1">
      <alignment horizontal="left" wrapText="1"/>
    </xf>
    <xf numFmtId="0" fontId="20" fillId="0" borderId="0" xfId="0" applyFont="1" applyAlignment="1">
      <alignment horizontal="left"/>
    </xf>
    <xf numFmtId="0" fontId="19" fillId="8" borderId="1" xfId="0" quotePrefix="1" applyFont="1" applyFill="1" applyBorder="1" applyAlignment="1">
      <alignment vertical="center"/>
    </xf>
    <xf numFmtId="0" fontId="19" fillId="0" borderId="0" xfId="0" applyFont="1" applyAlignment="1">
      <alignment horizontal="center" vertical="center"/>
    </xf>
    <xf numFmtId="0" fontId="23" fillId="17" borderId="0" xfId="0" applyFont="1" applyFill="1"/>
    <xf numFmtId="0" fontId="24" fillId="0" borderId="2" xfId="0" applyFont="1" applyBorder="1"/>
    <xf numFmtId="0" fontId="24" fillId="0" borderId="2" xfId="0" quotePrefix="1" applyFont="1" applyBorder="1"/>
    <xf numFmtId="0" fontId="15" fillId="0" borderId="0" xfId="1" applyFont="1"/>
    <xf numFmtId="0" fontId="15" fillId="0" borderId="2" xfId="1" applyFont="1" applyBorder="1"/>
    <xf numFmtId="0" fontId="19" fillId="10" borderId="0" xfId="0" applyFont="1" applyFill="1"/>
    <xf numFmtId="0" fontId="19" fillId="5" borderId="0" xfId="0" applyFont="1" applyFill="1"/>
    <xf numFmtId="0" fontId="19" fillId="5" borderId="0" xfId="30" applyFont="1" applyFill="1"/>
    <xf numFmtId="0" fontId="19" fillId="5" borderId="4" xfId="0" applyFont="1" applyFill="1" applyBorder="1"/>
    <xf numFmtId="0" fontId="19" fillId="11" borderId="0" xfId="30" applyFont="1" applyFill="1"/>
    <xf numFmtId="0" fontId="19" fillId="11" borderId="4" xfId="0" applyFont="1" applyFill="1" applyBorder="1"/>
    <xf numFmtId="0" fontId="8" fillId="0" borderId="1" xfId="1" quotePrefix="1" applyFont="1" applyBorder="1"/>
    <xf numFmtId="0" fontId="8" fillId="0" borderId="1" xfId="1" quotePrefix="1" applyNumberFormat="1" applyFont="1" applyFill="1" applyBorder="1" applyAlignment="1" applyProtection="1">
      <alignment horizontal="left"/>
    </xf>
    <xf numFmtId="0" fontId="8" fillId="0" borderId="1" xfId="1" applyNumberFormat="1" applyFont="1" applyFill="1" applyBorder="1" applyAlignment="1" applyProtection="1">
      <alignment horizontal="left"/>
    </xf>
    <xf numFmtId="0" fontId="19" fillId="19" borderId="1" xfId="0" applyFont="1" applyFill="1" applyBorder="1"/>
    <xf numFmtId="0" fontId="20" fillId="0" borderId="1" xfId="31" quotePrefix="1" applyNumberFormat="1" applyFont="1" applyBorder="1" applyAlignment="1">
      <alignment horizontal="left"/>
    </xf>
    <xf numFmtId="0" fontId="19" fillId="12" borderId="1" xfId="0" applyFont="1" applyFill="1" applyBorder="1" applyAlignment="1">
      <alignment horizontal="center"/>
    </xf>
    <xf numFmtId="0" fontId="19" fillId="15" borderId="1" xfId="0" applyFont="1" applyFill="1" applyBorder="1"/>
    <xf numFmtId="0" fontId="21" fillId="9" borderId="1" xfId="0" applyFont="1" applyFill="1" applyBorder="1"/>
    <xf numFmtId="0" fontId="19" fillId="17" borderId="1" xfId="0" applyFont="1" applyFill="1" applyBorder="1" applyAlignment="1">
      <alignment horizontal="center"/>
    </xf>
    <xf numFmtId="0" fontId="19" fillId="20" borderId="1" xfId="0" applyFont="1" applyFill="1" applyBorder="1"/>
    <xf numFmtId="0" fontId="19" fillId="20" borderId="1" xfId="6" applyFont="1" applyFill="1" applyBorder="1"/>
    <xf numFmtId="0" fontId="19" fillId="18" borderId="1" xfId="0" applyFont="1" applyFill="1" applyBorder="1"/>
    <xf numFmtId="0" fontId="19" fillId="21" borderId="1" xfId="30" applyFont="1" applyFill="1" applyBorder="1" applyAlignment="1">
      <alignment vertical="center"/>
    </xf>
    <xf numFmtId="0" fontId="19" fillId="21" borderId="1" xfId="0" applyFont="1" applyFill="1" applyBorder="1" applyAlignment="1">
      <alignment horizontal="center"/>
    </xf>
    <xf numFmtId="0" fontId="19" fillId="21" borderId="1" xfId="0" applyFont="1" applyFill="1" applyBorder="1"/>
    <xf numFmtId="0" fontId="19" fillId="21" borderId="1" xfId="0" applyFont="1" applyFill="1" applyBorder="1" applyAlignment="1">
      <alignment horizontal="left"/>
    </xf>
    <xf numFmtId="0" fontId="19" fillId="21" borderId="0" xfId="0" applyFont="1" applyFill="1"/>
    <xf numFmtId="0" fontId="19" fillId="21" borderId="1" xfId="0" applyFont="1" applyFill="1" applyBorder="1" applyAlignment="1">
      <alignment horizontal="left" vertical="top"/>
    </xf>
    <xf numFmtId="0" fontId="19" fillId="21" borderId="1" xfId="0" applyFont="1" applyFill="1" applyBorder="1" applyAlignment="1">
      <alignment horizontal="center" vertical="top"/>
    </xf>
    <xf numFmtId="0" fontId="19" fillId="21" borderId="1" xfId="0" quotePrefix="1" applyFont="1" applyFill="1" applyBorder="1" applyAlignment="1">
      <alignment horizontal="left" vertical="top"/>
    </xf>
    <xf numFmtId="0" fontId="19" fillId="21" borderId="1" xfId="0" applyFont="1" applyFill="1" applyBorder="1" applyAlignment="1">
      <alignment horizontal="right" vertical="top"/>
    </xf>
    <xf numFmtId="0" fontId="24" fillId="22" borderId="0" xfId="0" applyFont="1" applyFill="1"/>
    <xf numFmtId="2" fontId="20" fillId="22" borderId="0" xfId="0" quotePrefix="1" applyNumberFormat="1" applyFont="1" applyFill="1" applyAlignment="1">
      <alignment horizontal="left"/>
    </xf>
    <xf numFmtId="0" fontId="19" fillId="23" borderId="1" xfId="30" applyFont="1" applyFill="1" applyBorder="1" applyAlignment="1">
      <alignment vertical="center"/>
    </xf>
    <xf numFmtId="0" fontId="19" fillId="23" borderId="1" xfId="0" applyFont="1" applyFill="1" applyBorder="1" applyAlignment="1">
      <alignment horizontal="center"/>
    </xf>
    <xf numFmtId="0" fontId="19" fillId="23" borderId="1" xfId="0" applyFont="1" applyFill="1" applyBorder="1"/>
    <xf numFmtId="0" fontId="27" fillId="23" borderId="1" xfId="0" quotePrefix="1" applyFont="1" applyFill="1" applyBorder="1"/>
    <xf numFmtId="0" fontId="19" fillId="23" borderId="1" xfId="0" quotePrefix="1" applyFont="1" applyFill="1" applyBorder="1"/>
    <xf numFmtId="0" fontId="19" fillId="23" borderId="0" xfId="0" applyFont="1" applyFill="1"/>
    <xf numFmtId="0" fontId="19" fillId="23" borderId="1" xfId="0" applyFont="1" applyFill="1" applyBorder="1" applyAlignment="1">
      <alignment horizontal="left"/>
    </xf>
    <xf numFmtId="0" fontId="22" fillId="23" borderId="1" xfId="0" quotePrefix="1" applyFont="1" applyFill="1" applyBorder="1"/>
    <xf numFmtId="0" fontId="19" fillId="23" borderId="1" xfId="0" quotePrefix="1" applyFont="1" applyFill="1" applyBorder="1" applyAlignment="1">
      <alignment horizontal="left"/>
    </xf>
    <xf numFmtId="0" fontId="30" fillId="9" borderId="1" xfId="30" applyFont="1" applyFill="1" applyBorder="1" applyAlignment="1">
      <alignment vertical="center"/>
    </xf>
    <xf numFmtId="0" fontId="30" fillId="9" borderId="1" xfId="0" applyFont="1" applyFill="1" applyBorder="1" applyAlignment="1">
      <alignment horizontal="center"/>
    </xf>
    <xf numFmtId="0" fontId="30" fillId="9" borderId="1" xfId="0" applyFont="1" applyFill="1" applyBorder="1"/>
    <xf numFmtId="0" fontId="19" fillId="23" borderId="1" xfId="0" applyFont="1" applyFill="1" applyBorder="1" applyAlignment="1">
      <alignment vertical="center"/>
    </xf>
    <xf numFmtId="0" fontId="19" fillId="23" borderId="1" xfId="30" applyFont="1" applyFill="1" applyBorder="1" applyAlignment="1">
      <alignment horizontal="left" vertical="top"/>
    </xf>
    <xf numFmtId="0" fontId="19" fillId="23" borderId="4" xfId="0" applyFont="1" applyFill="1" applyBorder="1"/>
    <xf numFmtId="0" fontId="19" fillId="3" borderId="1" xfId="30" applyFont="1" applyFill="1" applyBorder="1" applyAlignment="1">
      <alignment vertical="center"/>
    </xf>
    <xf numFmtId="0" fontId="22" fillId="21" borderId="1" xfId="0" quotePrefix="1" applyFont="1" applyFill="1" applyBorder="1"/>
    <xf numFmtId="0" fontId="19" fillId="21" borderId="1" xfId="0" quotePrefix="1" applyFont="1" applyFill="1" applyBorder="1"/>
    <xf numFmtId="0" fontId="0" fillId="24" borderId="3" xfId="0" applyFill="1" applyBorder="1"/>
    <xf numFmtId="0" fontId="24" fillId="24" borderId="2" xfId="0" applyFont="1" applyFill="1" applyBorder="1"/>
    <xf numFmtId="0" fontId="30" fillId="11" borderId="1" xfId="30" applyFont="1" applyFill="1" applyBorder="1" applyAlignment="1">
      <alignment vertical="center"/>
    </xf>
    <xf numFmtId="0" fontId="30" fillId="11" borderId="1" xfId="0" applyFont="1" applyFill="1" applyBorder="1" applyAlignment="1">
      <alignment horizontal="center"/>
    </xf>
    <xf numFmtId="0" fontId="30" fillId="11" borderId="1" xfId="0" applyFont="1" applyFill="1" applyBorder="1"/>
    <xf numFmtId="0" fontId="30" fillId="5" borderId="1" xfId="30" applyFont="1" applyFill="1" applyBorder="1" applyAlignment="1">
      <alignment vertical="center"/>
    </xf>
    <xf numFmtId="0" fontId="30" fillId="5" borderId="1" xfId="0" applyFont="1" applyFill="1" applyBorder="1" applyAlignment="1">
      <alignment horizontal="center"/>
    </xf>
    <xf numFmtId="0" fontId="30" fillId="5" borderId="1" xfId="0" applyFont="1" applyFill="1" applyBorder="1"/>
    <xf numFmtId="0" fontId="30" fillId="10" borderId="1" xfId="0" applyFont="1" applyFill="1" applyBorder="1" applyAlignment="1">
      <alignment vertical="center"/>
    </xf>
    <xf numFmtId="0" fontId="30" fillId="10" borderId="1" xfId="0" applyFont="1" applyFill="1" applyBorder="1" applyAlignment="1">
      <alignment horizontal="center"/>
    </xf>
    <xf numFmtId="0" fontId="30" fillId="10" borderId="1" xfId="0" applyFont="1" applyFill="1" applyBorder="1"/>
    <xf numFmtId="0" fontId="19" fillId="9" borderId="5" xfId="30" applyFont="1" applyFill="1" applyBorder="1" applyAlignment="1">
      <alignment vertical="center"/>
    </xf>
    <xf numFmtId="0" fontId="19" fillId="9" borderId="5" xfId="0" applyFont="1" applyFill="1" applyBorder="1" applyAlignment="1">
      <alignment horizontal="center"/>
    </xf>
    <xf numFmtId="0" fontId="19" fillId="20" borderId="5" xfId="0" applyFont="1" applyFill="1" applyBorder="1"/>
    <xf numFmtId="0" fontId="19" fillId="9" borderId="5" xfId="0" applyFont="1" applyFill="1" applyBorder="1"/>
    <xf numFmtId="0" fontId="19" fillId="9" borderId="5" xfId="0" applyFont="1" applyFill="1" applyBorder="1" applyAlignment="1">
      <alignment horizontal="left"/>
    </xf>
    <xf numFmtId="0" fontId="19" fillId="9" borderId="5" xfId="0" quotePrefix="1" applyFont="1" applyFill="1" applyBorder="1" applyAlignment="1">
      <alignment horizontal="left"/>
    </xf>
    <xf numFmtId="0" fontId="19" fillId="9" borderId="5" xfId="0" quotePrefix="1" applyFont="1" applyFill="1" applyBorder="1"/>
    <xf numFmtId="0" fontId="19" fillId="9" borderId="1" xfId="6" applyFont="1" applyFill="1" applyBorder="1" applyAlignment="1">
      <alignment horizontal="right"/>
    </xf>
    <xf numFmtId="0" fontId="19" fillId="9" borderId="1" xfId="30" applyFont="1" applyFill="1" applyBorder="1" applyAlignment="1">
      <alignment horizontal="right" vertical="top"/>
    </xf>
    <xf numFmtId="0" fontId="19" fillId="11" borderId="1" xfId="6" quotePrefix="1" applyFont="1" applyFill="1" applyBorder="1" applyAlignment="1">
      <alignment wrapText="1"/>
    </xf>
    <xf numFmtId="0" fontId="20" fillId="9" borderId="1" xfId="0" applyFont="1" applyFill="1" applyBorder="1"/>
    <xf numFmtId="0" fontId="20" fillId="10" borderId="1" xfId="0" applyFont="1" applyFill="1" applyBorder="1"/>
    <xf numFmtId="0" fontId="20" fillId="5" borderId="1" xfId="0" applyFont="1" applyFill="1" applyBorder="1"/>
    <xf numFmtId="0" fontId="20" fillId="11" borderId="1" xfId="0" applyFont="1" applyFill="1" applyBorder="1"/>
    <xf numFmtId="0" fontId="19" fillId="0" borderId="1" xfId="1" quotePrefix="1" applyFont="1" applyBorder="1"/>
  </cellXfs>
  <cellStyles count="32">
    <cellStyle name="20% - Accent6 2" xfId="19" xr:uid="{00000000-0005-0000-0000-000000000000}"/>
    <cellStyle name="Currency" xfId="31" builtinId="4"/>
    <cellStyle name="Hyperlink" xfId="1" builtinId="8"/>
    <cellStyle name="Hyperlink 2" xfId="2" xr:uid="{00000000-0005-0000-0000-000002000000}"/>
    <cellStyle name="Hyperlink 2 2" xfId="3" xr:uid="{00000000-0005-0000-0000-000003000000}"/>
    <cellStyle name="Hyperlink 2 3" xfId="22" xr:uid="{00000000-0005-0000-0000-000004000000}"/>
    <cellStyle name="Hyperlink 2 4" xfId="25" xr:uid="{00000000-0005-0000-0000-000005000000}"/>
    <cellStyle name="Hyperlink 3" xfId="4" xr:uid="{00000000-0005-0000-0000-000006000000}"/>
    <cellStyle name="Normal" xfId="0" builtinId="0"/>
    <cellStyle name="Normal 15 2" xfId="30" xr:uid="{D2B94851-0A33-4595-88F9-8B15AB8D9282}"/>
    <cellStyle name="Normal 2" xfId="5" xr:uid="{00000000-0005-0000-0000-000008000000}"/>
    <cellStyle name="Normal 2 2" xfId="6" xr:uid="{00000000-0005-0000-0000-000009000000}"/>
    <cellStyle name="Normal 2 2 2" xfId="7" xr:uid="{00000000-0005-0000-0000-00000A000000}"/>
    <cellStyle name="Normal 2 3" xfId="8" xr:uid="{00000000-0005-0000-0000-00000B000000}"/>
    <cellStyle name="Normal 2 8" xfId="9" xr:uid="{00000000-0005-0000-0000-00000C000000}"/>
    <cellStyle name="Normal 2 8 2" xfId="20" xr:uid="{00000000-0005-0000-0000-00000D000000}"/>
    <cellStyle name="Normal 2 8 3" xfId="26" xr:uid="{00000000-0005-0000-0000-00000E000000}"/>
    <cellStyle name="Normal 2 8 4" xfId="29" xr:uid="{00000000-0005-0000-0000-00000F000000}"/>
    <cellStyle name="Normal 3" xfId="10" xr:uid="{00000000-0005-0000-0000-000010000000}"/>
    <cellStyle name="Normal 3 2" xfId="27" xr:uid="{00000000-0005-0000-0000-000011000000}"/>
    <cellStyle name="Normal 4" xfId="11" xr:uid="{00000000-0005-0000-0000-000012000000}"/>
    <cellStyle name="Normal 4 2" xfId="12" xr:uid="{00000000-0005-0000-0000-000013000000}"/>
    <cellStyle name="Normal 5" xfId="21" xr:uid="{00000000-0005-0000-0000-000014000000}"/>
    <cellStyle name="Normal 6" xfId="23" xr:uid="{00000000-0005-0000-0000-000015000000}"/>
    <cellStyle name="Normal 7" xfId="24" xr:uid="{00000000-0005-0000-0000-000016000000}"/>
    <cellStyle name="Style 1" xfId="13" xr:uid="{00000000-0005-0000-0000-000017000000}"/>
    <cellStyle name="Style 1 2" xfId="28" xr:uid="{00000000-0005-0000-0000-000018000000}"/>
    <cellStyle name="一般_MAVIC-fromJen" xfId="14" xr:uid="{00000000-0005-0000-0000-000019000000}"/>
    <cellStyle name="千分位[0]_MAVIC-fromJen" xfId="15" xr:uid="{00000000-0005-0000-0000-00001A000000}"/>
    <cellStyle name="千分位_MAVIC-fromJen" xfId="16" xr:uid="{00000000-0005-0000-0000-00001B000000}"/>
    <cellStyle name="貨幣 [0]_MAVIC-fromJen" xfId="17" xr:uid="{00000000-0005-0000-0000-00001C000000}"/>
    <cellStyle name="貨幣_MAVIC-fromJen" xfId="18" xr:uid="{00000000-0005-0000-0000-00001D000000}"/>
  </cellStyles>
  <dxfs count="58">
    <dxf>
      <fill>
        <patternFill>
          <bgColor rgb="FF00B050"/>
        </patternFill>
      </fill>
    </dxf>
    <dxf>
      <fill>
        <patternFill>
          <bgColor rgb="FFFF0000"/>
        </patternFill>
      </fill>
    </dxf>
    <dxf>
      <fill>
        <patternFill>
          <bgColor rgb="FFFFC7CE"/>
        </patternFill>
      </fill>
    </dxf>
    <dxf>
      <fill>
        <patternFill>
          <bgColor rgb="FFFF00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ill>
        <patternFill>
          <bgColor rgb="FF00B050"/>
        </patternFill>
      </fill>
    </dxf>
    <dxf>
      <fill>
        <patternFill>
          <bgColor rgb="FFFF0000"/>
        </patternFill>
      </fill>
    </dxf>
    <dxf>
      <fill>
        <patternFill>
          <bgColor rgb="FFFFC7CE"/>
        </patternFill>
      </fill>
    </dxf>
    <dxf>
      <fill>
        <patternFill>
          <bgColor rgb="FFFF00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ill>
        <patternFill>
          <bgColor rgb="FF00B050"/>
        </patternFill>
      </fill>
    </dxf>
    <dxf>
      <fill>
        <patternFill>
          <bgColor rgb="FFFF0000"/>
        </patternFill>
      </fill>
    </dxf>
    <dxf>
      <fill>
        <patternFill>
          <bgColor rgb="FFFFC7CE"/>
        </patternFill>
      </fill>
    </dxf>
    <dxf>
      <fill>
        <patternFill>
          <bgColor rgb="FFFF00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ill>
        <patternFill>
          <bgColor rgb="FF00B050"/>
        </patternFill>
      </fill>
    </dxf>
    <dxf>
      <fill>
        <patternFill>
          <bgColor rgb="FFFF0000"/>
        </patternFill>
      </fill>
    </dxf>
    <dxf>
      <fill>
        <patternFill>
          <bgColor rgb="FFFFC7CE"/>
        </patternFill>
      </fill>
    </dxf>
    <dxf>
      <fill>
        <patternFill>
          <bgColor rgb="FFFF00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ill>
        <patternFill>
          <bgColor rgb="FF00B050"/>
        </patternFill>
      </fill>
    </dxf>
    <dxf>
      <fill>
        <patternFill>
          <bgColor rgb="FFFF0000"/>
        </patternFill>
      </fill>
    </dxf>
    <dxf>
      <fill>
        <patternFill>
          <bgColor rgb="FFFFC7CE"/>
        </patternFill>
      </fill>
    </dxf>
    <dxf>
      <fill>
        <patternFill>
          <bgColor rgb="FFFF0000"/>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s>
  <tableStyles count="0" defaultTableStyle="TableStyleMedium9" defaultPivotStyle="PivotStyleLight16"/>
  <colors>
    <mruColors>
      <color rgb="FFFFFF99"/>
      <color rgb="FFF5DD6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qa@travelguard.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hyperlink" Target="mailto:qa@travelguard.com" TargetMode="External"/><Relationship Id="rId7" Type="http://schemas.openxmlformats.org/officeDocument/2006/relationships/printerSettings" Target="../printerSettings/printerSettings3.bin"/><Relationship Id="rId2" Type="http://schemas.openxmlformats.org/officeDocument/2006/relationships/hyperlink" Target="mailto:qa@travelguard.com" TargetMode="External"/><Relationship Id="rId1" Type="http://schemas.openxmlformats.org/officeDocument/2006/relationships/hyperlink" Target="mailto:qa@travelguard.com" TargetMode="External"/><Relationship Id="rId6" Type="http://schemas.openxmlformats.org/officeDocument/2006/relationships/hyperlink" Target="https://owneradvantage.uat.insurancebytravelex.com/" TargetMode="External"/><Relationship Id="rId5" Type="http://schemas.openxmlformats.org/officeDocument/2006/relationships/hyperlink" Target="mailto:qa@travelex.com" TargetMode="External"/><Relationship Id="rId4" Type="http://schemas.openxmlformats.org/officeDocument/2006/relationships/hyperlink" Target="mailto:qa@travelex.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hyperlink" Target="mailto:qa@travelguard.com" TargetMode="External"/><Relationship Id="rId2" Type="http://schemas.openxmlformats.org/officeDocument/2006/relationships/hyperlink" Target="mailto:qa@travelguard.com" TargetMode="External"/><Relationship Id="rId1" Type="http://schemas.openxmlformats.org/officeDocument/2006/relationships/hyperlink" Target="mailto:qa@travelguard.com" TargetMode="External"/><Relationship Id="rId6" Type="http://schemas.openxmlformats.org/officeDocument/2006/relationships/printerSettings" Target="../printerSettings/printerSettings5.bin"/><Relationship Id="rId5" Type="http://schemas.openxmlformats.org/officeDocument/2006/relationships/hyperlink" Target="mailto:qa@travelex.com" TargetMode="External"/><Relationship Id="rId4" Type="http://schemas.openxmlformats.org/officeDocument/2006/relationships/hyperlink" Target="mailto:qa@travelex.co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hyperlink" Target="mailto:qa@travelguard.com" TargetMode="External"/><Relationship Id="rId2" Type="http://schemas.openxmlformats.org/officeDocument/2006/relationships/hyperlink" Target="mailto:qa@travelguard.com" TargetMode="External"/><Relationship Id="rId1" Type="http://schemas.openxmlformats.org/officeDocument/2006/relationships/hyperlink" Target="mailto:qa@travelguard.com" TargetMode="External"/><Relationship Id="rId6" Type="http://schemas.openxmlformats.org/officeDocument/2006/relationships/printerSettings" Target="../printerSettings/printerSettings7.bin"/><Relationship Id="rId5" Type="http://schemas.openxmlformats.org/officeDocument/2006/relationships/hyperlink" Target="mailto:qa@travelex.com" TargetMode="External"/><Relationship Id="rId4" Type="http://schemas.openxmlformats.org/officeDocument/2006/relationships/hyperlink" Target="mailto:qa@travelex.com"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hyperlink" Target="mailto:qa@travelguard.com" TargetMode="External"/><Relationship Id="rId7" Type="http://schemas.openxmlformats.org/officeDocument/2006/relationships/printerSettings" Target="../printerSettings/printerSettings9.bin"/><Relationship Id="rId2" Type="http://schemas.openxmlformats.org/officeDocument/2006/relationships/hyperlink" Target="mailto:qa@travelguard.com" TargetMode="External"/><Relationship Id="rId1" Type="http://schemas.openxmlformats.org/officeDocument/2006/relationships/hyperlink" Target="mailto:qa@travelguard.com" TargetMode="External"/><Relationship Id="rId6" Type="http://schemas.openxmlformats.org/officeDocument/2006/relationships/hyperlink" Target="https://departure.uat.insurancebytravelex.com/" TargetMode="External"/><Relationship Id="rId5" Type="http://schemas.openxmlformats.org/officeDocument/2006/relationships/hyperlink" Target="mailto:qa@travelex.com" TargetMode="External"/><Relationship Id="rId4" Type="http://schemas.openxmlformats.org/officeDocument/2006/relationships/hyperlink" Target="mailto:qa@travelex.com"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hyperlink" Target="mailto:qa@travelguard.com" TargetMode="External"/><Relationship Id="rId7" Type="http://schemas.openxmlformats.org/officeDocument/2006/relationships/printerSettings" Target="../printerSettings/printerSettings11.bin"/><Relationship Id="rId2" Type="http://schemas.openxmlformats.org/officeDocument/2006/relationships/hyperlink" Target="mailto:qa@travelguard.com" TargetMode="External"/><Relationship Id="rId1" Type="http://schemas.openxmlformats.org/officeDocument/2006/relationships/hyperlink" Target="mailto:qa@travelguard.com" TargetMode="External"/><Relationship Id="rId6" Type="http://schemas.openxmlformats.org/officeDocument/2006/relationships/hyperlink" Target="https://preview.uat.insurancebytravelex.com/" TargetMode="External"/><Relationship Id="rId5" Type="http://schemas.openxmlformats.org/officeDocument/2006/relationships/hyperlink" Target="mailto:qa@travelex.com" TargetMode="External"/><Relationship Id="rId4" Type="http://schemas.openxmlformats.org/officeDocument/2006/relationships/hyperlink" Target="mailto:qa@travelex.com" TargetMode="Externa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hyperlink" Target="mailto:qa@travelguard.com" TargetMode="External"/><Relationship Id="rId2" Type="http://schemas.openxmlformats.org/officeDocument/2006/relationships/hyperlink" Target="mailto:qa@travelguard.com" TargetMode="External"/><Relationship Id="rId1" Type="http://schemas.openxmlformats.org/officeDocument/2006/relationships/hyperlink" Target="mailto:qa@travelguard.com" TargetMode="External"/><Relationship Id="rId6" Type="http://schemas.openxmlformats.org/officeDocument/2006/relationships/printerSettings" Target="../printerSettings/printerSettings13.bin"/><Relationship Id="rId5" Type="http://schemas.openxmlformats.org/officeDocument/2006/relationships/hyperlink" Target="mailto:qa@travelex.com" TargetMode="External"/><Relationship Id="rId4" Type="http://schemas.openxmlformats.org/officeDocument/2006/relationships/hyperlink" Target="mailto:qa@travelex.com"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hyperlink" Target="mailto:qa@travelguard.com" TargetMode="External"/><Relationship Id="rId7" Type="http://schemas.openxmlformats.org/officeDocument/2006/relationships/printerSettings" Target="../printerSettings/printerSettings15.bin"/><Relationship Id="rId2" Type="http://schemas.openxmlformats.org/officeDocument/2006/relationships/hyperlink" Target="mailto:qa@travelguard.com" TargetMode="External"/><Relationship Id="rId1" Type="http://schemas.openxmlformats.org/officeDocument/2006/relationships/hyperlink" Target="mailto:qa@travelguard.com" TargetMode="External"/><Relationship Id="rId6" Type="http://schemas.openxmlformats.org/officeDocument/2006/relationships/hyperlink" Target="https://preview.uat.insurancebytravelex.com/" TargetMode="External"/><Relationship Id="rId5" Type="http://schemas.openxmlformats.org/officeDocument/2006/relationships/hyperlink" Target="mailto:qa@travelex.com" TargetMode="External"/><Relationship Id="rId4" Type="http://schemas.openxmlformats.org/officeDocument/2006/relationships/hyperlink" Target="mailto:qa@travelex.com"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hyperlink" Target="mailto:qa@travelguard.com" TargetMode="External"/><Relationship Id="rId7" Type="http://schemas.openxmlformats.org/officeDocument/2006/relationships/printerSettings" Target="../printerSettings/printerSettings17.bin"/><Relationship Id="rId2" Type="http://schemas.openxmlformats.org/officeDocument/2006/relationships/hyperlink" Target="mailto:qa@travelguard.com" TargetMode="External"/><Relationship Id="rId1" Type="http://schemas.openxmlformats.org/officeDocument/2006/relationships/hyperlink" Target="mailto:qa@travelguard.com" TargetMode="External"/><Relationship Id="rId6" Type="http://schemas.openxmlformats.org/officeDocument/2006/relationships/hyperlink" Target="https://preview.uat.insurancebytravelex.com/" TargetMode="External"/><Relationship Id="rId5" Type="http://schemas.openxmlformats.org/officeDocument/2006/relationships/hyperlink" Target="mailto:qa@travelex.com" TargetMode="External"/><Relationship Id="rId4" Type="http://schemas.openxmlformats.org/officeDocument/2006/relationships/hyperlink" Target="mailto:qa@travelex.com"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hyperlink" Target="mailto:qa@travelguard.com" TargetMode="External"/><Relationship Id="rId7" Type="http://schemas.openxmlformats.org/officeDocument/2006/relationships/printerSettings" Target="../printerSettings/printerSettings19.bin"/><Relationship Id="rId2" Type="http://schemas.openxmlformats.org/officeDocument/2006/relationships/hyperlink" Target="mailto:qa@travelguard.com" TargetMode="External"/><Relationship Id="rId1" Type="http://schemas.openxmlformats.org/officeDocument/2006/relationships/hyperlink" Target="mailto:qa@travelguard.com" TargetMode="External"/><Relationship Id="rId6" Type="http://schemas.openxmlformats.org/officeDocument/2006/relationships/hyperlink" Target="https://preview.uat.insurancebytravelex.com/" TargetMode="External"/><Relationship Id="rId5" Type="http://schemas.openxmlformats.org/officeDocument/2006/relationships/hyperlink" Target="mailto:qa@travelex.com" TargetMode="External"/><Relationship Id="rId4" Type="http://schemas.openxmlformats.org/officeDocument/2006/relationships/hyperlink" Target="mailto:qa@travelex.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27"/>
  <sheetViews>
    <sheetView showGridLines="0" topLeftCell="A4" zoomScale="85" zoomScaleNormal="85" workbookViewId="0">
      <selection activeCell="B3" sqref="B3"/>
    </sheetView>
  </sheetViews>
  <sheetFormatPr defaultRowHeight="12.75"/>
  <cols>
    <col min="1" max="1" width="28" bestFit="1" customWidth="1"/>
    <col min="2" max="2" width="140.42578125" customWidth="1"/>
    <col min="3" max="3" width="94" bestFit="1" customWidth="1"/>
  </cols>
  <sheetData>
    <row r="1" spans="1:3" ht="12.75" customHeight="1">
      <c r="A1" s="174" t="s">
        <v>6</v>
      </c>
      <c r="B1" s="174" t="s">
        <v>7</v>
      </c>
      <c r="C1" s="174" t="s">
        <v>12</v>
      </c>
    </row>
    <row r="2" spans="1:3" s="1" customFormat="1" ht="15">
      <c r="A2" s="175" t="s">
        <v>4</v>
      </c>
      <c r="B2" s="175" t="s">
        <v>987</v>
      </c>
      <c r="C2" s="175"/>
    </row>
    <row r="3" spans="1:3" s="1" customFormat="1" ht="15">
      <c r="A3" s="175" t="s">
        <v>8</v>
      </c>
      <c r="B3" s="175" t="str">
        <f ca="1">"L:\Regression\Test Results\Temp_Results\AEM Regression\Travelex\"&amp;B2&amp;"\"&amp;B9&amp;""&amp;TEXT(NOW(),"ddmmmyyhhmmss")&amp;"\"</f>
        <v>L:\Regression\Test Results\Temp_Results\AEM Regression\Travelex\UAT\Travel EX Migration_AEM Regression_UAT01Sep26101238\</v>
      </c>
      <c r="C3" s="175" t="str">
        <f ca="1">SUBSTITUTE(RIGHT(B3,7),"\","")</f>
        <v>101238</v>
      </c>
    </row>
    <row r="4" spans="1:3" s="1" customFormat="1" ht="15">
      <c r="A4" s="175" t="s">
        <v>9</v>
      </c>
      <c r="B4" s="175" t="str">
        <f ca="1">B9&amp;"_"&amp;DAY(NOW())&amp;TEXT(MONTH(NOW()),"MMM")&amp;YEAR(NOW())&amp;MINUTE(NOW())&amp;SECOND(NOW())&amp;".xlsx"</f>
        <v>Travel EX Migration_AEM Regression_UAT_1Jan20261238.xlsx</v>
      </c>
      <c r="C4" s="175" t="str">
        <f ca="1">TEXT(NOW(),"YYMMDDHHMM")</f>
        <v>2609011012</v>
      </c>
    </row>
    <row r="5" spans="1:3" s="1" customFormat="1" ht="15">
      <c r="A5" s="175" t="s">
        <v>35</v>
      </c>
      <c r="B5" s="175" t="s">
        <v>21</v>
      </c>
      <c r="C5" s="175" t="s">
        <v>40</v>
      </c>
    </row>
    <row r="6" spans="1:3" s="1" customFormat="1" ht="15">
      <c r="A6" s="175" t="s">
        <v>36</v>
      </c>
      <c r="B6" s="175" t="s">
        <v>21</v>
      </c>
      <c r="C6" s="175" t="s">
        <v>39</v>
      </c>
    </row>
    <row r="7" spans="1:3" s="1" customFormat="1" ht="15">
      <c r="A7" s="175" t="s">
        <v>37</v>
      </c>
      <c r="B7" s="175" t="s">
        <v>21</v>
      </c>
      <c r="C7" s="175" t="s">
        <v>38</v>
      </c>
    </row>
    <row r="8" spans="1:3" s="1" customFormat="1" ht="15">
      <c r="A8" s="175" t="s">
        <v>13</v>
      </c>
      <c r="B8" s="175" t="s">
        <v>2</v>
      </c>
      <c r="C8" s="175" t="s">
        <v>15</v>
      </c>
    </row>
    <row r="9" spans="1:3" s="1" customFormat="1" ht="15">
      <c r="A9" s="175" t="s">
        <v>14</v>
      </c>
      <c r="B9" s="175" t="str">
        <f>"Travel EX Migration_AEM Regression_"&amp;B2</f>
        <v>Travel EX Migration_AEM Regression_UAT</v>
      </c>
      <c r="C9" s="175" t="s">
        <v>16</v>
      </c>
    </row>
    <row r="10" spans="1:3" s="1" customFormat="1" ht="15">
      <c r="A10" s="175" t="s">
        <v>11</v>
      </c>
      <c r="B10" s="176" t="s">
        <v>60</v>
      </c>
      <c r="C10" s="175" t="s">
        <v>17</v>
      </c>
    </row>
    <row r="11" spans="1:3" s="1" customFormat="1" ht="15">
      <c r="A11" s="175" t="s">
        <v>20</v>
      </c>
      <c r="B11" s="175" t="s">
        <v>58</v>
      </c>
      <c r="C11" s="175" t="s">
        <v>804</v>
      </c>
    </row>
    <row r="12" spans="1:3" s="1" customFormat="1" ht="15">
      <c r="A12" s="175" t="s">
        <v>19</v>
      </c>
      <c r="B12" s="175" t="s">
        <v>18</v>
      </c>
      <c r="C12" s="175"/>
    </row>
    <row r="13" spans="1:3" s="1" customFormat="1" ht="15">
      <c r="A13" s="175" t="s">
        <v>25</v>
      </c>
      <c r="B13" s="175" t="str">
        <f>"Automated Test Result - " &amp; B9 &amp; "-" &amp; B2</f>
        <v>Automated Test Result - Travel EX Migration_AEM Regression_UAT-UAT</v>
      </c>
      <c r="C13" s="175"/>
    </row>
    <row r="14" spans="1:3" s="1" customFormat="1" ht="15">
      <c r="A14" s="175" t="s">
        <v>22</v>
      </c>
      <c r="B14" s="177" t="s">
        <v>101</v>
      </c>
      <c r="C14" s="175"/>
    </row>
    <row r="15" spans="1:3" s="1" customFormat="1" ht="15">
      <c r="A15" s="175" t="s">
        <v>23</v>
      </c>
      <c r="B15" s="178"/>
      <c r="C15" s="175"/>
    </row>
    <row r="16" spans="1:3" s="1" customFormat="1" ht="15">
      <c r="A16" s="175" t="s">
        <v>24</v>
      </c>
      <c r="B16" s="175" t="s">
        <v>21</v>
      </c>
      <c r="C16" s="175"/>
    </row>
    <row r="17" spans="1:3" s="1" customFormat="1" ht="15">
      <c r="A17" s="175" t="s">
        <v>56</v>
      </c>
      <c r="B17" s="175" t="s">
        <v>21</v>
      </c>
      <c r="C17" s="175"/>
    </row>
    <row r="18" spans="1:3" s="1" customFormat="1" ht="15">
      <c r="A18" s="175" t="s">
        <v>80</v>
      </c>
      <c r="B18" s="175" t="s">
        <v>21</v>
      </c>
      <c r="C18" s="175"/>
    </row>
    <row r="19" spans="1:3">
      <c r="A19" s="4" t="s">
        <v>61</v>
      </c>
      <c r="B19" s="2" t="s">
        <v>77</v>
      </c>
    </row>
    <row r="20" spans="1:3">
      <c r="A20" s="4" t="s">
        <v>62</v>
      </c>
      <c r="B20" s="2" t="s">
        <v>77</v>
      </c>
    </row>
    <row r="21" spans="1:3">
      <c r="A21" s="4" t="s">
        <v>63</v>
      </c>
      <c r="B21" s="2" t="s">
        <v>77</v>
      </c>
    </row>
    <row r="22" spans="1:3">
      <c r="A22" s="4" t="s">
        <v>64</v>
      </c>
      <c r="B22" s="3" t="s">
        <v>59</v>
      </c>
    </row>
    <row r="23" spans="1:3">
      <c r="A23" s="4" t="s">
        <v>65</v>
      </c>
      <c r="B23" s="3" t="s">
        <v>21</v>
      </c>
    </row>
    <row r="24" spans="1:3">
      <c r="A24" s="4" t="s">
        <v>66</v>
      </c>
      <c r="B24" s="3" t="s">
        <v>59</v>
      </c>
    </row>
    <row r="25" spans="1:3" ht="15">
      <c r="A25" s="226" t="s">
        <v>960</v>
      </c>
      <c r="B25" s="227" t="s">
        <v>21</v>
      </c>
    </row>
    <row r="27" spans="1:3">
      <c r="B27" s="5"/>
    </row>
  </sheetData>
  <hyperlinks>
    <hyperlink ref="B14" r:id="rId1" xr:uid="{30A73859-0211-42A3-A548-E7A7C2BD6FB5}"/>
  </hyperlinks>
  <printOptions gridLines="1"/>
  <pageMargins left="0.75" right="0.75" top="1" bottom="1" header="0.5" footer="0.5"/>
  <pageSetup paperSize="9" orientation="portrait" r:id="rId2"/>
  <headerFooter alignWithMargins="0">
    <oddHeader>&amp;A</oddHeader>
    <oddFooter>&amp;L_x000D_&amp;1#&amp;"Aptos"&amp;10&amp;K000000 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E10"/>
  <sheetViews>
    <sheetView zoomScale="85" zoomScaleNormal="85" workbookViewId="0">
      <selection activeCell="B11" sqref="B11"/>
    </sheetView>
  </sheetViews>
  <sheetFormatPr defaultRowHeight="12.75"/>
  <cols>
    <col min="1" max="1" width="19.85546875" bestFit="1" customWidth="1"/>
    <col min="2" max="2" width="10.42578125" bestFit="1" customWidth="1"/>
    <col min="3" max="3" width="21.140625" bestFit="1" customWidth="1"/>
    <col min="4" max="4" width="64.5703125" customWidth="1"/>
  </cols>
  <sheetData>
    <row r="1" spans="1:5">
      <c r="A1" s="21" t="s">
        <v>10</v>
      </c>
      <c r="B1" s="21" t="s">
        <v>5</v>
      </c>
      <c r="C1" s="21" t="s">
        <v>54</v>
      </c>
      <c r="D1" s="21" t="s">
        <v>12</v>
      </c>
    </row>
    <row r="2" spans="1:5" ht="15">
      <c r="A2" s="22" t="s">
        <v>117</v>
      </c>
      <c r="B2" s="22" t="s">
        <v>21</v>
      </c>
      <c r="C2" s="22" t="s">
        <v>113</v>
      </c>
      <c r="D2" s="22" t="s">
        <v>118</v>
      </c>
      <c r="E2" s="22" t="s">
        <v>950</v>
      </c>
    </row>
    <row r="3" spans="1:5" ht="15">
      <c r="A3" s="22" t="s">
        <v>119</v>
      </c>
      <c r="B3" s="22" t="s">
        <v>2</v>
      </c>
      <c r="C3" s="22" t="s">
        <v>114</v>
      </c>
      <c r="D3" s="22" t="s">
        <v>120</v>
      </c>
      <c r="E3" s="22" t="s">
        <v>950</v>
      </c>
    </row>
    <row r="4" spans="1:5" ht="15">
      <c r="A4" s="22" t="s">
        <v>121</v>
      </c>
      <c r="B4" s="22" t="s">
        <v>21</v>
      </c>
      <c r="C4" s="22" t="s">
        <v>115</v>
      </c>
      <c r="D4" s="22" t="s">
        <v>122</v>
      </c>
      <c r="E4" s="22" t="s">
        <v>950</v>
      </c>
    </row>
    <row r="5" spans="1:5" ht="15">
      <c r="A5" s="23" t="s">
        <v>123</v>
      </c>
      <c r="B5" s="23" t="s">
        <v>21</v>
      </c>
      <c r="C5" s="23" t="s">
        <v>116</v>
      </c>
      <c r="D5" s="24" t="s">
        <v>124</v>
      </c>
      <c r="E5" s="22" t="s">
        <v>950</v>
      </c>
    </row>
    <row r="6" spans="1:5" ht="15">
      <c r="A6" s="25" t="s">
        <v>125</v>
      </c>
      <c r="B6" s="25" t="s">
        <v>21</v>
      </c>
      <c r="C6" s="25" t="s">
        <v>111</v>
      </c>
      <c r="D6" s="26" t="s">
        <v>126</v>
      </c>
      <c r="E6" s="22" t="s">
        <v>950</v>
      </c>
    </row>
    <row r="7" spans="1:5" ht="15">
      <c r="A7" s="27" t="s">
        <v>127</v>
      </c>
      <c r="B7" s="27" t="s">
        <v>2</v>
      </c>
      <c r="C7" s="27" t="s">
        <v>112</v>
      </c>
      <c r="D7" s="28" t="s">
        <v>128</v>
      </c>
    </row>
    <row r="8" spans="1:5" ht="15">
      <c r="A8" s="206" t="s">
        <v>867</v>
      </c>
      <c r="B8" s="206" t="s">
        <v>21</v>
      </c>
      <c r="C8" s="206" t="s">
        <v>868</v>
      </c>
      <c r="D8" s="207" t="s">
        <v>873</v>
      </c>
    </row>
    <row r="9" spans="1:5" ht="15">
      <c r="A9" s="206" t="s">
        <v>961</v>
      </c>
      <c r="B9" s="206" t="s">
        <v>2</v>
      </c>
      <c r="C9" s="206" t="s">
        <v>963</v>
      </c>
      <c r="D9" s="207" t="s">
        <v>873</v>
      </c>
    </row>
    <row r="10" spans="1:5" ht="15">
      <c r="A10" s="206" t="s">
        <v>962</v>
      </c>
      <c r="B10" s="206" t="s">
        <v>21</v>
      </c>
      <c r="C10" s="206" t="s">
        <v>964</v>
      </c>
      <c r="D10" s="207" t="s">
        <v>873</v>
      </c>
    </row>
  </sheetData>
  <dataValidations count="1">
    <dataValidation type="list" allowBlank="1" showInputMessage="1" showErrorMessage="1" sqref="B2:B10" xr:uid="{E0DB6B6E-0F36-4C87-A7A9-99E3CA3D3DC4}">
      <formula1>"Y,N"</formula1>
    </dataValidation>
  </dataValidations>
  <pageMargins left="0.7" right="0.7" top="0.75" bottom="0.75" header="0.3" footer="0.3"/>
  <headerFooter>
    <oddFooter>&amp;L_x000D_&amp;1#&amp;"Aptos"&amp;10&amp;K000000 INTERNAL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161F4-18D6-4642-A39C-0109F1DF773E}">
  <sheetPr>
    <tabColor theme="6"/>
    <outlinePr summaryBelow="0"/>
  </sheetPr>
  <dimension ref="A1:Z319"/>
  <sheetViews>
    <sheetView showGridLines="0" zoomScale="89" zoomScaleNormal="89" workbookViewId="0">
      <pane ySplit="1" topLeftCell="A246" activePane="bottomLeft" state="frozen"/>
      <selection activeCell="E20" sqref="E20"/>
      <selection pane="bottomLeft" activeCell="A245" sqref="A245"/>
    </sheetView>
  </sheetViews>
  <sheetFormatPr defaultColWidth="9.140625" defaultRowHeight="12.75" outlineLevelRow="1"/>
  <cols>
    <col min="1" max="1" width="27.42578125" style="13" customWidth="1"/>
    <col min="2" max="2" width="12.42578125" style="14" bestFit="1" customWidth="1"/>
    <col min="3" max="3" width="23.140625" style="13" customWidth="1"/>
    <col min="4" max="4" width="8.5703125" style="13" customWidth="1"/>
    <col min="5" max="5" width="10.85546875" style="13" customWidth="1"/>
    <col min="6" max="6" width="10.42578125" style="13" customWidth="1"/>
    <col min="7" max="7" width="22.140625" style="13" bestFit="1" customWidth="1"/>
    <col min="8" max="9" width="9.140625" style="13"/>
    <col min="10" max="10" width="62.5703125" style="13" bestFit="1" customWidth="1"/>
    <col min="11" max="11" width="9.140625" style="13"/>
    <col min="12" max="12" width="14.140625" style="13" bestFit="1" customWidth="1"/>
    <col min="13" max="13" width="19" style="13" customWidth="1"/>
    <col min="14" max="14" width="15.5703125" style="13" bestFit="1" customWidth="1"/>
    <col min="15" max="15" width="7.85546875" style="13" customWidth="1"/>
    <col min="16" max="16" width="9.5703125" style="13" bestFit="1" customWidth="1"/>
    <col min="17" max="17" width="9.85546875" style="13" bestFit="1" customWidth="1"/>
    <col min="18" max="18" width="20.140625" style="13" customWidth="1"/>
    <col min="19" max="19" width="22.85546875" style="13" bestFit="1" customWidth="1"/>
    <col min="20" max="20" width="12" style="13" bestFit="1" customWidth="1"/>
    <col min="21" max="21" width="8.42578125" style="13" bestFit="1" customWidth="1"/>
    <col min="22" max="22" width="5.85546875" style="13" bestFit="1" customWidth="1"/>
    <col min="23" max="23" width="9" style="13" bestFit="1" customWidth="1"/>
    <col min="24" max="24" width="8.42578125" style="13" bestFit="1" customWidth="1"/>
    <col min="25" max="25" width="7.85546875" style="13" bestFit="1" customWidth="1"/>
    <col min="26" max="16384" width="9.140625" style="9"/>
  </cols>
  <sheetData>
    <row r="1" spans="1:26">
      <c r="A1" s="29" t="s">
        <v>5</v>
      </c>
      <c r="B1" s="7" t="s">
        <v>28</v>
      </c>
      <c r="C1" s="7" t="s">
        <v>29</v>
      </c>
      <c r="D1" s="7" t="s">
        <v>1</v>
      </c>
      <c r="E1" s="7" t="s">
        <v>26</v>
      </c>
      <c r="F1" s="8" t="s">
        <v>53</v>
      </c>
      <c r="G1" s="7" t="s">
        <v>27</v>
      </c>
      <c r="H1" s="7" t="s">
        <v>47</v>
      </c>
      <c r="I1" s="7" t="s">
        <v>42</v>
      </c>
      <c r="J1" s="7" t="s">
        <v>43</v>
      </c>
      <c r="K1" s="7" t="s">
        <v>30</v>
      </c>
      <c r="L1" s="7" t="s">
        <v>31</v>
      </c>
      <c r="M1" s="7" t="s">
        <v>7</v>
      </c>
      <c r="N1" s="7" t="s">
        <v>44</v>
      </c>
      <c r="O1" s="7" t="s">
        <v>46</v>
      </c>
      <c r="P1" s="7" t="s">
        <v>52</v>
      </c>
      <c r="Q1" s="7" t="s">
        <v>51</v>
      </c>
      <c r="R1" s="7" t="s">
        <v>45</v>
      </c>
      <c r="S1" s="7" t="s">
        <v>32</v>
      </c>
      <c r="T1" s="7" t="s">
        <v>48</v>
      </c>
      <c r="U1" s="7" t="s">
        <v>41</v>
      </c>
      <c r="V1" s="7" t="s">
        <v>129</v>
      </c>
      <c r="W1" s="7" t="s">
        <v>11</v>
      </c>
      <c r="X1" s="7" t="s">
        <v>49</v>
      </c>
      <c r="Y1" s="7" t="s">
        <v>50</v>
      </c>
      <c r="Z1" s="7" t="s">
        <v>3</v>
      </c>
    </row>
    <row r="2" spans="1:26" ht="12.75" customHeight="1">
      <c r="A2" s="30" t="s">
        <v>130</v>
      </c>
      <c r="B2" s="31"/>
      <c r="C2" s="31"/>
      <c r="D2" s="32"/>
      <c r="E2" s="32"/>
      <c r="F2" s="31"/>
      <c r="G2" s="32"/>
      <c r="H2" s="32"/>
      <c r="I2" s="32"/>
      <c r="J2" s="32"/>
      <c r="K2" s="31"/>
      <c r="L2" s="32"/>
      <c r="M2" s="32"/>
      <c r="N2" s="32"/>
      <c r="O2" s="32"/>
      <c r="P2" s="32"/>
      <c r="Q2" s="32"/>
      <c r="R2" s="32"/>
      <c r="S2" s="32"/>
      <c r="T2" s="32"/>
      <c r="U2" s="32"/>
      <c r="V2" s="32"/>
      <c r="W2" s="32"/>
      <c r="X2" s="32"/>
      <c r="Y2" s="32"/>
      <c r="Z2" s="32"/>
    </row>
    <row r="3" spans="1:26" outlineLevel="1">
      <c r="A3" s="53" t="str">
        <f>IF(OR(Global!B25="N"),"N","bln677971")</f>
        <v>N</v>
      </c>
      <c r="B3" s="198">
        <f>COUNTA($B$1:B2)</f>
        <v>1</v>
      </c>
      <c r="C3" s="35" t="s">
        <v>132</v>
      </c>
      <c r="D3" s="35"/>
      <c r="E3" s="35"/>
      <c r="F3" s="34"/>
      <c r="G3" s="35" t="s">
        <v>133</v>
      </c>
      <c r="H3" s="35"/>
      <c r="I3" s="35"/>
      <c r="J3" s="35"/>
      <c r="K3" s="69"/>
      <c r="L3" s="35" t="s">
        <v>67</v>
      </c>
      <c r="M3" s="36">
        <v>1</v>
      </c>
      <c r="N3" s="35"/>
      <c r="O3" s="35" t="s">
        <v>2</v>
      </c>
      <c r="P3" s="35"/>
      <c r="Q3" s="35"/>
      <c r="R3" s="35" t="s">
        <v>57</v>
      </c>
      <c r="S3" s="35"/>
      <c r="T3" s="35"/>
      <c r="U3" s="35"/>
      <c r="V3" s="35"/>
      <c r="W3" s="35"/>
      <c r="X3" s="35"/>
      <c r="Y3" s="35"/>
      <c r="Z3" s="35"/>
    </row>
    <row r="4" spans="1:26" outlineLevel="1">
      <c r="A4" s="53" t="str">
        <f>IF(OR(Global!B25="N"),"N","bln677971")</f>
        <v>N</v>
      </c>
      <c r="B4" s="198">
        <f>COUNTA($B$1:B3)</f>
        <v>2</v>
      </c>
      <c r="C4" s="35" t="s">
        <v>947</v>
      </c>
      <c r="D4" s="35"/>
      <c r="E4" s="35"/>
      <c r="F4" s="34"/>
      <c r="G4" s="35" t="s">
        <v>133</v>
      </c>
      <c r="H4" s="35" t="s">
        <v>134</v>
      </c>
      <c r="I4" s="35"/>
      <c r="J4" s="35"/>
      <c r="K4" s="69"/>
      <c r="L4" s="35" t="s">
        <v>33</v>
      </c>
      <c r="M4" s="36" t="str">
        <f>"URL:="&amp;R3&amp;";;HEADLESS:=TRUE"</f>
        <v>URL:=DT_URL;;HEADLESS:=TRUE</v>
      </c>
      <c r="N4" s="35"/>
      <c r="O4" s="35"/>
      <c r="P4" s="35"/>
      <c r="Q4" s="35">
        <v>60</v>
      </c>
      <c r="R4" s="35"/>
      <c r="S4" s="35"/>
      <c r="T4" s="35"/>
      <c r="U4" s="35"/>
      <c r="V4" s="35"/>
      <c r="W4" s="35"/>
      <c r="X4" s="35"/>
      <c r="Y4" s="35"/>
      <c r="Z4" s="35"/>
    </row>
    <row r="5" spans="1:26">
      <c r="A5" s="33" t="str">
        <f>IF(OR(Global!B25="Y"),"N","bln677971")</f>
        <v>bln677971</v>
      </c>
      <c r="B5" s="198">
        <f>COUNTA($B$1:B4)</f>
        <v>3</v>
      </c>
      <c r="C5" s="35" t="s">
        <v>132</v>
      </c>
      <c r="D5" s="35"/>
      <c r="E5" s="35"/>
      <c r="F5" s="34"/>
      <c r="G5" s="35" t="s">
        <v>133</v>
      </c>
      <c r="H5" s="35" t="s">
        <v>134</v>
      </c>
      <c r="I5" s="35"/>
      <c r="J5" s="35"/>
      <c r="K5" s="34"/>
      <c r="L5" s="35" t="s">
        <v>33</v>
      </c>
      <c r="M5" s="36" t="s">
        <v>57</v>
      </c>
      <c r="N5" s="35"/>
      <c r="O5" s="35"/>
      <c r="P5" s="35"/>
      <c r="Q5" s="35">
        <v>60</v>
      </c>
      <c r="R5" s="35"/>
      <c r="S5" s="35"/>
      <c r="T5" s="35"/>
      <c r="U5" s="35"/>
      <c r="V5" s="35"/>
      <c r="W5" s="35"/>
      <c r="X5" s="35"/>
      <c r="Y5" s="35"/>
      <c r="Z5" s="35"/>
    </row>
    <row r="6" spans="1:26">
      <c r="A6" s="37" t="s">
        <v>21</v>
      </c>
      <c r="B6" s="34">
        <f>COUNTA($B$1:B5)</f>
        <v>4</v>
      </c>
      <c r="C6" s="37" t="s">
        <v>67</v>
      </c>
      <c r="D6" s="37"/>
      <c r="E6" s="37"/>
      <c r="F6" s="37"/>
      <c r="G6" s="35" t="s">
        <v>133</v>
      </c>
      <c r="H6" s="37"/>
      <c r="I6" s="37"/>
      <c r="J6" s="37"/>
      <c r="K6" s="38"/>
      <c r="L6" s="37" t="s">
        <v>67</v>
      </c>
      <c r="M6" s="37">
        <v>5</v>
      </c>
      <c r="N6" s="37"/>
      <c r="O6" s="37"/>
      <c r="P6" s="37"/>
      <c r="Q6" s="37"/>
      <c r="R6" s="39"/>
      <c r="S6" s="37"/>
      <c r="T6" s="37"/>
      <c r="U6" s="37"/>
      <c r="V6" s="37"/>
      <c r="W6" s="37"/>
      <c r="X6" s="37"/>
      <c r="Y6" s="37"/>
      <c r="Z6" s="35"/>
    </row>
    <row r="7" spans="1:26">
      <c r="A7" s="37" t="s">
        <v>21</v>
      </c>
      <c r="B7" s="34">
        <f>COUNTA($B$1:B6)</f>
        <v>5</v>
      </c>
      <c r="C7" s="37" t="s">
        <v>68</v>
      </c>
      <c r="D7" s="37"/>
      <c r="E7" s="37"/>
      <c r="F7" s="37"/>
      <c r="G7" s="35" t="s">
        <v>133</v>
      </c>
      <c r="H7" s="37"/>
      <c r="I7" s="37" t="s">
        <v>55</v>
      </c>
      <c r="J7" s="37" t="s">
        <v>71</v>
      </c>
      <c r="K7" s="38">
        <v>0</v>
      </c>
      <c r="L7" s="37" t="s">
        <v>0</v>
      </c>
      <c r="M7" s="37" t="s">
        <v>74</v>
      </c>
      <c r="N7" s="37"/>
      <c r="O7" s="37" t="s">
        <v>2</v>
      </c>
      <c r="P7" s="37"/>
      <c r="Q7" s="40">
        <v>5</v>
      </c>
      <c r="R7" s="39"/>
      <c r="S7" s="37"/>
      <c r="T7" s="37"/>
      <c r="U7" s="37"/>
      <c r="V7" s="37"/>
      <c r="W7" s="37"/>
      <c r="X7" s="37"/>
      <c r="Y7" s="37"/>
      <c r="Z7" s="35"/>
    </row>
    <row r="8" spans="1:26">
      <c r="A8" s="37" t="s">
        <v>21</v>
      </c>
      <c r="B8" s="34">
        <f>COUNTA($B$1:B7)</f>
        <v>6</v>
      </c>
      <c r="C8" s="37" t="s">
        <v>69</v>
      </c>
      <c r="D8" s="37"/>
      <c r="E8" s="37"/>
      <c r="F8" s="37"/>
      <c r="G8" s="35" t="s">
        <v>133</v>
      </c>
      <c r="H8" s="37"/>
      <c r="I8" s="37" t="s">
        <v>55</v>
      </c>
      <c r="J8" s="37" t="s">
        <v>72</v>
      </c>
      <c r="K8" s="38">
        <v>0</v>
      </c>
      <c r="L8" s="37" t="s">
        <v>0</v>
      </c>
      <c r="M8" s="37" t="s">
        <v>75</v>
      </c>
      <c r="N8" s="37"/>
      <c r="O8" s="37" t="s">
        <v>2</v>
      </c>
      <c r="P8" s="37"/>
      <c r="Q8" s="37"/>
      <c r="R8" s="39"/>
      <c r="S8" s="37"/>
      <c r="T8" s="37"/>
      <c r="U8" s="37"/>
      <c r="V8" s="37"/>
      <c r="W8" s="37"/>
      <c r="X8" s="37"/>
      <c r="Y8" s="37"/>
      <c r="Z8" s="35"/>
    </row>
    <row r="9" spans="1:26">
      <c r="A9" s="37" t="s">
        <v>21</v>
      </c>
      <c r="B9" s="34">
        <f>COUNTA($B$1:B8)</f>
        <v>7</v>
      </c>
      <c r="C9" s="37" t="s">
        <v>70</v>
      </c>
      <c r="D9" s="37"/>
      <c r="E9" s="37"/>
      <c r="F9" s="37"/>
      <c r="G9" s="35" t="s">
        <v>133</v>
      </c>
      <c r="H9" s="37"/>
      <c r="I9" s="37" t="s">
        <v>55</v>
      </c>
      <c r="J9" s="37" t="s">
        <v>73</v>
      </c>
      <c r="K9" s="38">
        <v>0</v>
      </c>
      <c r="L9" s="37" t="s">
        <v>34</v>
      </c>
      <c r="M9" s="37"/>
      <c r="N9" s="37"/>
      <c r="O9" s="37" t="s">
        <v>2</v>
      </c>
      <c r="P9" s="37"/>
      <c r="Q9" s="37"/>
      <c r="R9" s="39"/>
      <c r="S9" s="37"/>
      <c r="T9" s="37"/>
      <c r="U9" s="37"/>
      <c r="V9" s="37"/>
      <c r="W9" s="37"/>
      <c r="X9" s="37"/>
      <c r="Y9" s="37"/>
      <c r="Z9" s="35"/>
    </row>
    <row r="10" spans="1:26">
      <c r="A10" s="37" t="s">
        <v>21</v>
      </c>
      <c r="B10" s="34">
        <f>COUNTA($B$1:B9)</f>
        <v>8</v>
      </c>
      <c r="C10" s="37" t="s">
        <v>67</v>
      </c>
      <c r="D10" s="37"/>
      <c r="E10" s="37"/>
      <c r="F10" s="37"/>
      <c r="G10" s="35" t="s">
        <v>133</v>
      </c>
      <c r="H10" s="37"/>
      <c r="I10" s="37"/>
      <c r="J10" s="37"/>
      <c r="K10" s="38"/>
      <c r="L10" s="37" t="s">
        <v>67</v>
      </c>
      <c r="M10" s="37">
        <v>5</v>
      </c>
      <c r="N10" s="37"/>
      <c r="O10" s="37"/>
      <c r="P10" s="37"/>
      <c r="Q10" s="37"/>
      <c r="R10" s="39"/>
      <c r="S10" s="37"/>
      <c r="T10" s="37"/>
      <c r="U10" s="37"/>
      <c r="V10" s="37"/>
      <c r="W10" s="37"/>
      <c r="X10" s="37"/>
      <c r="Y10" s="37"/>
      <c r="Z10" s="35"/>
    </row>
    <row r="11" spans="1:26" ht="12.75" customHeight="1">
      <c r="A11" s="30" t="s">
        <v>135</v>
      </c>
      <c r="B11" s="31"/>
      <c r="C11" s="31"/>
      <c r="D11" s="32"/>
      <c r="E11" s="32"/>
      <c r="F11" s="31"/>
      <c r="G11" s="32"/>
      <c r="H11" s="32"/>
      <c r="I11" s="32"/>
      <c r="J11" s="32"/>
      <c r="K11" s="31"/>
      <c r="L11" s="32"/>
      <c r="M11" s="32"/>
      <c r="N11" s="32"/>
      <c r="O11" s="32"/>
      <c r="P11" s="32"/>
      <c r="Q11" s="32"/>
      <c r="R11" s="32"/>
      <c r="S11" s="32"/>
      <c r="T11" s="32"/>
      <c r="U11" s="32"/>
      <c r="V11" s="32"/>
      <c r="W11" s="32"/>
      <c r="X11" s="32"/>
      <c r="Y11" s="32"/>
      <c r="Z11" s="32"/>
    </row>
    <row r="12" spans="1:26">
      <c r="A12" s="33" t="s">
        <v>131</v>
      </c>
      <c r="B12" s="34">
        <f>COUNTA($B$1:B11)</f>
        <v>9</v>
      </c>
      <c r="C12" s="41" t="s">
        <v>136</v>
      </c>
      <c r="D12" s="41"/>
      <c r="E12" s="41"/>
      <c r="F12" s="42"/>
      <c r="G12" s="35" t="s">
        <v>133</v>
      </c>
      <c r="H12" s="41"/>
      <c r="I12" s="41"/>
      <c r="J12" s="41"/>
      <c r="K12" s="42"/>
      <c r="L12" s="43" t="s">
        <v>137</v>
      </c>
      <c r="M12" s="44" t="s">
        <v>138</v>
      </c>
      <c r="N12" s="41"/>
      <c r="O12" s="41"/>
      <c r="P12" s="41"/>
      <c r="Q12" s="42"/>
      <c r="R12" s="41"/>
      <c r="S12" s="41"/>
      <c r="T12" s="41"/>
      <c r="U12" s="41"/>
      <c r="V12" s="41"/>
      <c r="W12" s="41" t="s">
        <v>139</v>
      </c>
      <c r="X12" s="41"/>
      <c r="Y12" s="41"/>
      <c r="Z12" s="41"/>
    </row>
    <row r="13" spans="1:26">
      <c r="A13" s="45" t="s">
        <v>131</v>
      </c>
      <c r="B13" s="34">
        <f>COUNTA($B$1:B12)</f>
        <v>10</v>
      </c>
      <c r="C13" s="46" t="s">
        <v>140</v>
      </c>
      <c r="D13" s="46"/>
      <c r="E13" s="46"/>
      <c r="F13" s="47"/>
      <c r="G13" s="46" t="s">
        <v>133</v>
      </c>
      <c r="H13" s="46"/>
      <c r="I13" s="46" t="s">
        <v>55</v>
      </c>
      <c r="J13" s="46" t="s">
        <v>141</v>
      </c>
      <c r="K13" s="47"/>
      <c r="L13" s="46" t="s">
        <v>142</v>
      </c>
      <c r="M13" s="48"/>
      <c r="N13" s="46"/>
      <c r="O13" s="46" t="s">
        <v>2</v>
      </c>
      <c r="P13" s="46"/>
      <c r="Q13" s="46"/>
      <c r="R13" s="49"/>
      <c r="S13" s="46"/>
      <c r="T13" s="46"/>
      <c r="U13" s="46"/>
      <c r="V13" s="46"/>
      <c r="W13" s="46"/>
      <c r="X13" s="46"/>
      <c r="Y13" s="46"/>
      <c r="Z13" s="46"/>
    </row>
    <row r="14" spans="1:26" s="19" customFormat="1" outlineLevel="1">
      <c r="A14" s="45" t="s">
        <v>131</v>
      </c>
      <c r="B14" s="34">
        <f>COUNTA($B$1:B13)</f>
        <v>11</v>
      </c>
      <c r="C14" s="46" t="s">
        <v>143</v>
      </c>
      <c r="D14" s="46"/>
      <c r="E14" s="46"/>
      <c r="F14" s="47"/>
      <c r="G14" s="46" t="s">
        <v>133</v>
      </c>
      <c r="H14" s="46"/>
      <c r="I14" s="46" t="s">
        <v>55</v>
      </c>
      <c r="J14" s="46" t="s">
        <v>141</v>
      </c>
      <c r="K14" s="47"/>
      <c r="L14" s="46" t="s">
        <v>98</v>
      </c>
      <c r="M14" s="48"/>
      <c r="N14" s="46" t="s">
        <v>99</v>
      </c>
      <c r="O14" s="46" t="s">
        <v>2</v>
      </c>
      <c r="P14" s="46"/>
      <c r="Q14" s="46"/>
      <c r="R14" s="49" t="s">
        <v>144</v>
      </c>
      <c r="S14" s="46"/>
      <c r="T14" s="46"/>
      <c r="U14" s="46"/>
      <c r="V14" s="46"/>
      <c r="W14" s="46"/>
      <c r="X14" s="46"/>
      <c r="Y14" s="46"/>
      <c r="Z14" s="46"/>
    </row>
    <row r="15" spans="1:26" s="19" customFormat="1" outlineLevel="1">
      <c r="A15" s="45" t="s">
        <v>131</v>
      </c>
      <c r="B15" s="34">
        <f>COUNTA($B$1:B14)</f>
        <v>12</v>
      </c>
      <c r="C15" s="46" t="s">
        <v>145</v>
      </c>
      <c r="D15" s="46"/>
      <c r="E15" s="46"/>
      <c r="F15" s="47"/>
      <c r="G15" s="46" t="s">
        <v>133</v>
      </c>
      <c r="H15" s="46"/>
      <c r="I15" s="46" t="s">
        <v>55</v>
      </c>
      <c r="J15" s="46" t="s">
        <v>146</v>
      </c>
      <c r="K15" s="47"/>
      <c r="L15" s="46" t="s">
        <v>147</v>
      </c>
      <c r="M15" s="48"/>
      <c r="N15" s="46"/>
      <c r="O15" s="46" t="s">
        <v>2</v>
      </c>
      <c r="P15" s="46"/>
      <c r="Q15" s="46"/>
      <c r="R15" s="48"/>
      <c r="S15" s="46"/>
      <c r="T15" s="46"/>
      <c r="U15" s="46"/>
      <c r="V15" s="46"/>
      <c r="W15" s="46"/>
      <c r="X15" s="46"/>
      <c r="Y15" s="46"/>
      <c r="Z15" s="46"/>
    </row>
    <row r="16" spans="1:26" s="19" customFormat="1" outlineLevel="1">
      <c r="A16" s="33" t="s">
        <v>131</v>
      </c>
      <c r="B16" s="34">
        <f>COUNTA($B$1:B15)</f>
        <v>13</v>
      </c>
      <c r="C16" s="35" t="s">
        <v>102</v>
      </c>
      <c r="D16" s="35"/>
      <c r="E16" s="35"/>
      <c r="F16" s="34"/>
      <c r="G16" s="35" t="s">
        <v>133</v>
      </c>
      <c r="H16" s="35"/>
      <c r="I16" s="35" t="s">
        <v>55</v>
      </c>
      <c r="J16" s="35" t="str">
        <f>"//label[contains(.,'"&amp;W12&amp;"')]"</f>
        <v>//label[contains(.,'tripType')]</v>
      </c>
      <c r="K16" s="34">
        <v>0</v>
      </c>
      <c r="L16" s="35" t="s">
        <v>147</v>
      </c>
      <c r="M16" s="35"/>
      <c r="N16" s="35"/>
      <c r="O16" s="35"/>
      <c r="P16" s="35"/>
      <c r="Q16" s="35"/>
      <c r="R16" s="35"/>
      <c r="S16" s="35"/>
      <c r="T16" s="35"/>
      <c r="U16" s="35"/>
      <c r="V16" s="35"/>
      <c r="W16" s="35"/>
      <c r="X16" s="35"/>
      <c r="Y16" s="35"/>
      <c r="Z16" s="35"/>
    </row>
    <row r="17" spans="1:26" s="19" customFormat="1" outlineLevel="1">
      <c r="A17" s="33" t="s">
        <v>131</v>
      </c>
      <c r="B17" s="34">
        <f>COUNTA($B$1:B16)</f>
        <v>14</v>
      </c>
      <c r="C17" s="35" t="s">
        <v>148</v>
      </c>
      <c r="D17" s="35"/>
      <c r="E17" s="35"/>
      <c r="F17" s="34"/>
      <c r="G17" s="35" t="s">
        <v>133</v>
      </c>
      <c r="H17" s="35"/>
      <c r="I17" s="35" t="s">
        <v>55</v>
      </c>
      <c r="J17" s="35" t="s">
        <v>149</v>
      </c>
      <c r="K17" s="34">
        <v>0</v>
      </c>
      <c r="L17" s="35" t="s">
        <v>34</v>
      </c>
      <c r="M17" s="35"/>
      <c r="N17" s="35"/>
      <c r="O17" s="35"/>
      <c r="P17" s="35"/>
      <c r="Q17" s="35"/>
      <c r="R17" s="35"/>
      <c r="S17" s="35"/>
      <c r="T17" s="35"/>
      <c r="U17" s="35"/>
      <c r="V17" s="35"/>
      <c r="W17" s="35"/>
      <c r="X17" s="35"/>
      <c r="Y17" s="35"/>
      <c r="Z17" s="35"/>
    </row>
    <row r="18" spans="1:26" s="19" customFormat="1" outlineLevel="1">
      <c r="A18" s="33" t="s">
        <v>131</v>
      </c>
      <c r="B18" s="34">
        <f>COUNTA($B$1:B17)</f>
        <v>15</v>
      </c>
      <c r="C18" s="35" t="s">
        <v>67</v>
      </c>
      <c r="D18" s="35"/>
      <c r="E18" s="35"/>
      <c r="F18" s="34"/>
      <c r="G18" s="35" t="s">
        <v>133</v>
      </c>
      <c r="H18" s="35"/>
      <c r="I18" s="35"/>
      <c r="J18" s="35"/>
      <c r="K18" s="34"/>
      <c r="L18" s="35" t="s">
        <v>67</v>
      </c>
      <c r="M18" s="36">
        <v>2</v>
      </c>
      <c r="N18" s="35"/>
      <c r="O18" s="35"/>
      <c r="P18" s="35"/>
      <c r="Q18" s="35"/>
      <c r="R18" s="35"/>
      <c r="S18" s="35"/>
      <c r="T18" s="35"/>
      <c r="U18" s="35"/>
      <c r="V18" s="35"/>
      <c r="W18" s="35"/>
      <c r="X18" s="35"/>
      <c r="Y18" s="35"/>
      <c r="Z18" s="35"/>
    </row>
    <row r="19" spans="1:26" s="19" customFormat="1" outlineLevel="1">
      <c r="A19" s="33" t="s">
        <v>131</v>
      </c>
      <c r="B19" s="34">
        <f>COUNTA($B$1:B18)</f>
        <v>16</v>
      </c>
      <c r="C19" s="35" t="s">
        <v>150</v>
      </c>
      <c r="D19" s="35"/>
      <c r="E19" s="35"/>
      <c r="F19" s="34"/>
      <c r="G19" s="35" t="s">
        <v>133</v>
      </c>
      <c r="H19" s="35"/>
      <c r="I19" s="35" t="s">
        <v>55</v>
      </c>
      <c r="J19" s="35" t="s">
        <v>149</v>
      </c>
      <c r="K19" s="34">
        <v>0</v>
      </c>
      <c r="L19" s="35" t="s">
        <v>151</v>
      </c>
      <c r="M19" s="50" t="s">
        <v>152</v>
      </c>
      <c r="N19" s="35"/>
      <c r="O19" s="35"/>
      <c r="P19" s="35"/>
      <c r="Q19" s="35"/>
      <c r="R19" s="35"/>
      <c r="S19" s="35"/>
      <c r="T19" s="35"/>
      <c r="U19" s="35"/>
      <c r="V19" s="35"/>
      <c r="W19" s="35"/>
      <c r="X19" s="35"/>
      <c r="Y19" s="35"/>
      <c r="Z19" s="35"/>
    </row>
    <row r="20" spans="1:26" s="19" customFormat="1" outlineLevel="1">
      <c r="A20" s="33" t="s">
        <v>131</v>
      </c>
      <c r="B20" s="34">
        <f>COUNTA($B$1:B19)</f>
        <v>17</v>
      </c>
      <c r="C20" s="35" t="s">
        <v>67</v>
      </c>
      <c r="D20" s="35"/>
      <c r="E20" s="35"/>
      <c r="F20" s="34"/>
      <c r="G20" s="35" t="s">
        <v>133</v>
      </c>
      <c r="H20" s="35"/>
      <c r="I20" s="35"/>
      <c r="J20" s="35"/>
      <c r="K20" s="34"/>
      <c r="L20" s="35" t="s">
        <v>67</v>
      </c>
      <c r="M20" s="36">
        <v>2</v>
      </c>
      <c r="N20" s="35"/>
      <c r="O20" s="35"/>
      <c r="P20" s="35"/>
      <c r="Q20" s="35"/>
      <c r="R20" s="35"/>
      <c r="S20" s="35"/>
      <c r="T20" s="35"/>
      <c r="U20" s="35"/>
      <c r="V20" s="35"/>
      <c r="W20" s="35"/>
      <c r="X20" s="35"/>
      <c r="Y20" s="35"/>
      <c r="Z20" s="35"/>
    </row>
    <row r="21" spans="1:26" s="19" customFormat="1" outlineLevel="1">
      <c r="A21" s="33" t="s">
        <v>131</v>
      </c>
      <c r="B21" s="34">
        <f>COUNTA($B$1:B20)</f>
        <v>18</v>
      </c>
      <c r="C21" s="35" t="s">
        <v>148</v>
      </c>
      <c r="D21" s="35"/>
      <c r="E21" s="35"/>
      <c r="F21" s="42"/>
      <c r="G21" s="35" t="s">
        <v>133</v>
      </c>
      <c r="H21" s="35"/>
      <c r="I21" s="35" t="s">
        <v>55</v>
      </c>
      <c r="J21" s="35" t="str">
        <f>"//a[contains(.,'"&amp;M19&amp;"')]"</f>
        <v>//a[contains(.,'Destination')]</v>
      </c>
      <c r="K21" s="34">
        <v>0</v>
      </c>
      <c r="L21" s="35" t="s">
        <v>147</v>
      </c>
      <c r="M21" s="35"/>
      <c r="N21" s="35"/>
      <c r="O21" s="35"/>
      <c r="P21" s="35"/>
      <c r="Q21" s="35"/>
      <c r="R21" s="35"/>
      <c r="S21" s="35"/>
      <c r="T21" s="35"/>
      <c r="U21" s="35"/>
      <c r="V21" s="35"/>
      <c r="W21" s="35"/>
      <c r="X21" s="35"/>
      <c r="Y21" s="35"/>
      <c r="Z21" s="35"/>
    </row>
    <row r="22" spans="1:26" s="19" customFormat="1" outlineLevel="1">
      <c r="A22" s="33" t="s">
        <v>131</v>
      </c>
      <c r="B22" s="34">
        <f>COUNTA($B$1:B21)</f>
        <v>19</v>
      </c>
      <c r="C22" s="35" t="s">
        <v>153</v>
      </c>
      <c r="D22" s="51"/>
      <c r="E22" s="52" t="s">
        <v>154</v>
      </c>
      <c r="F22" s="38"/>
      <c r="G22" s="35" t="s">
        <v>133</v>
      </c>
      <c r="H22" s="35"/>
      <c r="I22" s="35" t="s">
        <v>55</v>
      </c>
      <c r="J22" s="35" t="s">
        <v>81</v>
      </c>
      <c r="K22" s="34">
        <v>0</v>
      </c>
      <c r="L22" s="35" t="s">
        <v>0</v>
      </c>
      <c r="M22" s="50" t="s">
        <v>155</v>
      </c>
      <c r="N22" s="35"/>
      <c r="O22" s="35"/>
      <c r="P22" s="35"/>
      <c r="Q22" s="35"/>
      <c r="R22" s="35"/>
      <c r="S22" s="52"/>
      <c r="T22" s="35"/>
      <c r="U22" s="35"/>
      <c r="V22" s="35"/>
      <c r="W22" s="35"/>
      <c r="X22" s="52"/>
      <c r="Y22" s="52"/>
      <c r="Z22" s="52"/>
    </row>
    <row r="23" spans="1:26" s="19" customFormat="1" outlineLevel="1">
      <c r="A23" s="33" t="s">
        <v>131</v>
      </c>
      <c r="B23" s="34">
        <f>COUNTA($B$1:B22)</f>
        <v>20</v>
      </c>
      <c r="C23" s="35" t="s">
        <v>156</v>
      </c>
      <c r="D23" s="51"/>
      <c r="E23" s="52" t="s">
        <v>154</v>
      </c>
      <c r="F23" s="38"/>
      <c r="G23" s="35" t="s">
        <v>133</v>
      </c>
      <c r="H23" s="35"/>
      <c r="I23" s="35" t="s">
        <v>55</v>
      </c>
      <c r="J23" s="35" t="s">
        <v>82</v>
      </c>
      <c r="K23" s="34">
        <v>0</v>
      </c>
      <c r="L23" s="35" t="s">
        <v>0</v>
      </c>
      <c r="M23" s="50" t="s">
        <v>157</v>
      </c>
      <c r="N23" s="35"/>
      <c r="O23" s="35"/>
      <c r="P23" s="35"/>
      <c r="Q23" s="35"/>
      <c r="R23" s="35"/>
      <c r="S23" s="52"/>
      <c r="T23" s="35"/>
      <c r="U23" s="35"/>
      <c r="V23" s="35"/>
      <c r="W23" s="35"/>
      <c r="X23" s="52"/>
      <c r="Y23" s="52"/>
      <c r="Z23" s="52"/>
    </row>
    <row r="24" spans="1:26" s="19" customFormat="1" outlineLevel="1">
      <c r="A24" s="33" t="s">
        <v>131</v>
      </c>
      <c r="B24" s="34">
        <f>COUNTA($B$1:B23)</f>
        <v>21</v>
      </c>
      <c r="C24" s="35" t="s">
        <v>158</v>
      </c>
      <c r="D24" s="51"/>
      <c r="E24" s="52" t="s">
        <v>154</v>
      </c>
      <c r="F24" s="38"/>
      <c r="G24" s="35" t="s">
        <v>133</v>
      </c>
      <c r="H24" s="35"/>
      <c r="I24" s="35" t="s">
        <v>55</v>
      </c>
      <c r="J24" s="35" t="s">
        <v>159</v>
      </c>
      <c r="K24" s="34">
        <v>0</v>
      </c>
      <c r="L24" s="35" t="s">
        <v>0</v>
      </c>
      <c r="M24" s="50" t="s">
        <v>160</v>
      </c>
      <c r="N24" s="35"/>
      <c r="O24" s="35"/>
      <c r="P24" s="35"/>
      <c r="Q24" s="35"/>
      <c r="R24" s="35"/>
      <c r="S24" s="52"/>
      <c r="T24" s="35"/>
      <c r="U24" s="35"/>
      <c r="V24" s="35"/>
      <c r="W24" s="35"/>
      <c r="X24" s="52"/>
      <c r="Y24" s="52"/>
      <c r="Z24" s="52"/>
    </row>
    <row r="25" spans="1:26" s="19" customFormat="1" outlineLevel="1">
      <c r="A25" s="33" t="s">
        <v>131</v>
      </c>
      <c r="B25" s="34">
        <f>COUNTA($B$1:B24)</f>
        <v>22</v>
      </c>
      <c r="C25" s="35" t="s">
        <v>161</v>
      </c>
      <c r="D25" s="35"/>
      <c r="E25" s="35"/>
      <c r="F25" s="34"/>
      <c r="G25" s="35" t="s">
        <v>133</v>
      </c>
      <c r="H25" s="35"/>
      <c r="I25" s="35" t="s">
        <v>55</v>
      </c>
      <c r="J25" s="35" t="s">
        <v>162</v>
      </c>
      <c r="K25" s="34">
        <v>0</v>
      </c>
      <c r="L25" s="35" t="s">
        <v>34</v>
      </c>
      <c r="M25" s="35"/>
      <c r="N25" s="35"/>
      <c r="O25" s="35"/>
      <c r="P25" s="35"/>
      <c r="Q25" s="35"/>
      <c r="R25" s="35"/>
      <c r="S25" s="35"/>
      <c r="T25" s="35"/>
      <c r="U25" s="35"/>
      <c r="V25" s="35"/>
      <c r="W25" s="35"/>
      <c r="X25" s="35"/>
      <c r="Y25" s="35"/>
      <c r="Z25" s="35"/>
    </row>
    <row r="26" spans="1:26" s="19" customFormat="1" outlineLevel="1">
      <c r="A26" s="33" t="s">
        <v>131</v>
      </c>
      <c r="B26" s="34">
        <f>COUNTA($B$1:B25)</f>
        <v>23</v>
      </c>
      <c r="C26" s="35" t="s">
        <v>67</v>
      </c>
      <c r="D26" s="35"/>
      <c r="E26" s="35"/>
      <c r="F26" s="34"/>
      <c r="G26" s="35" t="s">
        <v>133</v>
      </c>
      <c r="H26" s="35"/>
      <c r="I26" s="35"/>
      <c r="J26" s="35"/>
      <c r="K26" s="34"/>
      <c r="L26" s="35" t="s">
        <v>67</v>
      </c>
      <c r="M26" s="36">
        <v>2</v>
      </c>
      <c r="N26" s="35"/>
      <c r="O26" s="35"/>
      <c r="P26" s="35"/>
      <c r="Q26" s="35"/>
      <c r="R26" s="35"/>
      <c r="S26" s="35"/>
      <c r="T26" s="35"/>
      <c r="U26" s="35"/>
      <c r="V26" s="35"/>
      <c r="W26" s="35"/>
      <c r="X26" s="35"/>
      <c r="Y26" s="35"/>
      <c r="Z26" s="35"/>
    </row>
    <row r="27" spans="1:26" s="19" customFormat="1" outlineLevel="1">
      <c r="A27" s="33" t="s">
        <v>131</v>
      </c>
      <c r="B27" s="34">
        <f>COUNTA($B$1:B26)</f>
        <v>24</v>
      </c>
      <c r="C27" s="35" t="s">
        <v>163</v>
      </c>
      <c r="D27" s="35"/>
      <c r="E27" s="35"/>
      <c r="F27" s="34"/>
      <c r="G27" s="35" t="s">
        <v>133</v>
      </c>
      <c r="H27" s="35"/>
      <c r="I27" s="35" t="s">
        <v>55</v>
      </c>
      <c r="J27" s="35" t="s">
        <v>162</v>
      </c>
      <c r="K27" s="34">
        <v>0</v>
      </c>
      <c r="L27" s="35" t="s">
        <v>151</v>
      </c>
      <c r="M27" s="50" t="s">
        <v>164</v>
      </c>
      <c r="N27" s="35"/>
      <c r="O27" s="35"/>
      <c r="P27" s="35"/>
      <c r="Q27" s="35"/>
      <c r="R27" s="35"/>
      <c r="S27" s="35"/>
      <c r="T27" s="35"/>
      <c r="U27" s="35"/>
      <c r="V27" s="35"/>
      <c r="W27" s="35"/>
      <c r="X27" s="35"/>
      <c r="Y27" s="35"/>
      <c r="Z27" s="35"/>
    </row>
    <row r="28" spans="1:26" s="19" customFormat="1" outlineLevel="1">
      <c r="A28" s="33" t="s">
        <v>131</v>
      </c>
      <c r="B28" s="34">
        <f>COUNTA($B$1:B27)</f>
        <v>25</v>
      </c>
      <c r="C28" s="35" t="s">
        <v>67</v>
      </c>
      <c r="D28" s="35"/>
      <c r="E28" s="35"/>
      <c r="F28" s="34"/>
      <c r="G28" s="35" t="s">
        <v>133</v>
      </c>
      <c r="H28" s="35"/>
      <c r="I28" s="35"/>
      <c r="J28" s="35"/>
      <c r="K28" s="34"/>
      <c r="L28" s="35" t="s">
        <v>67</v>
      </c>
      <c r="M28" s="36">
        <v>2</v>
      </c>
      <c r="N28" s="35"/>
      <c r="O28" s="35"/>
      <c r="P28" s="35"/>
      <c r="Q28" s="35"/>
      <c r="R28" s="35"/>
      <c r="S28" s="35"/>
      <c r="T28" s="35"/>
      <c r="U28" s="35"/>
      <c r="V28" s="35"/>
      <c r="W28" s="35"/>
      <c r="X28" s="35"/>
      <c r="Y28" s="35"/>
      <c r="Z28" s="35"/>
    </row>
    <row r="29" spans="1:26" s="19" customFormat="1" outlineLevel="1">
      <c r="A29" s="33" t="s">
        <v>131</v>
      </c>
      <c r="B29" s="34">
        <f>COUNTA($B$1:B28)</f>
        <v>26</v>
      </c>
      <c r="C29" s="35" t="s">
        <v>148</v>
      </c>
      <c r="D29" s="35"/>
      <c r="E29" s="35"/>
      <c r="F29" s="42"/>
      <c r="G29" s="35" t="s">
        <v>133</v>
      </c>
      <c r="H29" s="35"/>
      <c r="I29" s="35" t="s">
        <v>55</v>
      </c>
      <c r="J29" s="35" t="str">
        <f>"//a[contains(.,'"&amp;M27&amp;"')]"</f>
        <v>//a[contains(.,'Residence')]</v>
      </c>
      <c r="K29" s="34">
        <v>0</v>
      </c>
      <c r="L29" s="35" t="s">
        <v>147</v>
      </c>
      <c r="M29" s="35"/>
      <c r="N29" s="35"/>
      <c r="O29" s="35"/>
      <c r="P29" s="35"/>
      <c r="Q29" s="35"/>
      <c r="R29" s="35"/>
      <c r="S29" s="35"/>
      <c r="T29" s="35"/>
      <c r="U29" s="35"/>
      <c r="V29" s="35"/>
      <c r="W29" s="35"/>
      <c r="X29" s="35"/>
      <c r="Y29" s="35"/>
      <c r="Z29" s="35"/>
    </row>
    <row r="30" spans="1:26" s="19" customFormat="1" outlineLevel="1">
      <c r="A30" s="53" t="str">
        <f>IF($W$12="Comprehensive Coverage","Y","N")</f>
        <v>N</v>
      </c>
      <c r="B30" s="34">
        <f>COUNTA($B$1:B29)</f>
        <v>27</v>
      </c>
      <c r="C30" s="35" t="s">
        <v>165</v>
      </c>
      <c r="D30" s="51"/>
      <c r="E30" s="52" t="s">
        <v>154</v>
      </c>
      <c r="F30" s="38"/>
      <c r="G30" s="35" t="s">
        <v>133</v>
      </c>
      <c r="H30" s="35"/>
      <c r="I30" s="35" t="s">
        <v>55</v>
      </c>
      <c r="J30" s="35" t="s">
        <v>166</v>
      </c>
      <c r="K30" s="34">
        <v>0</v>
      </c>
      <c r="L30" s="35" t="s">
        <v>0</v>
      </c>
      <c r="M30" s="50" t="s">
        <v>167</v>
      </c>
      <c r="N30" s="35"/>
      <c r="O30" s="35"/>
      <c r="P30" s="35"/>
      <c r="Q30" s="35"/>
      <c r="R30" s="35"/>
      <c r="S30" s="52"/>
      <c r="T30" s="35"/>
      <c r="U30" s="35"/>
      <c r="V30" s="35"/>
      <c r="W30" s="35"/>
      <c r="X30" s="52"/>
      <c r="Y30" s="52"/>
      <c r="Z30" s="52"/>
    </row>
    <row r="31" spans="1:26" s="19" customFormat="1" outlineLevel="1">
      <c r="A31" s="53" t="str">
        <f>A30</f>
        <v>N</v>
      </c>
      <c r="B31" s="34">
        <f>COUNTA($B$1:B30)</f>
        <v>28</v>
      </c>
      <c r="C31" s="35" t="s">
        <v>168</v>
      </c>
      <c r="D31" s="51"/>
      <c r="E31" s="52" t="s">
        <v>154</v>
      </c>
      <c r="F31" s="38"/>
      <c r="G31" s="35" t="s">
        <v>133</v>
      </c>
      <c r="H31" s="35"/>
      <c r="I31" s="35" t="s">
        <v>55</v>
      </c>
      <c r="J31" s="35" t="s">
        <v>169</v>
      </c>
      <c r="K31" s="34">
        <v>0</v>
      </c>
      <c r="L31" s="35" t="s">
        <v>0</v>
      </c>
      <c r="M31" s="50" t="s">
        <v>170</v>
      </c>
      <c r="N31" s="35"/>
      <c r="O31" s="35"/>
      <c r="P31" s="35"/>
      <c r="Q31" s="35"/>
      <c r="R31" s="35"/>
      <c r="S31" s="52"/>
      <c r="T31" s="35"/>
      <c r="U31" s="35"/>
      <c r="V31" s="35"/>
      <c r="W31" s="35"/>
      <c r="X31" s="52"/>
      <c r="Y31" s="52"/>
      <c r="Z31" s="52"/>
    </row>
    <row r="32" spans="1:26" s="17" customFormat="1">
      <c r="A32" s="53" t="s">
        <v>21</v>
      </c>
      <c r="B32" s="34">
        <f>COUNTA($B$1:B31)</f>
        <v>29</v>
      </c>
      <c r="C32" s="35" t="s">
        <v>171</v>
      </c>
      <c r="D32" s="51"/>
      <c r="E32" s="52" t="s">
        <v>154</v>
      </c>
      <c r="F32" s="38"/>
      <c r="G32" s="35" t="s">
        <v>133</v>
      </c>
      <c r="H32" s="35"/>
      <c r="I32" s="35" t="s">
        <v>55</v>
      </c>
      <c r="J32" s="35" t="s">
        <v>108</v>
      </c>
      <c r="K32" s="34">
        <v>0</v>
      </c>
      <c r="L32" s="35" t="s">
        <v>147</v>
      </c>
      <c r="M32" s="35"/>
      <c r="N32" s="35"/>
      <c r="O32" s="35"/>
      <c r="P32" s="35"/>
      <c r="Q32" s="35"/>
      <c r="R32" s="35"/>
      <c r="S32" s="52"/>
      <c r="T32" s="35"/>
      <c r="U32" s="35"/>
      <c r="V32" s="35"/>
      <c r="W32" s="35"/>
      <c r="X32" s="52"/>
      <c r="Y32" s="52"/>
      <c r="Z32" s="52"/>
    </row>
    <row r="33" spans="1:26">
      <c r="A33" s="53" t="s">
        <v>21</v>
      </c>
      <c r="B33" s="34">
        <f>COUNTA($B$1:B32)</f>
        <v>30</v>
      </c>
      <c r="C33" s="35" t="s">
        <v>172</v>
      </c>
      <c r="D33" s="51"/>
      <c r="E33" s="52" t="s">
        <v>154</v>
      </c>
      <c r="F33" s="38"/>
      <c r="G33" s="35" t="s">
        <v>133</v>
      </c>
      <c r="H33" s="35"/>
      <c r="I33" s="35" t="s">
        <v>55</v>
      </c>
      <c r="J33" s="35" t="s">
        <v>173</v>
      </c>
      <c r="K33" s="34">
        <v>0</v>
      </c>
      <c r="L33" s="35" t="s">
        <v>0</v>
      </c>
      <c r="M33" s="50" t="s">
        <v>174</v>
      </c>
      <c r="N33" s="35"/>
      <c r="O33" s="35"/>
      <c r="P33" s="35"/>
      <c r="Q33" s="35"/>
      <c r="R33" s="35"/>
      <c r="S33" s="52"/>
      <c r="T33" s="35"/>
      <c r="U33" s="35"/>
      <c r="V33" s="35"/>
      <c r="W33" s="35"/>
      <c r="X33" s="52"/>
      <c r="Y33" s="52"/>
      <c r="Z33" s="52"/>
    </row>
    <row r="34" spans="1:26" s="17" customFormat="1">
      <c r="A34" s="53" t="s">
        <v>21</v>
      </c>
      <c r="B34" s="34">
        <f>COUNTA($B$1:B33)</f>
        <v>31</v>
      </c>
      <c r="C34" s="35" t="s">
        <v>175</v>
      </c>
      <c r="D34" s="51"/>
      <c r="E34" s="52" t="s">
        <v>154</v>
      </c>
      <c r="F34" s="38"/>
      <c r="G34" s="35" t="s">
        <v>133</v>
      </c>
      <c r="H34" s="35"/>
      <c r="I34" s="35" t="s">
        <v>55</v>
      </c>
      <c r="J34" s="35" t="s">
        <v>176</v>
      </c>
      <c r="K34" s="34">
        <v>0</v>
      </c>
      <c r="L34" s="35" t="s">
        <v>0</v>
      </c>
      <c r="M34" s="50" t="s">
        <v>177</v>
      </c>
      <c r="N34" s="35"/>
      <c r="O34" s="35"/>
      <c r="P34" s="35"/>
      <c r="Q34" s="35"/>
      <c r="R34" s="35"/>
      <c r="S34" s="52"/>
      <c r="T34" s="35"/>
      <c r="U34" s="35"/>
      <c r="V34" s="35"/>
      <c r="W34" s="35"/>
      <c r="X34" s="52"/>
      <c r="Y34" s="52"/>
      <c r="Z34" s="52"/>
    </row>
    <row r="35" spans="1:26">
      <c r="A35" s="53" t="s">
        <v>21</v>
      </c>
      <c r="B35" s="34">
        <f>COUNTA($B$1:B34)</f>
        <v>32</v>
      </c>
      <c r="C35" s="35" t="s">
        <v>171</v>
      </c>
      <c r="D35" s="51"/>
      <c r="E35" s="52" t="s">
        <v>154</v>
      </c>
      <c r="F35" s="38"/>
      <c r="G35" s="35" t="s">
        <v>133</v>
      </c>
      <c r="H35" s="35"/>
      <c r="I35" s="35" t="s">
        <v>55</v>
      </c>
      <c r="J35" s="35" t="s">
        <v>109</v>
      </c>
      <c r="K35" s="34">
        <v>0</v>
      </c>
      <c r="L35" s="35" t="s">
        <v>147</v>
      </c>
      <c r="M35" s="35"/>
      <c r="N35" s="35"/>
      <c r="O35" s="35"/>
      <c r="P35" s="35"/>
      <c r="Q35" s="35"/>
      <c r="R35" s="35"/>
      <c r="S35" s="52"/>
      <c r="T35" s="35"/>
      <c r="U35" s="35"/>
      <c r="V35" s="35"/>
      <c r="W35" s="35"/>
      <c r="X35" s="52"/>
      <c r="Y35" s="52"/>
      <c r="Z35" s="52"/>
    </row>
    <row r="36" spans="1:26">
      <c r="A36" s="53" t="s">
        <v>21</v>
      </c>
      <c r="B36" s="34">
        <f>COUNTA($B$1:B35)</f>
        <v>33</v>
      </c>
      <c r="C36" s="35" t="s">
        <v>178</v>
      </c>
      <c r="D36" s="51"/>
      <c r="E36" s="52" t="s">
        <v>154</v>
      </c>
      <c r="F36" s="38"/>
      <c r="G36" s="35" t="s">
        <v>133</v>
      </c>
      <c r="H36" s="35"/>
      <c r="I36" s="35" t="s">
        <v>55</v>
      </c>
      <c r="J36" s="35" t="s">
        <v>179</v>
      </c>
      <c r="K36" s="34">
        <v>0</v>
      </c>
      <c r="L36" s="35" t="s">
        <v>0</v>
      </c>
      <c r="M36" s="50" t="s">
        <v>180</v>
      </c>
      <c r="N36" s="35"/>
      <c r="O36" s="35"/>
      <c r="P36" s="35"/>
      <c r="Q36" s="35"/>
      <c r="R36" s="35"/>
      <c r="S36" s="52"/>
      <c r="T36" s="35"/>
      <c r="U36" s="35"/>
      <c r="V36" s="35"/>
      <c r="W36" s="35"/>
      <c r="X36" s="52"/>
      <c r="Y36" s="52"/>
      <c r="Z36" s="52"/>
    </row>
    <row r="37" spans="1:26">
      <c r="A37" s="53" t="s">
        <v>21</v>
      </c>
      <c r="B37" s="34">
        <f>COUNTA($B$1:B36)</f>
        <v>34</v>
      </c>
      <c r="C37" s="35" t="s">
        <v>181</v>
      </c>
      <c r="D37" s="51"/>
      <c r="E37" s="52" t="s">
        <v>154</v>
      </c>
      <c r="F37" s="38"/>
      <c r="G37" s="35" t="s">
        <v>133</v>
      </c>
      <c r="H37" s="35"/>
      <c r="I37" s="35" t="s">
        <v>55</v>
      </c>
      <c r="J37" s="35" t="s">
        <v>182</v>
      </c>
      <c r="K37" s="34">
        <v>0</v>
      </c>
      <c r="L37" s="35" t="s">
        <v>0</v>
      </c>
      <c r="M37" s="50" t="s">
        <v>183</v>
      </c>
      <c r="N37" s="35"/>
      <c r="O37" s="35"/>
      <c r="P37" s="35"/>
      <c r="Q37" s="35"/>
      <c r="R37" s="35"/>
      <c r="S37" s="52"/>
      <c r="T37" s="35"/>
      <c r="U37" s="35"/>
      <c r="V37" s="35"/>
      <c r="W37" s="35"/>
      <c r="X37" s="52"/>
      <c r="Y37" s="52"/>
      <c r="Z37" s="52"/>
    </row>
    <row r="38" spans="1:26" ht="12.75" customHeight="1">
      <c r="A38" s="53" t="s">
        <v>21</v>
      </c>
      <c r="B38" s="34">
        <f>COUNTA($B$1:B37)</f>
        <v>35</v>
      </c>
      <c r="C38" s="35" t="s">
        <v>171</v>
      </c>
      <c r="D38" s="51"/>
      <c r="E38" s="52" t="s">
        <v>154</v>
      </c>
      <c r="F38" s="38"/>
      <c r="G38" s="35" t="s">
        <v>133</v>
      </c>
      <c r="H38" s="35"/>
      <c r="I38" s="35" t="s">
        <v>55</v>
      </c>
      <c r="J38" s="35" t="s">
        <v>110</v>
      </c>
      <c r="K38" s="34">
        <v>0</v>
      </c>
      <c r="L38" s="35" t="s">
        <v>147</v>
      </c>
      <c r="M38" s="35"/>
      <c r="N38" s="35"/>
      <c r="O38" s="35"/>
      <c r="P38" s="35"/>
      <c r="Q38" s="35"/>
      <c r="R38" s="35"/>
      <c r="S38" s="52"/>
      <c r="T38" s="35"/>
      <c r="U38" s="35"/>
      <c r="V38" s="35"/>
      <c r="W38" s="35"/>
      <c r="X38" s="52"/>
      <c r="Y38" s="52"/>
      <c r="Z38" s="52"/>
    </row>
    <row r="39" spans="1:26" s="17" customFormat="1">
      <c r="A39" s="53" t="s">
        <v>21</v>
      </c>
      <c r="B39" s="34">
        <f>COUNTA($B$1:B38)</f>
        <v>36</v>
      </c>
      <c r="C39" s="35" t="s">
        <v>184</v>
      </c>
      <c r="D39" s="51"/>
      <c r="E39" s="52" t="s">
        <v>154</v>
      </c>
      <c r="F39" s="38"/>
      <c r="G39" s="35" t="s">
        <v>133</v>
      </c>
      <c r="H39" s="35"/>
      <c r="I39" s="35" t="s">
        <v>55</v>
      </c>
      <c r="J39" s="35" t="s">
        <v>185</v>
      </c>
      <c r="K39" s="34">
        <v>0</v>
      </c>
      <c r="L39" s="35" t="s">
        <v>0</v>
      </c>
      <c r="M39" s="50" t="s">
        <v>186</v>
      </c>
      <c r="N39" s="35"/>
      <c r="O39" s="35"/>
      <c r="P39" s="35"/>
      <c r="Q39" s="35"/>
      <c r="R39" s="35"/>
      <c r="S39" s="52"/>
      <c r="T39" s="35"/>
      <c r="U39" s="35"/>
      <c r="V39" s="35"/>
      <c r="W39" s="35"/>
      <c r="X39" s="52"/>
      <c r="Y39" s="52"/>
      <c r="Z39" s="52"/>
    </row>
    <row r="40" spans="1:26" s="19" customFormat="1" outlineLevel="1">
      <c r="A40" s="53" t="s">
        <v>21</v>
      </c>
      <c r="B40" s="34">
        <f>COUNTA($B$1:B39)</f>
        <v>37</v>
      </c>
      <c r="C40" s="35" t="s">
        <v>187</v>
      </c>
      <c r="D40" s="51"/>
      <c r="E40" s="52" t="s">
        <v>154</v>
      </c>
      <c r="F40" s="38"/>
      <c r="G40" s="35" t="s">
        <v>133</v>
      </c>
      <c r="H40" s="35"/>
      <c r="I40" s="35" t="s">
        <v>55</v>
      </c>
      <c r="J40" s="35" t="s">
        <v>188</v>
      </c>
      <c r="K40" s="34">
        <v>0</v>
      </c>
      <c r="L40" s="35" t="s">
        <v>0</v>
      </c>
      <c r="M40" s="50" t="s">
        <v>189</v>
      </c>
      <c r="N40" s="35"/>
      <c r="O40" s="35"/>
      <c r="P40" s="35"/>
      <c r="Q40" s="35"/>
      <c r="R40" s="35"/>
      <c r="S40" s="52"/>
      <c r="T40" s="35"/>
      <c r="U40" s="35"/>
      <c r="V40" s="35"/>
      <c r="W40" s="35"/>
      <c r="X40" s="52"/>
      <c r="Y40" s="52"/>
      <c r="Z40" s="52"/>
    </row>
    <row r="41" spans="1:26" s="17" customFormat="1">
      <c r="A41" s="33" t="s">
        <v>131</v>
      </c>
      <c r="B41" s="34">
        <f>COUNTA($B$1:B40)</f>
        <v>38</v>
      </c>
      <c r="C41" s="35" t="s">
        <v>190</v>
      </c>
      <c r="D41" s="35"/>
      <c r="E41" s="35"/>
      <c r="F41" s="34"/>
      <c r="G41" s="35" t="s">
        <v>133</v>
      </c>
      <c r="H41" s="35"/>
      <c r="I41" s="35" t="s">
        <v>55</v>
      </c>
      <c r="J41" s="35" t="s">
        <v>87</v>
      </c>
      <c r="K41" s="34">
        <v>0</v>
      </c>
      <c r="L41" s="35" t="s">
        <v>147</v>
      </c>
      <c r="M41" s="36"/>
      <c r="N41" s="35"/>
      <c r="O41" s="35"/>
      <c r="P41" s="35"/>
      <c r="Q41" s="35"/>
      <c r="R41" s="35"/>
      <c r="S41" s="35"/>
      <c r="T41" s="35"/>
      <c r="U41" s="35"/>
      <c r="V41" s="35"/>
      <c r="W41" s="35"/>
      <c r="X41" s="35"/>
      <c r="Y41" s="35"/>
      <c r="Z41" s="35"/>
    </row>
    <row r="42" spans="1:26" s="17" customFormat="1">
      <c r="A42" s="33" t="s">
        <v>131</v>
      </c>
      <c r="B42" s="34">
        <f>COUNTA($B$1:B41)</f>
        <v>39</v>
      </c>
      <c r="C42" s="35" t="s">
        <v>67</v>
      </c>
      <c r="D42" s="35"/>
      <c r="E42" s="35"/>
      <c r="F42" s="34"/>
      <c r="G42" s="35" t="s">
        <v>133</v>
      </c>
      <c r="H42" s="35"/>
      <c r="I42" s="35"/>
      <c r="J42" s="35"/>
      <c r="K42" s="34"/>
      <c r="L42" s="35" t="s">
        <v>67</v>
      </c>
      <c r="M42" s="36">
        <v>10</v>
      </c>
      <c r="N42" s="35"/>
      <c r="O42" s="35"/>
      <c r="P42" s="35"/>
      <c r="Q42" s="35"/>
      <c r="R42" s="36"/>
      <c r="S42" s="35"/>
      <c r="T42" s="35"/>
      <c r="U42" s="35"/>
      <c r="V42" s="35"/>
      <c r="W42" s="35"/>
      <c r="X42" s="35"/>
      <c r="Y42" s="35"/>
      <c r="Z42" s="35"/>
    </row>
    <row r="43" spans="1:26" s="19" customFormat="1" outlineLevel="1">
      <c r="A43" s="30" t="s">
        <v>191</v>
      </c>
      <c r="B43" s="31"/>
      <c r="C43" s="31"/>
      <c r="D43" s="32"/>
      <c r="E43" s="32"/>
      <c r="F43" s="31"/>
      <c r="G43" s="32"/>
      <c r="H43" s="32"/>
      <c r="I43" s="32"/>
      <c r="J43" s="32"/>
      <c r="K43" s="31"/>
      <c r="L43" s="32"/>
      <c r="M43" s="32"/>
      <c r="N43" s="32"/>
      <c r="O43" s="32"/>
      <c r="P43" s="32"/>
      <c r="Q43" s="32"/>
      <c r="R43" s="32"/>
      <c r="S43" s="32"/>
      <c r="T43" s="32"/>
      <c r="U43" s="32"/>
      <c r="V43" s="32"/>
      <c r="W43" s="32"/>
      <c r="X43" s="32"/>
      <c r="Y43" s="32"/>
      <c r="Z43" s="32"/>
    </row>
    <row r="44" spans="1:26" s="17" customFormat="1">
      <c r="A44" s="45" t="s">
        <v>131</v>
      </c>
      <c r="B44" s="34">
        <f>COUNTA($B$1:B43)</f>
        <v>40</v>
      </c>
      <c r="C44" s="46" t="s">
        <v>140</v>
      </c>
      <c r="D44" s="46"/>
      <c r="E44" s="46"/>
      <c r="F44" s="47"/>
      <c r="G44" s="46" t="s">
        <v>133</v>
      </c>
      <c r="H44" s="46"/>
      <c r="I44" s="46" t="s">
        <v>55</v>
      </c>
      <c r="J44" s="46" t="s">
        <v>141</v>
      </c>
      <c r="K44" s="47"/>
      <c r="L44" s="46" t="s">
        <v>142</v>
      </c>
      <c r="M44" s="48"/>
      <c r="N44" s="46"/>
      <c r="O44" s="46" t="s">
        <v>2</v>
      </c>
      <c r="P44" s="46"/>
      <c r="Q44" s="46"/>
      <c r="R44" s="49"/>
      <c r="S44" s="46"/>
      <c r="T44" s="46"/>
      <c r="U44" s="46"/>
      <c r="V44" s="46"/>
      <c r="W44" s="46"/>
      <c r="X44" s="46"/>
      <c r="Y44" s="46"/>
      <c r="Z44" s="46"/>
    </row>
    <row r="45" spans="1:26" s="19" customFormat="1" outlineLevel="1">
      <c r="A45" s="45" t="s">
        <v>131</v>
      </c>
      <c r="B45" s="34">
        <f>COUNTA($B$1:B44)</f>
        <v>41</v>
      </c>
      <c r="C45" s="46" t="s">
        <v>143</v>
      </c>
      <c r="D45" s="46"/>
      <c r="E45" s="46"/>
      <c r="F45" s="47"/>
      <c r="G45" s="46" t="s">
        <v>133</v>
      </c>
      <c r="H45" s="46"/>
      <c r="I45" s="46" t="s">
        <v>55</v>
      </c>
      <c r="J45" s="46" t="s">
        <v>141</v>
      </c>
      <c r="K45" s="47"/>
      <c r="L45" s="46" t="s">
        <v>98</v>
      </c>
      <c r="M45" s="48"/>
      <c r="N45" s="46" t="s">
        <v>99</v>
      </c>
      <c r="O45" s="46" t="s">
        <v>2</v>
      </c>
      <c r="P45" s="46"/>
      <c r="Q45" s="46"/>
      <c r="R45" s="49" t="s">
        <v>144</v>
      </c>
      <c r="S45" s="46"/>
      <c r="T45" s="46"/>
      <c r="U45" s="46"/>
      <c r="V45" s="46"/>
      <c r="W45" s="46"/>
      <c r="X45" s="46"/>
      <c r="Y45" s="46"/>
      <c r="Z45" s="46"/>
    </row>
    <row r="46" spans="1:26" s="17" customFormat="1">
      <c r="A46" s="45" t="s">
        <v>131</v>
      </c>
      <c r="B46" s="34">
        <f>COUNTA($B$1:B45)</f>
        <v>42</v>
      </c>
      <c r="C46" s="46" t="s">
        <v>145</v>
      </c>
      <c r="D46" s="46"/>
      <c r="E46" s="46"/>
      <c r="F46" s="47"/>
      <c r="G46" s="46" t="s">
        <v>133</v>
      </c>
      <c r="H46" s="46"/>
      <c r="I46" s="46" t="s">
        <v>55</v>
      </c>
      <c r="J46" s="46" t="s">
        <v>146</v>
      </c>
      <c r="K46" s="47"/>
      <c r="L46" s="46" t="s">
        <v>147</v>
      </c>
      <c r="M46" s="48"/>
      <c r="N46" s="46"/>
      <c r="O46" s="46" t="s">
        <v>2</v>
      </c>
      <c r="P46" s="46"/>
      <c r="Q46" s="46"/>
      <c r="R46" s="48"/>
      <c r="S46" s="46"/>
      <c r="T46" s="46"/>
      <c r="U46" s="46"/>
      <c r="V46" s="46"/>
      <c r="W46" s="46"/>
      <c r="X46" s="46"/>
      <c r="Y46" s="46"/>
      <c r="Z46" s="46"/>
    </row>
    <row r="47" spans="1:26" s="19" customFormat="1" outlineLevel="1">
      <c r="A47" s="33" t="s">
        <v>131</v>
      </c>
      <c r="B47" s="34">
        <f>COUNTA($B$1:B46)</f>
        <v>43</v>
      </c>
      <c r="C47" s="35" t="s">
        <v>192</v>
      </c>
      <c r="D47" s="35"/>
      <c r="E47" s="35"/>
      <c r="F47" s="34"/>
      <c r="G47" s="35" t="s">
        <v>133</v>
      </c>
      <c r="H47" s="35"/>
      <c r="I47" s="35" t="s">
        <v>55</v>
      </c>
      <c r="J47" s="35" t="s">
        <v>193</v>
      </c>
      <c r="K47" s="34">
        <v>0</v>
      </c>
      <c r="L47" s="35" t="s">
        <v>147</v>
      </c>
      <c r="M47" s="36"/>
      <c r="N47" s="35"/>
      <c r="O47" s="35"/>
      <c r="P47" s="35"/>
      <c r="Q47" s="35"/>
      <c r="R47" s="35"/>
      <c r="S47" s="35"/>
      <c r="T47" s="35"/>
      <c r="U47" s="35"/>
      <c r="V47" s="35"/>
      <c r="W47" s="35"/>
      <c r="X47" s="35"/>
      <c r="Y47" s="35"/>
      <c r="Z47" s="35"/>
    </row>
    <row r="48" spans="1:26" s="17" customFormat="1">
      <c r="A48" s="53" t="str">
        <f>IF(AND($W$12="Rental Car Coverage",$W$16="None"),"Y","N")</f>
        <v>N</v>
      </c>
      <c r="B48" s="34">
        <f>COUNTA($B$1:B47)</f>
        <v>44</v>
      </c>
      <c r="C48" s="35" t="s">
        <v>194</v>
      </c>
      <c r="D48" s="35"/>
      <c r="E48" s="35"/>
      <c r="F48" s="34"/>
      <c r="G48" s="35" t="s">
        <v>133</v>
      </c>
      <c r="H48" s="35"/>
      <c r="I48" s="35" t="s">
        <v>55</v>
      </c>
      <c r="J48" s="35" t="s">
        <v>195</v>
      </c>
      <c r="K48" s="34">
        <v>0</v>
      </c>
      <c r="L48" s="35" t="s">
        <v>147</v>
      </c>
      <c r="M48" s="36"/>
      <c r="N48" s="35"/>
      <c r="O48" s="35"/>
      <c r="P48" s="35"/>
      <c r="Q48" s="35"/>
      <c r="R48" s="35"/>
      <c r="S48" s="35"/>
      <c r="T48" s="35"/>
      <c r="U48" s="35"/>
      <c r="V48" s="35"/>
      <c r="W48" s="35"/>
      <c r="X48" s="35"/>
      <c r="Y48" s="35"/>
      <c r="Z48" s="35"/>
    </row>
    <row r="49" spans="1:26" s="19" customFormat="1" outlineLevel="1">
      <c r="A49" s="53" t="str">
        <f>IF(AND($W$12="Comprehensive Coverage",$W$16="Rental Car Damage Plan"),"Y","N")</f>
        <v>N</v>
      </c>
      <c r="B49" s="34">
        <f>COUNTA($B$1:B48)</f>
        <v>45</v>
      </c>
      <c r="C49" s="35" t="s">
        <v>196</v>
      </c>
      <c r="D49" s="35"/>
      <c r="E49" s="35"/>
      <c r="F49" s="34"/>
      <c r="G49" s="35" t="s">
        <v>133</v>
      </c>
      <c r="H49" s="35"/>
      <c r="I49" s="35" t="s">
        <v>55</v>
      </c>
      <c r="J49" s="35" t="s">
        <v>195</v>
      </c>
      <c r="K49" s="34">
        <v>0</v>
      </c>
      <c r="L49" s="35" t="s">
        <v>147</v>
      </c>
      <c r="M49" s="36"/>
      <c r="N49" s="35"/>
      <c r="O49" s="35"/>
      <c r="P49" s="35"/>
      <c r="Q49" s="35"/>
      <c r="R49" s="35"/>
      <c r="S49" s="35"/>
      <c r="T49" s="35"/>
      <c r="U49" s="35"/>
      <c r="V49" s="35"/>
      <c r="W49" s="35"/>
      <c r="X49" s="35"/>
      <c r="Y49" s="35"/>
      <c r="Z49" s="35"/>
    </row>
    <row r="50" spans="1:26" s="19" customFormat="1" outlineLevel="1">
      <c r="A50" s="33" t="s">
        <v>131</v>
      </c>
      <c r="B50" s="34">
        <f>COUNTA($B$1:B49)</f>
        <v>46</v>
      </c>
      <c r="C50" s="35" t="s">
        <v>67</v>
      </c>
      <c r="D50" s="35"/>
      <c r="E50" s="35"/>
      <c r="F50" s="34"/>
      <c r="G50" s="35" t="s">
        <v>133</v>
      </c>
      <c r="H50" s="35"/>
      <c r="I50" s="35"/>
      <c r="J50" s="35"/>
      <c r="K50" s="34"/>
      <c r="L50" s="35" t="s">
        <v>67</v>
      </c>
      <c r="M50" s="36">
        <v>2</v>
      </c>
      <c r="N50" s="35"/>
      <c r="O50" s="35"/>
      <c r="P50" s="35"/>
      <c r="Q50" s="35"/>
      <c r="R50" s="36"/>
      <c r="S50" s="35"/>
      <c r="T50" s="35"/>
      <c r="U50" s="35"/>
      <c r="V50" s="35"/>
      <c r="W50" s="35"/>
      <c r="X50" s="35"/>
      <c r="Y50" s="35"/>
      <c r="Z50" s="35"/>
    </row>
    <row r="51" spans="1:26" s="17" customFormat="1">
      <c r="A51" s="45" t="s">
        <v>131</v>
      </c>
      <c r="B51" s="34">
        <f>COUNTA($B$1:B50)</f>
        <v>47</v>
      </c>
      <c r="C51" s="46" t="s">
        <v>140</v>
      </c>
      <c r="D51" s="46"/>
      <c r="E51" s="46"/>
      <c r="F51" s="47"/>
      <c r="G51" s="46" t="s">
        <v>133</v>
      </c>
      <c r="H51" s="46"/>
      <c r="I51" s="46" t="s">
        <v>55</v>
      </c>
      <c r="J51" s="46" t="s">
        <v>141</v>
      </c>
      <c r="K51" s="47"/>
      <c r="L51" s="46" t="s">
        <v>142</v>
      </c>
      <c r="M51" s="48"/>
      <c r="N51" s="46"/>
      <c r="O51" s="46" t="s">
        <v>2</v>
      </c>
      <c r="P51" s="46"/>
      <c r="Q51" s="46"/>
      <c r="R51" s="49"/>
      <c r="S51" s="46"/>
      <c r="T51" s="46"/>
      <c r="U51" s="46"/>
      <c r="V51" s="46"/>
      <c r="W51" s="46"/>
      <c r="X51" s="46"/>
      <c r="Y51" s="46"/>
      <c r="Z51" s="46"/>
    </row>
    <row r="52" spans="1:26" s="19" customFormat="1" outlineLevel="1">
      <c r="A52" s="45" t="s">
        <v>131</v>
      </c>
      <c r="B52" s="34">
        <f>COUNTA($B$1:B51)</f>
        <v>48</v>
      </c>
      <c r="C52" s="46" t="s">
        <v>143</v>
      </c>
      <c r="D52" s="46"/>
      <c r="E52" s="46"/>
      <c r="F52" s="47"/>
      <c r="G52" s="46" t="s">
        <v>133</v>
      </c>
      <c r="H52" s="46"/>
      <c r="I52" s="46" t="s">
        <v>55</v>
      </c>
      <c r="J52" s="46" t="s">
        <v>141</v>
      </c>
      <c r="K52" s="47"/>
      <c r="L52" s="46" t="s">
        <v>98</v>
      </c>
      <c r="M52" s="48"/>
      <c r="N52" s="46" t="s">
        <v>99</v>
      </c>
      <c r="O52" s="46" t="s">
        <v>2</v>
      </c>
      <c r="P52" s="46"/>
      <c r="Q52" s="46"/>
      <c r="R52" s="49" t="s">
        <v>144</v>
      </c>
      <c r="S52" s="46"/>
      <c r="T52" s="46"/>
      <c r="U52" s="46"/>
      <c r="V52" s="46"/>
      <c r="W52" s="46"/>
      <c r="X52" s="46"/>
      <c r="Y52" s="46"/>
      <c r="Z52" s="46"/>
    </row>
    <row r="53" spans="1:26" s="19" customFormat="1" outlineLevel="1">
      <c r="A53" s="45" t="s">
        <v>131</v>
      </c>
      <c r="B53" s="34">
        <f>COUNTA($B$1:B52)</f>
        <v>49</v>
      </c>
      <c r="C53" s="46" t="s">
        <v>145</v>
      </c>
      <c r="D53" s="46"/>
      <c r="E53" s="46"/>
      <c r="F53" s="47"/>
      <c r="G53" s="46" t="s">
        <v>133</v>
      </c>
      <c r="H53" s="46"/>
      <c r="I53" s="46" t="s">
        <v>55</v>
      </c>
      <c r="J53" s="46" t="s">
        <v>146</v>
      </c>
      <c r="K53" s="47"/>
      <c r="L53" s="46" t="s">
        <v>147</v>
      </c>
      <c r="M53" s="48"/>
      <c r="N53" s="46"/>
      <c r="O53" s="46" t="s">
        <v>2</v>
      </c>
      <c r="P53" s="46"/>
      <c r="Q53" s="46"/>
      <c r="R53" s="48"/>
      <c r="S53" s="46"/>
      <c r="T53" s="46"/>
      <c r="U53" s="46"/>
      <c r="V53" s="46"/>
      <c r="W53" s="46"/>
      <c r="X53" s="46"/>
      <c r="Y53" s="46"/>
      <c r="Z53" s="46"/>
    </row>
    <row r="54" spans="1:26" s="17" customFormat="1">
      <c r="A54" s="33" t="s">
        <v>131</v>
      </c>
      <c r="B54" s="34">
        <f>COUNTA($B$1:B53)</f>
        <v>50</v>
      </c>
      <c r="C54" s="35" t="s">
        <v>197</v>
      </c>
      <c r="D54" s="51"/>
      <c r="E54" s="52" t="s">
        <v>154</v>
      </c>
      <c r="F54" s="38"/>
      <c r="G54" s="35" t="s">
        <v>133</v>
      </c>
      <c r="H54" s="35"/>
      <c r="I54" s="35" t="s">
        <v>55</v>
      </c>
      <c r="J54" s="35" t="s">
        <v>198</v>
      </c>
      <c r="K54" s="34">
        <v>0</v>
      </c>
      <c r="L54" s="35" t="s">
        <v>147</v>
      </c>
      <c r="M54" s="36"/>
      <c r="N54" s="35"/>
      <c r="O54" s="35"/>
      <c r="P54" s="35"/>
      <c r="Q54" s="35"/>
      <c r="R54" s="35"/>
      <c r="S54" s="52"/>
      <c r="T54" s="35"/>
      <c r="U54" s="35"/>
      <c r="V54" s="35"/>
      <c r="W54" s="35"/>
      <c r="X54" s="52"/>
      <c r="Y54" s="52"/>
      <c r="Z54" s="52"/>
    </row>
    <row r="55" spans="1:26" s="19" customFormat="1" outlineLevel="1">
      <c r="A55" s="33" t="s">
        <v>131</v>
      </c>
      <c r="B55" s="34">
        <f>COUNTA($B$1:B54)</f>
        <v>51</v>
      </c>
      <c r="C55" s="35" t="s">
        <v>199</v>
      </c>
      <c r="D55" s="51"/>
      <c r="E55" s="52" t="s">
        <v>154</v>
      </c>
      <c r="F55" s="38"/>
      <c r="G55" s="35" t="s">
        <v>133</v>
      </c>
      <c r="H55" s="35"/>
      <c r="I55" s="35" t="s">
        <v>55</v>
      </c>
      <c r="J55" s="35" t="s">
        <v>200</v>
      </c>
      <c r="K55" s="34">
        <v>0</v>
      </c>
      <c r="L55" s="35" t="s">
        <v>147</v>
      </c>
      <c r="M55" s="36"/>
      <c r="N55" s="35"/>
      <c r="O55" s="35"/>
      <c r="P55" s="35"/>
      <c r="Q55" s="35"/>
      <c r="R55" s="35"/>
      <c r="S55" s="52"/>
      <c r="T55" s="35"/>
      <c r="U55" s="35"/>
      <c r="V55" s="35"/>
      <c r="W55" s="35"/>
      <c r="X55" s="52"/>
      <c r="Y55" s="52"/>
      <c r="Z55" s="52"/>
    </row>
    <row r="56" spans="1:26" s="19" customFormat="1" outlineLevel="1">
      <c r="A56" s="33" t="s">
        <v>131</v>
      </c>
      <c r="B56" s="34">
        <f>COUNTA($B$1:B55)</f>
        <v>52</v>
      </c>
      <c r="C56" s="35" t="s">
        <v>201</v>
      </c>
      <c r="D56" s="51"/>
      <c r="E56" s="52" t="s">
        <v>154</v>
      </c>
      <c r="F56" s="38"/>
      <c r="G56" s="35" t="s">
        <v>133</v>
      </c>
      <c r="H56" s="35"/>
      <c r="I56" s="35" t="s">
        <v>55</v>
      </c>
      <c r="J56" s="35" t="s">
        <v>202</v>
      </c>
      <c r="K56" s="34">
        <v>0</v>
      </c>
      <c r="L56" s="35" t="s">
        <v>0</v>
      </c>
      <c r="M56" s="50" t="s">
        <v>203</v>
      </c>
      <c r="N56" s="35"/>
      <c r="O56" s="35"/>
      <c r="P56" s="35"/>
      <c r="Q56" s="35"/>
      <c r="R56" s="35"/>
      <c r="S56" s="52"/>
      <c r="T56" s="35"/>
      <c r="U56" s="35"/>
      <c r="V56" s="35"/>
      <c r="W56" s="35"/>
      <c r="X56" s="52"/>
      <c r="Y56" s="52"/>
      <c r="Z56" s="52"/>
    </row>
    <row r="57" spans="1:26" s="17" customFormat="1">
      <c r="A57" s="33" t="s">
        <v>131</v>
      </c>
      <c r="B57" s="34">
        <f>COUNTA($B$1:B56)</f>
        <v>53</v>
      </c>
      <c r="C57" s="35" t="s">
        <v>204</v>
      </c>
      <c r="D57" s="51"/>
      <c r="E57" s="52" t="s">
        <v>154</v>
      </c>
      <c r="F57" s="38"/>
      <c r="G57" s="35" t="s">
        <v>133</v>
      </c>
      <c r="H57" s="35"/>
      <c r="I57" s="35" t="s">
        <v>55</v>
      </c>
      <c r="J57" s="35" t="s">
        <v>205</v>
      </c>
      <c r="K57" s="34">
        <v>0</v>
      </c>
      <c r="L57" s="35" t="s">
        <v>0</v>
      </c>
      <c r="M57" s="50" t="s">
        <v>206</v>
      </c>
      <c r="N57" s="35"/>
      <c r="O57" s="35"/>
      <c r="P57" s="35"/>
      <c r="Q57" s="35"/>
      <c r="R57" s="35"/>
      <c r="S57" s="52"/>
      <c r="T57" s="35"/>
      <c r="U57" s="35"/>
      <c r="V57" s="35"/>
      <c r="W57" s="35"/>
      <c r="X57" s="52"/>
      <c r="Y57" s="52"/>
      <c r="Z57" s="52"/>
    </row>
    <row r="58" spans="1:26" s="19" customFormat="1" outlineLevel="1">
      <c r="A58" s="33" t="s">
        <v>131</v>
      </c>
      <c r="B58" s="34">
        <f>COUNTA($B$1:B57)</f>
        <v>54</v>
      </c>
      <c r="C58" s="35" t="s">
        <v>207</v>
      </c>
      <c r="D58" s="35"/>
      <c r="E58" s="35"/>
      <c r="F58" s="34"/>
      <c r="G58" s="35" t="s">
        <v>133</v>
      </c>
      <c r="H58" s="35"/>
      <c r="I58" s="35" t="s">
        <v>55</v>
      </c>
      <c r="J58" s="35" t="s">
        <v>208</v>
      </c>
      <c r="K58" s="34">
        <v>0</v>
      </c>
      <c r="L58" s="35" t="s">
        <v>147</v>
      </c>
      <c r="M58" s="36"/>
      <c r="N58" s="35"/>
      <c r="O58" s="35"/>
      <c r="P58" s="35"/>
      <c r="Q58" s="35"/>
      <c r="R58" s="35"/>
      <c r="S58" s="35"/>
      <c r="T58" s="35"/>
      <c r="U58" s="35"/>
      <c r="V58" s="35"/>
      <c r="W58" s="35"/>
      <c r="X58" s="35"/>
      <c r="Y58" s="35"/>
      <c r="Z58" s="35"/>
    </row>
    <row r="59" spans="1:26" s="19" customFormat="1" outlineLevel="1">
      <c r="A59" s="33" t="s">
        <v>131</v>
      </c>
      <c r="B59" s="34">
        <f>COUNTA($B$1:B58)</f>
        <v>55</v>
      </c>
      <c r="C59" s="35" t="s">
        <v>209</v>
      </c>
      <c r="D59" s="51"/>
      <c r="E59" s="52"/>
      <c r="F59" s="34"/>
      <c r="G59" s="35" t="s">
        <v>133</v>
      </c>
      <c r="H59" s="35"/>
      <c r="I59" s="35" t="s">
        <v>55</v>
      </c>
      <c r="J59" s="35" t="s">
        <v>210</v>
      </c>
      <c r="K59" s="34"/>
      <c r="L59" s="35" t="s">
        <v>98</v>
      </c>
      <c r="M59" s="35"/>
      <c r="N59" s="35" t="s">
        <v>99</v>
      </c>
      <c r="O59" s="35"/>
      <c r="P59" s="35"/>
      <c r="Q59" s="35"/>
      <c r="R59" s="35" t="str">
        <f>TEXT(M56,"mm/dd/yyyy") &amp; " - " &amp; TEXT(M57,"mm/dd/yyyy")</f>
        <v>PickUpDate - DropOffDate</v>
      </c>
      <c r="S59" s="52"/>
      <c r="T59" s="35" t="s">
        <v>2</v>
      </c>
      <c r="U59" s="35"/>
      <c r="V59" s="35"/>
      <c r="W59" s="35"/>
      <c r="X59" s="52"/>
      <c r="Y59" s="52"/>
      <c r="Z59" s="52"/>
    </row>
    <row r="60" spans="1:26" s="17" customFormat="1">
      <c r="A60" s="33" t="s">
        <v>131</v>
      </c>
      <c r="B60" s="34">
        <f>COUNTA($B$1:B59)</f>
        <v>56</v>
      </c>
      <c r="C60" s="35" t="s">
        <v>201</v>
      </c>
      <c r="D60" s="51"/>
      <c r="E60" s="52" t="s">
        <v>154</v>
      </c>
      <c r="F60" s="38"/>
      <c r="G60" s="35" t="s">
        <v>133</v>
      </c>
      <c r="H60" s="35"/>
      <c r="I60" s="35" t="s">
        <v>55</v>
      </c>
      <c r="J60" s="35" t="s">
        <v>202</v>
      </c>
      <c r="K60" s="34">
        <v>0</v>
      </c>
      <c r="L60" s="35" t="s">
        <v>0</v>
      </c>
      <c r="M60" s="50" t="s">
        <v>211</v>
      </c>
      <c r="N60" s="35"/>
      <c r="O60" s="35"/>
      <c r="P60" s="35"/>
      <c r="Q60" s="35"/>
      <c r="R60" s="35"/>
      <c r="S60" s="52"/>
      <c r="T60" s="35"/>
      <c r="U60" s="35"/>
      <c r="V60" s="35"/>
      <c r="W60" s="35"/>
      <c r="X60" s="52"/>
      <c r="Y60" s="52"/>
      <c r="Z60" s="52"/>
    </row>
    <row r="61" spans="1:26" s="19" customFormat="1" outlineLevel="1">
      <c r="A61" s="33" t="s">
        <v>131</v>
      </c>
      <c r="B61" s="34">
        <f>COUNTA($B$1:B60)</f>
        <v>57</v>
      </c>
      <c r="C61" s="35" t="s">
        <v>204</v>
      </c>
      <c r="D61" s="51"/>
      <c r="E61" s="52" t="s">
        <v>154</v>
      </c>
      <c r="F61" s="38"/>
      <c r="G61" s="35" t="s">
        <v>133</v>
      </c>
      <c r="H61" s="35"/>
      <c r="I61" s="35" t="s">
        <v>55</v>
      </c>
      <c r="J61" s="35" t="s">
        <v>205</v>
      </c>
      <c r="K61" s="34">
        <v>0</v>
      </c>
      <c r="L61" s="35" t="s">
        <v>0</v>
      </c>
      <c r="M61" s="50" t="s">
        <v>212</v>
      </c>
      <c r="N61" s="35"/>
      <c r="O61" s="35"/>
      <c r="P61" s="35"/>
      <c r="Q61" s="35"/>
      <c r="R61" s="35"/>
      <c r="S61" s="52"/>
      <c r="T61" s="35"/>
      <c r="U61" s="35"/>
      <c r="V61" s="35"/>
      <c r="W61" s="35"/>
      <c r="X61" s="52"/>
      <c r="Y61" s="52"/>
      <c r="Z61" s="52"/>
    </row>
    <row r="62" spans="1:26" s="19" customFormat="1" outlineLevel="1">
      <c r="A62" s="33" t="s">
        <v>131</v>
      </c>
      <c r="B62" s="34">
        <f>COUNTA($B$1:B61)</f>
        <v>58</v>
      </c>
      <c r="C62" s="35" t="s">
        <v>207</v>
      </c>
      <c r="D62" s="35"/>
      <c r="E62" s="35"/>
      <c r="F62" s="34"/>
      <c r="G62" s="35" t="s">
        <v>133</v>
      </c>
      <c r="H62" s="35"/>
      <c r="I62" s="35" t="s">
        <v>55</v>
      </c>
      <c r="J62" s="35" t="s">
        <v>208</v>
      </c>
      <c r="K62" s="34">
        <v>0</v>
      </c>
      <c r="L62" s="35" t="s">
        <v>147</v>
      </c>
      <c r="M62" s="36"/>
      <c r="N62" s="35"/>
      <c r="O62" s="35"/>
      <c r="P62" s="35"/>
      <c r="Q62" s="35"/>
      <c r="R62" s="35"/>
      <c r="S62" s="35"/>
      <c r="T62" s="35"/>
      <c r="U62" s="35"/>
      <c r="V62" s="35"/>
      <c r="W62" s="35"/>
      <c r="X62" s="35"/>
      <c r="Y62" s="35"/>
      <c r="Z62" s="35"/>
    </row>
    <row r="63" spans="1:26" s="17" customFormat="1">
      <c r="A63" s="33" t="s">
        <v>131</v>
      </c>
      <c r="B63" s="34">
        <f>COUNTA($B$1:B62)</f>
        <v>59</v>
      </c>
      <c r="C63" s="35" t="s">
        <v>209</v>
      </c>
      <c r="D63" s="51"/>
      <c r="E63" s="52"/>
      <c r="F63" s="34"/>
      <c r="G63" s="35" t="s">
        <v>133</v>
      </c>
      <c r="H63" s="35"/>
      <c r="I63" s="35" t="s">
        <v>55</v>
      </c>
      <c r="J63" s="35" t="s">
        <v>213</v>
      </c>
      <c r="K63" s="34"/>
      <c r="L63" s="35" t="s">
        <v>98</v>
      </c>
      <c r="M63" s="35"/>
      <c r="N63" s="35" t="s">
        <v>99</v>
      </c>
      <c r="O63" s="35"/>
      <c r="P63" s="35"/>
      <c r="Q63" s="35"/>
      <c r="R63" s="35" t="str">
        <f>TEXT(M60,"mm/dd/yyyy") &amp; " - " &amp; TEXT(M61,"mm/dd/yyyy")</f>
        <v>PickUpDate1 - DropOffDate1</v>
      </c>
      <c r="S63" s="52"/>
      <c r="T63" s="35" t="s">
        <v>2</v>
      </c>
      <c r="U63" s="35"/>
      <c r="V63" s="35"/>
      <c r="W63" s="35"/>
      <c r="X63" s="52"/>
      <c r="Y63" s="52"/>
      <c r="Z63" s="52"/>
    </row>
    <row r="64" spans="1:26" s="19" customFormat="1" outlineLevel="1">
      <c r="A64" s="33" t="s">
        <v>131</v>
      </c>
      <c r="B64" s="34">
        <f>COUNTA($B$1:B63)</f>
        <v>60</v>
      </c>
      <c r="C64" s="35" t="s">
        <v>201</v>
      </c>
      <c r="D64" s="51"/>
      <c r="E64" s="52" t="s">
        <v>154</v>
      </c>
      <c r="F64" s="38"/>
      <c r="G64" s="35" t="s">
        <v>133</v>
      </c>
      <c r="H64" s="35"/>
      <c r="I64" s="35" t="s">
        <v>55</v>
      </c>
      <c r="J64" s="35" t="s">
        <v>202</v>
      </c>
      <c r="K64" s="34">
        <v>0</v>
      </c>
      <c r="L64" s="35" t="s">
        <v>0</v>
      </c>
      <c r="M64" s="50" t="s">
        <v>214</v>
      </c>
      <c r="N64" s="35"/>
      <c r="O64" s="35"/>
      <c r="P64" s="35"/>
      <c r="Q64" s="35"/>
      <c r="R64" s="35"/>
      <c r="S64" s="52"/>
      <c r="T64" s="35"/>
      <c r="U64" s="35"/>
      <c r="V64" s="35"/>
      <c r="W64" s="35"/>
      <c r="X64" s="52"/>
      <c r="Y64" s="52"/>
      <c r="Z64" s="52"/>
    </row>
    <row r="65" spans="1:26" s="19" customFormat="1" outlineLevel="1">
      <c r="A65" s="33" t="s">
        <v>131</v>
      </c>
      <c r="B65" s="34">
        <f>COUNTA($B$1:B64)</f>
        <v>61</v>
      </c>
      <c r="C65" s="35" t="s">
        <v>204</v>
      </c>
      <c r="D65" s="51"/>
      <c r="E65" s="52" t="s">
        <v>154</v>
      </c>
      <c r="F65" s="38"/>
      <c r="G65" s="35" t="s">
        <v>133</v>
      </c>
      <c r="H65" s="35"/>
      <c r="I65" s="35" t="s">
        <v>55</v>
      </c>
      <c r="J65" s="35" t="s">
        <v>205</v>
      </c>
      <c r="K65" s="34">
        <v>0</v>
      </c>
      <c r="L65" s="35" t="s">
        <v>0</v>
      </c>
      <c r="M65" s="50" t="s">
        <v>215</v>
      </c>
      <c r="N65" s="35"/>
      <c r="O65" s="35"/>
      <c r="P65" s="35"/>
      <c r="Q65" s="35"/>
      <c r="R65" s="35"/>
      <c r="S65" s="52"/>
      <c r="T65" s="35"/>
      <c r="U65" s="35"/>
      <c r="V65" s="35"/>
      <c r="W65" s="35"/>
      <c r="X65" s="52"/>
      <c r="Y65" s="52"/>
      <c r="Z65" s="52"/>
    </row>
    <row r="66" spans="1:26" s="17" customFormat="1">
      <c r="A66" s="33" t="s">
        <v>131</v>
      </c>
      <c r="B66" s="34">
        <f>COUNTA($B$1:B65)</f>
        <v>62</v>
      </c>
      <c r="C66" s="35" t="s">
        <v>207</v>
      </c>
      <c r="D66" s="35"/>
      <c r="E66" s="35"/>
      <c r="F66" s="34"/>
      <c r="G66" s="35" t="s">
        <v>133</v>
      </c>
      <c r="H66" s="35"/>
      <c r="I66" s="35" t="s">
        <v>55</v>
      </c>
      <c r="J66" s="35" t="s">
        <v>208</v>
      </c>
      <c r="K66" s="34">
        <v>0</v>
      </c>
      <c r="L66" s="35" t="s">
        <v>147</v>
      </c>
      <c r="M66" s="36"/>
      <c r="N66" s="35"/>
      <c r="O66" s="35"/>
      <c r="P66" s="35"/>
      <c r="Q66" s="35"/>
      <c r="R66" s="35"/>
      <c r="S66" s="35"/>
      <c r="T66" s="35"/>
      <c r="U66" s="35"/>
      <c r="V66" s="35"/>
      <c r="W66" s="35"/>
      <c r="X66" s="35"/>
      <c r="Y66" s="35"/>
      <c r="Z66" s="35"/>
    </row>
    <row r="67" spans="1:26" s="19" customFormat="1" outlineLevel="1">
      <c r="A67" s="33" t="s">
        <v>131</v>
      </c>
      <c r="B67" s="34">
        <f>COUNTA($B$1:B66)</f>
        <v>63</v>
      </c>
      <c r="C67" s="35" t="s">
        <v>209</v>
      </c>
      <c r="D67" s="51"/>
      <c r="E67" s="52"/>
      <c r="F67" s="34"/>
      <c r="G67" s="35" t="s">
        <v>133</v>
      </c>
      <c r="H67" s="35"/>
      <c r="I67" s="35" t="s">
        <v>55</v>
      </c>
      <c r="J67" s="35" t="s">
        <v>216</v>
      </c>
      <c r="K67" s="34"/>
      <c r="L67" s="35" t="s">
        <v>98</v>
      </c>
      <c r="M67" s="35"/>
      <c r="N67" s="35" t="s">
        <v>99</v>
      </c>
      <c r="O67" s="35"/>
      <c r="P67" s="35"/>
      <c r="Q67" s="35"/>
      <c r="R67" s="35" t="str">
        <f>TEXT(M64,"mm/dd/yyyy") &amp; " - " &amp; TEXT(M65,"mm/dd/yyyy")</f>
        <v>PickUpDate2 - DropOffDate2</v>
      </c>
      <c r="S67" s="52"/>
      <c r="T67" s="35" t="s">
        <v>2</v>
      </c>
      <c r="U67" s="35"/>
      <c r="V67" s="35"/>
      <c r="W67" s="35"/>
      <c r="X67" s="52"/>
      <c r="Y67" s="52"/>
      <c r="Z67" s="52"/>
    </row>
    <row r="68" spans="1:26" s="19" customFormat="1" outlineLevel="1">
      <c r="A68" s="33" t="s">
        <v>131</v>
      </c>
      <c r="B68" s="34">
        <f>COUNTA($B$1:B67)</f>
        <v>64</v>
      </c>
      <c r="C68" s="35" t="s">
        <v>217</v>
      </c>
      <c r="D68" s="51"/>
      <c r="E68" s="52" t="s">
        <v>154</v>
      </c>
      <c r="F68" s="38"/>
      <c r="G68" s="35" t="s">
        <v>133</v>
      </c>
      <c r="H68" s="35"/>
      <c r="I68" s="35" t="s">
        <v>55</v>
      </c>
      <c r="J68" s="35" t="s">
        <v>218</v>
      </c>
      <c r="K68" s="34">
        <v>0</v>
      </c>
      <c r="L68" s="35" t="s">
        <v>147</v>
      </c>
      <c r="M68" s="36"/>
      <c r="N68" s="35"/>
      <c r="O68" s="35"/>
      <c r="P68" s="35"/>
      <c r="Q68" s="35"/>
      <c r="R68" s="35"/>
      <c r="S68" s="52"/>
      <c r="T68" s="35"/>
      <c r="U68" s="35"/>
      <c r="V68" s="35"/>
      <c r="W68" s="35"/>
      <c r="X68" s="52"/>
      <c r="Y68" s="52"/>
      <c r="Z68" s="52"/>
    </row>
    <row r="69" spans="1:26" s="17" customFormat="1">
      <c r="A69" s="33" t="s">
        <v>131</v>
      </c>
      <c r="B69" s="34">
        <f>COUNTA($B$1:B68)</f>
        <v>65</v>
      </c>
      <c r="C69" s="35" t="s">
        <v>190</v>
      </c>
      <c r="D69" s="35"/>
      <c r="E69" s="35"/>
      <c r="F69" s="34"/>
      <c r="G69" s="35" t="s">
        <v>133</v>
      </c>
      <c r="H69" s="35"/>
      <c r="I69" s="35" t="s">
        <v>55</v>
      </c>
      <c r="J69" s="35" t="s">
        <v>87</v>
      </c>
      <c r="K69" s="34">
        <v>0</v>
      </c>
      <c r="L69" s="35" t="s">
        <v>147</v>
      </c>
      <c r="M69" s="36"/>
      <c r="N69" s="35"/>
      <c r="O69" s="35"/>
      <c r="P69" s="35"/>
      <c r="Q69" s="35"/>
      <c r="R69" s="35"/>
      <c r="S69" s="35"/>
      <c r="T69" s="35"/>
      <c r="U69" s="35"/>
      <c r="V69" s="35"/>
      <c r="W69" s="35"/>
      <c r="X69" s="35"/>
      <c r="Y69" s="35"/>
      <c r="Z69" s="35"/>
    </row>
    <row r="70" spans="1:26" s="19" customFormat="1" outlineLevel="1">
      <c r="A70" s="33" t="s">
        <v>131</v>
      </c>
      <c r="B70" s="34">
        <f>COUNTA($B$1:B69)</f>
        <v>66</v>
      </c>
      <c r="C70" s="35" t="s">
        <v>67</v>
      </c>
      <c r="D70" s="35"/>
      <c r="E70" s="35"/>
      <c r="F70" s="34"/>
      <c r="G70" s="35" t="s">
        <v>133</v>
      </c>
      <c r="H70" s="35"/>
      <c r="I70" s="35"/>
      <c r="J70" s="35"/>
      <c r="K70" s="34"/>
      <c r="L70" s="35" t="s">
        <v>67</v>
      </c>
      <c r="M70" s="36">
        <v>10</v>
      </c>
      <c r="N70" s="35"/>
      <c r="O70" s="35"/>
      <c r="P70" s="35"/>
      <c r="Q70" s="35"/>
      <c r="R70" s="36"/>
      <c r="S70" s="35"/>
      <c r="T70" s="35"/>
      <c r="U70" s="35"/>
      <c r="V70" s="35"/>
      <c r="W70" s="35"/>
      <c r="X70" s="35"/>
      <c r="Y70" s="35"/>
      <c r="Z70" s="35"/>
    </row>
    <row r="71" spans="1:26" s="19" customFormat="1" outlineLevel="1">
      <c r="A71" s="30" t="s">
        <v>219</v>
      </c>
      <c r="B71" s="31"/>
      <c r="C71" s="31"/>
      <c r="D71" s="32"/>
      <c r="E71" s="32"/>
      <c r="F71" s="31"/>
      <c r="G71" s="32"/>
      <c r="H71" s="32"/>
      <c r="I71" s="32"/>
      <c r="J71" s="32"/>
      <c r="K71" s="31"/>
      <c r="L71" s="32"/>
      <c r="M71" s="32"/>
      <c r="N71" s="32"/>
      <c r="O71" s="32"/>
      <c r="P71" s="32"/>
      <c r="Q71" s="32"/>
      <c r="R71" s="32"/>
      <c r="S71" s="32"/>
      <c r="T71" s="32"/>
      <c r="U71" s="32"/>
      <c r="V71" s="32"/>
      <c r="W71" s="32"/>
      <c r="X71" s="32"/>
      <c r="Y71" s="32"/>
      <c r="Z71" s="32"/>
    </row>
    <row r="72" spans="1:26" s="17" customFormat="1">
      <c r="A72" s="45" t="s">
        <v>131</v>
      </c>
      <c r="B72" s="34">
        <f>COUNTA($B$1:B71)</f>
        <v>67</v>
      </c>
      <c r="C72" s="46" t="s">
        <v>140</v>
      </c>
      <c r="D72" s="46"/>
      <c r="E72" s="46"/>
      <c r="F72" s="47"/>
      <c r="G72" s="46" t="s">
        <v>133</v>
      </c>
      <c r="H72" s="46"/>
      <c r="I72" s="46" t="s">
        <v>55</v>
      </c>
      <c r="J72" s="46" t="s">
        <v>141</v>
      </c>
      <c r="K72" s="47"/>
      <c r="L72" s="46" t="s">
        <v>142</v>
      </c>
      <c r="M72" s="48"/>
      <c r="N72" s="46"/>
      <c r="O72" s="46" t="s">
        <v>2</v>
      </c>
      <c r="P72" s="46"/>
      <c r="Q72" s="46"/>
      <c r="R72" s="49"/>
      <c r="S72" s="46"/>
      <c r="T72" s="46"/>
      <c r="U72" s="46"/>
      <c r="V72" s="46"/>
      <c r="W72" s="46"/>
      <c r="X72" s="46"/>
      <c r="Y72" s="46"/>
      <c r="Z72" s="46"/>
    </row>
    <row r="73" spans="1:26" s="16" customFormat="1">
      <c r="A73" s="45" t="s">
        <v>131</v>
      </c>
      <c r="B73" s="34">
        <f>COUNTA($B$1:B72)</f>
        <v>68</v>
      </c>
      <c r="C73" s="46" t="s">
        <v>143</v>
      </c>
      <c r="D73" s="46"/>
      <c r="E73" s="46"/>
      <c r="F73" s="47"/>
      <c r="G73" s="46" t="s">
        <v>133</v>
      </c>
      <c r="H73" s="46"/>
      <c r="I73" s="46" t="s">
        <v>55</v>
      </c>
      <c r="J73" s="46" t="s">
        <v>141</v>
      </c>
      <c r="K73" s="47"/>
      <c r="L73" s="46" t="s">
        <v>98</v>
      </c>
      <c r="M73" s="48"/>
      <c r="N73" s="46" t="s">
        <v>99</v>
      </c>
      <c r="O73" s="46" t="s">
        <v>2</v>
      </c>
      <c r="P73" s="46"/>
      <c r="Q73" s="46"/>
      <c r="R73" s="49" t="s">
        <v>144</v>
      </c>
      <c r="S73" s="46"/>
      <c r="T73" s="46"/>
      <c r="U73" s="46"/>
      <c r="V73" s="46"/>
      <c r="W73" s="46"/>
      <c r="X73" s="46"/>
      <c r="Y73" s="46"/>
      <c r="Z73" s="46"/>
    </row>
    <row r="74" spans="1:26" s="16" customFormat="1">
      <c r="A74" s="45" t="s">
        <v>131</v>
      </c>
      <c r="B74" s="34">
        <f>COUNTA($B$1:B73)</f>
        <v>69</v>
      </c>
      <c r="C74" s="46" t="s">
        <v>145</v>
      </c>
      <c r="D74" s="46"/>
      <c r="E74" s="46"/>
      <c r="F74" s="47"/>
      <c r="G74" s="46" t="s">
        <v>133</v>
      </c>
      <c r="H74" s="46"/>
      <c r="I74" s="46" t="s">
        <v>55</v>
      </c>
      <c r="J74" s="46" t="s">
        <v>146</v>
      </c>
      <c r="K74" s="47"/>
      <c r="L74" s="46" t="s">
        <v>147</v>
      </c>
      <c r="M74" s="48"/>
      <c r="N74" s="46"/>
      <c r="O74" s="46" t="s">
        <v>2</v>
      </c>
      <c r="P74" s="46"/>
      <c r="Q74" s="46"/>
      <c r="R74" s="48"/>
      <c r="S74" s="46"/>
      <c r="T74" s="46"/>
      <c r="U74" s="46"/>
      <c r="V74" s="46"/>
      <c r="W74" s="46"/>
      <c r="X74" s="46"/>
      <c r="Y74" s="46"/>
      <c r="Z74" s="46"/>
    </row>
    <row r="75" spans="1:26" s="16" customFormat="1">
      <c r="A75" s="33" t="s">
        <v>131</v>
      </c>
      <c r="B75" s="34">
        <f>COUNTA($B$1:B74)</f>
        <v>70</v>
      </c>
      <c r="C75" s="35" t="s">
        <v>220</v>
      </c>
      <c r="D75" s="35"/>
      <c r="E75" s="35"/>
      <c r="F75" s="34"/>
      <c r="G75" s="35" t="s">
        <v>133</v>
      </c>
      <c r="H75" s="35"/>
      <c r="I75" s="35" t="s">
        <v>55</v>
      </c>
      <c r="J75" s="35" t="s">
        <v>221</v>
      </c>
      <c r="K75" s="34">
        <v>0</v>
      </c>
      <c r="L75" s="35" t="s">
        <v>0</v>
      </c>
      <c r="M75" s="50" t="s">
        <v>222</v>
      </c>
      <c r="N75" s="35"/>
      <c r="O75" s="35"/>
      <c r="P75" s="35"/>
      <c r="Q75" s="35"/>
      <c r="R75" s="52"/>
      <c r="S75" s="35"/>
      <c r="T75" s="35"/>
      <c r="U75" s="35"/>
      <c r="V75" s="35"/>
      <c r="W75" s="35"/>
      <c r="X75" s="35"/>
      <c r="Y75" s="35"/>
      <c r="Z75" s="35"/>
    </row>
    <row r="76" spans="1:26" s="16" customFormat="1">
      <c r="A76" s="33" t="s">
        <v>131</v>
      </c>
      <c r="B76" s="34">
        <f>COUNTA($B$1:B75)</f>
        <v>71</v>
      </c>
      <c r="C76" s="35" t="s">
        <v>103</v>
      </c>
      <c r="D76" s="35"/>
      <c r="E76" s="35"/>
      <c r="F76" s="34"/>
      <c r="G76" s="35" t="s">
        <v>133</v>
      </c>
      <c r="H76" s="35"/>
      <c r="I76" s="35" t="s">
        <v>55</v>
      </c>
      <c r="J76" s="35" t="s">
        <v>105</v>
      </c>
      <c r="K76" s="34">
        <v>0</v>
      </c>
      <c r="L76" s="35" t="s">
        <v>0</v>
      </c>
      <c r="M76" s="50" t="s">
        <v>223</v>
      </c>
      <c r="N76" s="35"/>
      <c r="O76" s="35"/>
      <c r="P76" s="35"/>
      <c r="Q76" s="35"/>
      <c r="R76" s="52"/>
      <c r="S76" s="35"/>
      <c r="T76" s="35"/>
      <c r="U76" s="35"/>
      <c r="V76" s="35"/>
      <c r="W76" s="35"/>
      <c r="X76" s="35"/>
      <c r="Y76" s="35"/>
      <c r="Z76" s="35"/>
    </row>
    <row r="77" spans="1:26" s="17" customFormat="1">
      <c r="A77" s="33" t="s">
        <v>131</v>
      </c>
      <c r="B77" s="34">
        <f>COUNTA($B$1:B76)</f>
        <v>72</v>
      </c>
      <c r="C77" s="35" t="s">
        <v>224</v>
      </c>
      <c r="D77" s="35"/>
      <c r="E77" s="35"/>
      <c r="F77" s="34"/>
      <c r="G77" s="35" t="s">
        <v>133</v>
      </c>
      <c r="H77" s="35"/>
      <c r="I77" s="35" t="s">
        <v>55</v>
      </c>
      <c r="J77" s="35" t="s">
        <v>83</v>
      </c>
      <c r="K77" s="34">
        <v>0</v>
      </c>
      <c r="L77" s="35" t="s">
        <v>0</v>
      </c>
      <c r="M77" s="50" t="s">
        <v>225</v>
      </c>
      <c r="N77" s="35"/>
      <c r="O77" s="35"/>
      <c r="P77" s="35"/>
      <c r="Q77" s="35"/>
      <c r="R77" s="52"/>
      <c r="S77" s="35"/>
      <c r="T77" s="35"/>
      <c r="U77" s="35"/>
      <c r="V77" s="35"/>
      <c r="W77" s="35"/>
      <c r="X77" s="35"/>
      <c r="Y77" s="35"/>
      <c r="Z77" s="35"/>
    </row>
    <row r="78" spans="1:26" ht="12.75" customHeight="1">
      <c r="A78" s="33" t="s">
        <v>131</v>
      </c>
      <c r="B78" s="34">
        <f>COUNTA($B$1:B77)</f>
        <v>73</v>
      </c>
      <c r="C78" s="35" t="s">
        <v>226</v>
      </c>
      <c r="D78" s="51"/>
      <c r="E78" s="52"/>
      <c r="F78" s="34"/>
      <c r="G78" s="35" t="s">
        <v>133</v>
      </c>
      <c r="H78" s="35"/>
      <c r="I78" s="35"/>
      <c r="J78" s="35"/>
      <c r="K78" s="34"/>
      <c r="L78" s="35" t="s">
        <v>227</v>
      </c>
      <c r="M78" s="36" t="s">
        <v>79</v>
      </c>
      <c r="N78" s="35"/>
      <c r="O78" s="35"/>
      <c r="P78" s="35"/>
      <c r="Q78" s="35"/>
      <c r="R78" s="35"/>
      <c r="S78" s="52"/>
      <c r="T78" s="35"/>
      <c r="U78" s="35"/>
      <c r="V78" s="35"/>
      <c r="W78" s="35"/>
      <c r="X78" s="52"/>
      <c r="Y78" s="52"/>
      <c r="Z78" s="52"/>
    </row>
    <row r="79" spans="1:26" s="17" customFormat="1">
      <c r="A79" s="33" t="s">
        <v>131</v>
      </c>
      <c r="B79" s="34">
        <f>COUNTA($B$1:B78)</f>
        <v>74</v>
      </c>
      <c r="C79" s="35" t="s">
        <v>67</v>
      </c>
      <c r="D79" s="35"/>
      <c r="E79" s="35"/>
      <c r="F79" s="34"/>
      <c r="G79" s="35" t="s">
        <v>133</v>
      </c>
      <c r="H79" s="35"/>
      <c r="I79" s="35"/>
      <c r="J79" s="35"/>
      <c r="K79" s="34"/>
      <c r="L79" s="35" t="s">
        <v>67</v>
      </c>
      <c r="M79" s="36">
        <v>2</v>
      </c>
      <c r="N79" s="35"/>
      <c r="O79" s="35"/>
      <c r="P79" s="35"/>
      <c r="Q79" s="35"/>
      <c r="R79" s="36"/>
      <c r="S79" s="35"/>
      <c r="T79" s="35"/>
      <c r="U79" s="35"/>
      <c r="V79" s="35"/>
      <c r="W79" s="35"/>
      <c r="X79" s="35"/>
      <c r="Y79" s="35"/>
      <c r="Z79" s="35"/>
    </row>
    <row r="80" spans="1:26">
      <c r="A80" s="33" t="s">
        <v>131</v>
      </c>
      <c r="B80" s="34">
        <f>COUNTA($B$1:B79)</f>
        <v>75</v>
      </c>
      <c r="C80" s="35" t="s">
        <v>228</v>
      </c>
      <c r="D80" s="35"/>
      <c r="E80" s="35"/>
      <c r="F80" s="34"/>
      <c r="G80" s="35" t="s">
        <v>133</v>
      </c>
      <c r="H80" s="35"/>
      <c r="I80" s="35" t="s">
        <v>55</v>
      </c>
      <c r="J80" s="35" t="s">
        <v>229</v>
      </c>
      <c r="K80" s="34">
        <v>0</v>
      </c>
      <c r="L80" s="35" t="s">
        <v>0</v>
      </c>
      <c r="M80" s="50" t="s">
        <v>230</v>
      </c>
      <c r="N80" s="35"/>
      <c r="O80" s="35"/>
      <c r="P80" s="35"/>
      <c r="Q80" s="35"/>
      <c r="R80" s="52"/>
      <c r="S80" s="35"/>
      <c r="T80" s="35"/>
      <c r="U80" s="35"/>
      <c r="V80" s="35"/>
      <c r="W80" s="35"/>
      <c r="X80" s="35"/>
      <c r="Y80" s="35"/>
      <c r="Z80" s="35"/>
    </row>
    <row r="81" spans="1:26" ht="12.75" customHeight="1">
      <c r="A81" s="33" t="s">
        <v>131</v>
      </c>
      <c r="B81" s="34">
        <f>COUNTA($B$1:B80)</f>
        <v>76</v>
      </c>
      <c r="C81" s="35" t="s">
        <v>89</v>
      </c>
      <c r="D81" s="35"/>
      <c r="E81" s="35"/>
      <c r="F81" s="34"/>
      <c r="G81" s="35" t="s">
        <v>133</v>
      </c>
      <c r="H81" s="35"/>
      <c r="I81" s="35" t="s">
        <v>55</v>
      </c>
      <c r="J81" s="35" t="s">
        <v>231</v>
      </c>
      <c r="K81" s="34">
        <v>0</v>
      </c>
      <c r="L81" s="35" t="s">
        <v>0</v>
      </c>
      <c r="M81" s="50" t="s">
        <v>104</v>
      </c>
      <c r="N81" s="35"/>
      <c r="O81" s="35"/>
      <c r="P81" s="35"/>
      <c r="Q81" s="35"/>
      <c r="R81" s="52"/>
      <c r="S81" s="35"/>
      <c r="T81" s="35"/>
      <c r="U81" s="35"/>
      <c r="V81" s="35"/>
      <c r="W81" s="35"/>
      <c r="X81" s="35"/>
      <c r="Y81" s="35"/>
      <c r="Z81" s="35"/>
    </row>
    <row r="82" spans="1:26" s="17" customFormat="1">
      <c r="A82" s="33" t="s">
        <v>131</v>
      </c>
      <c r="B82" s="34">
        <f>COUNTA($B$1:B81)</f>
        <v>77</v>
      </c>
      <c r="C82" s="35" t="s">
        <v>232</v>
      </c>
      <c r="D82" s="35"/>
      <c r="E82" s="35"/>
      <c r="F82" s="34"/>
      <c r="G82" s="35" t="s">
        <v>133</v>
      </c>
      <c r="H82" s="35"/>
      <c r="I82" s="35" t="s">
        <v>55</v>
      </c>
      <c r="J82" s="35" t="s">
        <v>233</v>
      </c>
      <c r="K82" s="34">
        <v>0</v>
      </c>
      <c r="L82" s="35" t="s">
        <v>0</v>
      </c>
      <c r="M82" s="50" t="s">
        <v>234</v>
      </c>
      <c r="N82" s="35"/>
      <c r="O82" s="35"/>
      <c r="P82" s="35"/>
      <c r="Q82" s="35"/>
      <c r="R82" s="52"/>
      <c r="S82" s="35"/>
      <c r="T82" s="35"/>
      <c r="U82" s="35"/>
      <c r="V82" s="35"/>
      <c r="W82" s="35"/>
      <c r="X82" s="35"/>
      <c r="Y82" s="35"/>
      <c r="Z82" s="35"/>
    </row>
    <row r="83" spans="1:26" s="17" customFormat="1">
      <c r="A83" s="33" t="s">
        <v>131</v>
      </c>
      <c r="B83" s="34">
        <f>COUNTA($B$1:B82)</f>
        <v>78</v>
      </c>
      <c r="C83" s="35" t="s">
        <v>235</v>
      </c>
      <c r="D83" s="35"/>
      <c r="E83" s="35"/>
      <c r="F83" s="34"/>
      <c r="G83" s="35" t="s">
        <v>133</v>
      </c>
      <c r="H83" s="35"/>
      <c r="I83" s="35" t="s">
        <v>55</v>
      </c>
      <c r="J83" s="35" t="s">
        <v>236</v>
      </c>
      <c r="K83" s="34">
        <v>0</v>
      </c>
      <c r="L83" s="35" t="s">
        <v>0</v>
      </c>
      <c r="M83" s="50" t="s">
        <v>237</v>
      </c>
      <c r="N83" s="35"/>
      <c r="O83" s="35"/>
      <c r="P83" s="35"/>
      <c r="Q83" s="35"/>
      <c r="R83" s="52"/>
      <c r="S83" s="35"/>
      <c r="T83" s="35"/>
      <c r="U83" s="35"/>
      <c r="V83" s="35"/>
      <c r="W83" s="35"/>
      <c r="X83" s="35"/>
      <c r="Y83" s="35"/>
      <c r="Z83" s="35"/>
    </row>
    <row r="84" spans="1:26" s="17" customFormat="1">
      <c r="A84" s="33" t="s">
        <v>131</v>
      </c>
      <c r="B84" s="34">
        <f>COUNTA($B$1:B83)</f>
        <v>79</v>
      </c>
      <c r="C84" s="35" t="s">
        <v>238</v>
      </c>
      <c r="D84" s="35"/>
      <c r="E84" s="35"/>
      <c r="F84" s="34"/>
      <c r="G84" s="35" t="s">
        <v>133</v>
      </c>
      <c r="H84" s="35"/>
      <c r="I84" s="35" t="s">
        <v>55</v>
      </c>
      <c r="J84" s="35" t="s">
        <v>90</v>
      </c>
      <c r="K84" s="34">
        <v>0</v>
      </c>
      <c r="L84" s="35" t="s">
        <v>0</v>
      </c>
      <c r="M84" s="50" t="s">
        <v>239</v>
      </c>
      <c r="N84" s="35"/>
      <c r="O84" s="35"/>
      <c r="P84" s="35"/>
      <c r="Q84" s="35"/>
      <c r="R84" s="52"/>
      <c r="S84" s="35"/>
      <c r="T84" s="35"/>
      <c r="U84" s="35"/>
      <c r="V84" s="35"/>
      <c r="W84" s="35"/>
      <c r="X84" s="35"/>
      <c r="Y84" s="35"/>
      <c r="Z84" s="35"/>
    </row>
    <row r="85" spans="1:26" s="17" customFormat="1">
      <c r="A85" s="33" t="s">
        <v>131</v>
      </c>
      <c r="B85" s="34">
        <f>COUNTA($B$1:B84)</f>
        <v>80</v>
      </c>
      <c r="C85" s="35" t="s">
        <v>240</v>
      </c>
      <c r="D85" s="35"/>
      <c r="E85" s="35"/>
      <c r="F85" s="34"/>
      <c r="G85" s="35" t="s">
        <v>133</v>
      </c>
      <c r="H85" s="35"/>
      <c r="I85" s="35" t="s">
        <v>55</v>
      </c>
      <c r="J85" s="35" t="s">
        <v>241</v>
      </c>
      <c r="K85" s="34">
        <v>0</v>
      </c>
      <c r="L85" s="35" t="s">
        <v>0</v>
      </c>
      <c r="M85" s="50" t="s">
        <v>242</v>
      </c>
      <c r="N85" s="35"/>
      <c r="O85" s="35"/>
      <c r="P85" s="35"/>
      <c r="Q85" s="35"/>
      <c r="R85" s="52"/>
      <c r="S85" s="35"/>
      <c r="T85" s="35"/>
      <c r="U85" s="35"/>
      <c r="V85" s="35"/>
      <c r="W85" s="35"/>
      <c r="X85" s="35"/>
      <c r="Y85" s="35"/>
      <c r="Z85" s="35"/>
    </row>
    <row r="86" spans="1:26" s="17" customFormat="1">
      <c r="A86" s="33" t="s">
        <v>21</v>
      </c>
      <c r="B86" s="34">
        <f>COUNTA($B$1:B85)</f>
        <v>81</v>
      </c>
      <c r="C86" s="35" t="s">
        <v>243</v>
      </c>
      <c r="D86" s="35"/>
      <c r="E86" s="35"/>
      <c r="F86" s="34"/>
      <c r="G86" s="35" t="s">
        <v>133</v>
      </c>
      <c r="H86" s="35"/>
      <c r="I86" s="35" t="s">
        <v>55</v>
      </c>
      <c r="J86" s="35" t="s">
        <v>244</v>
      </c>
      <c r="K86" s="34">
        <v>0</v>
      </c>
      <c r="L86" s="35" t="s">
        <v>0</v>
      </c>
      <c r="M86" s="50" t="s">
        <v>245</v>
      </c>
      <c r="N86" s="35"/>
      <c r="O86" s="35"/>
      <c r="P86" s="35"/>
      <c r="Q86" s="35"/>
      <c r="R86" s="52"/>
      <c r="S86" s="35"/>
      <c r="T86" s="35"/>
      <c r="U86" s="35"/>
      <c r="V86" s="35"/>
      <c r="W86" s="35"/>
      <c r="X86" s="35"/>
      <c r="Y86" s="35"/>
      <c r="Z86" s="35"/>
    </row>
    <row r="87" spans="1:26" s="17" customFormat="1">
      <c r="A87" s="33" t="s">
        <v>21</v>
      </c>
      <c r="B87" s="34">
        <f>COUNTA($B$1:B86)</f>
        <v>82</v>
      </c>
      <c r="C87" s="35" t="s">
        <v>246</v>
      </c>
      <c r="D87" s="35"/>
      <c r="E87" s="35"/>
      <c r="F87" s="34"/>
      <c r="G87" s="35" t="s">
        <v>133</v>
      </c>
      <c r="H87" s="35"/>
      <c r="I87" s="35" t="s">
        <v>55</v>
      </c>
      <c r="J87" s="35" t="s">
        <v>247</v>
      </c>
      <c r="K87" s="34">
        <v>0</v>
      </c>
      <c r="L87" s="35" t="s">
        <v>0</v>
      </c>
      <c r="M87" s="50" t="s">
        <v>248</v>
      </c>
      <c r="N87" s="35"/>
      <c r="O87" s="35"/>
      <c r="P87" s="35"/>
      <c r="Q87" s="35"/>
      <c r="R87" s="52"/>
      <c r="S87" s="35"/>
      <c r="T87" s="35"/>
      <c r="U87" s="35"/>
      <c r="V87" s="35"/>
      <c r="W87" s="35"/>
      <c r="X87" s="35"/>
      <c r="Y87" s="35"/>
      <c r="Z87" s="35"/>
    </row>
    <row r="88" spans="1:26" s="17" customFormat="1">
      <c r="A88" s="33" t="s">
        <v>21</v>
      </c>
      <c r="B88" s="34">
        <f>COUNTA($B$1:B87)</f>
        <v>83</v>
      </c>
      <c r="C88" s="35" t="s">
        <v>249</v>
      </c>
      <c r="D88" s="35"/>
      <c r="E88" s="35"/>
      <c r="F88" s="34"/>
      <c r="G88" s="35" t="s">
        <v>133</v>
      </c>
      <c r="H88" s="35"/>
      <c r="I88" s="35" t="s">
        <v>55</v>
      </c>
      <c r="J88" s="35" t="s">
        <v>250</v>
      </c>
      <c r="K88" s="34">
        <v>0</v>
      </c>
      <c r="L88" s="35" t="s">
        <v>0</v>
      </c>
      <c r="M88" s="50" t="s">
        <v>251</v>
      </c>
      <c r="N88" s="35"/>
      <c r="O88" s="35"/>
      <c r="P88" s="35"/>
      <c r="Q88" s="35"/>
      <c r="R88" s="52"/>
      <c r="S88" s="35"/>
      <c r="T88" s="35"/>
      <c r="U88" s="35"/>
      <c r="V88" s="35"/>
      <c r="W88" s="35"/>
      <c r="X88" s="35"/>
      <c r="Y88" s="35"/>
      <c r="Z88" s="35"/>
    </row>
    <row r="89" spans="1:26" s="17" customFormat="1">
      <c r="A89" s="33" t="s">
        <v>21</v>
      </c>
      <c r="B89" s="34">
        <f>COUNTA($B$1:B88)</f>
        <v>84</v>
      </c>
      <c r="C89" s="35" t="s">
        <v>252</v>
      </c>
      <c r="D89" s="35"/>
      <c r="E89" s="35"/>
      <c r="F89" s="34"/>
      <c r="G89" s="35" t="s">
        <v>133</v>
      </c>
      <c r="H89" s="35"/>
      <c r="I89" s="35" t="s">
        <v>55</v>
      </c>
      <c r="J89" s="35" t="s">
        <v>253</v>
      </c>
      <c r="K89" s="34">
        <v>0</v>
      </c>
      <c r="L89" s="35" t="s">
        <v>0</v>
      </c>
      <c r="M89" s="50" t="s">
        <v>254</v>
      </c>
      <c r="N89" s="35"/>
      <c r="O89" s="35"/>
      <c r="P89" s="35"/>
      <c r="Q89" s="35"/>
      <c r="R89" s="52"/>
      <c r="S89" s="35"/>
      <c r="T89" s="35"/>
      <c r="U89" s="35"/>
      <c r="V89" s="35"/>
      <c r="W89" s="35"/>
      <c r="X89" s="35"/>
      <c r="Y89" s="35"/>
      <c r="Z89" s="35"/>
    </row>
    <row r="90" spans="1:26" ht="12.75" customHeight="1">
      <c r="A90" s="33" t="s">
        <v>21</v>
      </c>
      <c r="B90" s="34">
        <f>COUNTA($B$1:B89)</f>
        <v>85</v>
      </c>
      <c r="C90" s="35" t="s">
        <v>255</v>
      </c>
      <c r="D90" s="35"/>
      <c r="E90" s="35"/>
      <c r="F90" s="34"/>
      <c r="G90" s="35" t="s">
        <v>133</v>
      </c>
      <c r="H90" s="35"/>
      <c r="I90" s="35" t="s">
        <v>55</v>
      </c>
      <c r="J90" s="35" t="s">
        <v>256</v>
      </c>
      <c r="K90" s="34">
        <v>0</v>
      </c>
      <c r="L90" s="35" t="s">
        <v>0</v>
      </c>
      <c r="M90" s="50" t="s">
        <v>257</v>
      </c>
      <c r="N90" s="35"/>
      <c r="O90" s="35"/>
      <c r="P90" s="35"/>
      <c r="Q90" s="35"/>
      <c r="R90" s="52"/>
      <c r="S90" s="35"/>
      <c r="T90" s="35"/>
      <c r="U90" s="35"/>
      <c r="V90" s="35"/>
      <c r="W90" s="35"/>
      <c r="X90" s="35"/>
      <c r="Y90" s="35"/>
      <c r="Z90" s="35"/>
    </row>
    <row r="91" spans="1:26" s="12" customFormat="1" ht="12.6" customHeight="1">
      <c r="A91" s="33" t="s">
        <v>21</v>
      </c>
      <c r="B91" s="34">
        <f>COUNTA($B$1:B90)</f>
        <v>86</v>
      </c>
      <c r="C91" s="35" t="s">
        <v>258</v>
      </c>
      <c r="D91" s="35"/>
      <c r="E91" s="35"/>
      <c r="F91" s="34"/>
      <c r="G91" s="35" t="s">
        <v>133</v>
      </c>
      <c r="H91" s="35"/>
      <c r="I91" s="35" t="s">
        <v>55</v>
      </c>
      <c r="J91" s="35" t="s">
        <v>259</v>
      </c>
      <c r="K91" s="34">
        <v>0</v>
      </c>
      <c r="L91" s="35" t="s">
        <v>0</v>
      </c>
      <c r="M91" s="50" t="s">
        <v>260</v>
      </c>
      <c r="N91" s="35"/>
      <c r="O91" s="35"/>
      <c r="P91" s="35"/>
      <c r="Q91" s="35"/>
      <c r="R91" s="52"/>
      <c r="S91" s="35"/>
      <c r="T91" s="35"/>
      <c r="U91" s="35"/>
      <c r="V91" s="35"/>
      <c r="W91" s="35"/>
      <c r="X91" s="35"/>
      <c r="Y91" s="35"/>
      <c r="Z91" s="35"/>
    </row>
    <row r="92" spans="1:26" s="16" customFormat="1" outlineLevel="1">
      <c r="A92" s="33" t="s">
        <v>131</v>
      </c>
      <c r="B92" s="34">
        <f>COUNTA($B$1:B91)</f>
        <v>87</v>
      </c>
      <c r="C92" s="35" t="s">
        <v>190</v>
      </c>
      <c r="D92" s="35"/>
      <c r="E92" s="35"/>
      <c r="F92" s="34"/>
      <c r="G92" s="35" t="s">
        <v>133</v>
      </c>
      <c r="H92" s="35"/>
      <c r="I92" s="35" t="s">
        <v>55</v>
      </c>
      <c r="J92" s="35" t="s">
        <v>87</v>
      </c>
      <c r="K92" s="34">
        <v>0</v>
      </c>
      <c r="L92" s="35" t="s">
        <v>147</v>
      </c>
      <c r="M92" s="36"/>
      <c r="N92" s="35"/>
      <c r="O92" s="35"/>
      <c r="P92" s="35"/>
      <c r="Q92" s="35"/>
      <c r="R92" s="35"/>
      <c r="S92" s="35"/>
      <c r="T92" s="35"/>
      <c r="U92" s="35"/>
      <c r="V92" s="35"/>
      <c r="W92" s="35"/>
      <c r="X92" s="35"/>
      <c r="Y92" s="35"/>
      <c r="Z92" s="35"/>
    </row>
    <row r="93" spans="1:26" s="17" customFormat="1">
      <c r="A93" s="33" t="s">
        <v>131</v>
      </c>
      <c r="B93" s="34">
        <f>COUNTA($B$1:B92)</f>
        <v>88</v>
      </c>
      <c r="C93" s="35" t="s">
        <v>67</v>
      </c>
      <c r="D93" s="35"/>
      <c r="E93" s="35"/>
      <c r="F93" s="34"/>
      <c r="G93" s="35" t="s">
        <v>133</v>
      </c>
      <c r="H93" s="35"/>
      <c r="I93" s="35"/>
      <c r="J93" s="35"/>
      <c r="K93" s="34"/>
      <c r="L93" s="35" t="s">
        <v>67</v>
      </c>
      <c r="M93" s="36">
        <v>10</v>
      </c>
      <c r="N93" s="35"/>
      <c r="O93" s="35"/>
      <c r="P93" s="35"/>
      <c r="Q93" s="35"/>
      <c r="R93" s="36"/>
      <c r="S93" s="35"/>
      <c r="T93" s="35"/>
      <c r="U93" s="35"/>
      <c r="V93" s="35"/>
      <c r="W93" s="35"/>
      <c r="X93" s="35"/>
      <c r="Y93" s="35"/>
      <c r="Z93" s="35"/>
    </row>
    <row r="94" spans="1:26" s="17" customFormat="1">
      <c r="A94" s="30" t="s">
        <v>91</v>
      </c>
      <c r="B94" s="31"/>
      <c r="C94" s="31"/>
      <c r="D94" s="32"/>
      <c r="E94" s="32"/>
      <c r="F94" s="31"/>
      <c r="G94" s="32"/>
      <c r="H94" s="32"/>
      <c r="I94" s="32"/>
      <c r="J94" s="32"/>
      <c r="K94" s="31"/>
      <c r="L94" s="32"/>
      <c r="M94" s="32"/>
      <c r="N94" s="32"/>
      <c r="O94" s="32"/>
      <c r="P94" s="32"/>
      <c r="Q94" s="32"/>
      <c r="R94" s="32"/>
      <c r="S94" s="32"/>
      <c r="T94" s="32"/>
      <c r="U94" s="32"/>
      <c r="V94" s="32"/>
      <c r="W94" s="32"/>
      <c r="X94" s="32"/>
      <c r="Y94" s="32"/>
      <c r="Z94" s="32"/>
    </row>
    <row r="95" spans="1:26" s="17" customFormat="1">
      <c r="A95" s="45" t="s">
        <v>131</v>
      </c>
      <c r="B95" s="34">
        <f>COUNTA($B$1:B94)</f>
        <v>89</v>
      </c>
      <c r="C95" s="46" t="s">
        <v>140</v>
      </c>
      <c r="D95" s="46"/>
      <c r="E95" s="46"/>
      <c r="F95" s="47"/>
      <c r="G95" s="46" t="s">
        <v>133</v>
      </c>
      <c r="H95" s="46"/>
      <c r="I95" s="46" t="s">
        <v>55</v>
      </c>
      <c r="J95" s="46" t="s">
        <v>141</v>
      </c>
      <c r="K95" s="47"/>
      <c r="L95" s="46" t="s">
        <v>142</v>
      </c>
      <c r="M95" s="48"/>
      <c r="N95" s="46"/>
      <c r="O95" s="46" t="s">
        <v>2</v>
      </c>
      <c r="P95" s="46"/>
      <c r="Q95" s="46"/>
      <c r="R95" s="49"/>
      <c r="S95" s="46"/>
      <c r="T95" s="46"/>
      <c r="U95" s="46"/>
      <c r="V95" s="46"/>
      <c r="W95" s="46"/>
      <c r="X95" s="46"/>
      <c r="Y95" s="46"/>
      <c r="Z95" s="46"/>
    </row>
    <row r="96" spans="1:26" s="17" customFormat="1">
      <c r="A96" s="45" t="s">
        <v>131</v>
      </c>
      <c r="B96" s="34">
        <f>COUNTA($B$1:B95)</f>
        <v>90</v>
      </c>
      <c r="C96" s="46" t="s">
        <v>143</v>
      </c>
      <c r="D96" s="46"/>
      <c r="E96" s="46"/>
      <c r="F96" s="47"/>
      <c r="G96" s="46" t="s">
        <v>133</v>
      </c>
      <c r="H96" s="46"/>
      <c r="I96" s="46" t="s">
        <v>55</v>
      </c>
      <c r="J96" s="46" t="s">
        <v>141</v>
      </c>
      <c r="K96" s="47"/>
      <c r="L96" s="46" t="s">
        <v>98</v>
      </c>
      <c r="M96" s="48"/>
      <c r="N96" s="46" t="s">
        <v>99</v>
      </c>
      <c r="O96" s="46" t="s">
        <v>2</v>
      </c>
      <c r="P96" s="46"/>
      <c r="Q96" s="46"/>
      <c r="R96" s="49" t="s">
        <v>144</v>
      </c>
      <c r="S96" s="46"/>
      <c r="T96" s="46"/>
      <c r="U96" s="46"/>
      <c r="V96" s="46"/>
      <c r="W96" s="46"/>
      <c r="X96" s="46"/>
      <c r="Y96" s="46"/>
      <c r="Z96" s="46"/>
    </row>
    <row r="97" spans="1:26" s="17" customFormat="1">
      <c r="A97" s="45" t="s">
        <v>131</v>
      </c>
      <c r="B97" s="34">
        <f>COUNTA($B$1:B96)</f>
        <v>91</v>
      </c>
      <c r="C97" s="46" t="s">
        <v>145</v>
      </c>
      <c r="D97" s="46"/>
      <c r="E97" s="46"/>
      <c r="F97" s="47"/>
      <c r="G97" s="46" t="s">
        <v>133</v>
      </c>
      <c r="H97" s="46"/>
      <c r="I97" s="46" t="s">
        <v>55</v>
      </c>
      <c r="J97" s="46" t="s">
        <v>146</v>
      </c>
      <c r="K97" s="47"/>
      <c r="L97" s="46" t="s">
        <v>147</v>
      </c>
      <c r="M97" s="48"/>
      <c r="N97" s="46"/>
      <c r="O97" s="46" t="s">
        <v>2</v>
      </c>
      <c r="P97" s="46"/>
      <c r="Q97" s="46"/>
      <c r="R97" s="48"/>
      <c r="S97" s="46"/>
      <c r="T97" s="46"/>
      <c r="U97" s="46"/>
      <c r="V97" s="46"/>
      <c r="W97" s="46"/>
      <c r="X97" s="46"/>
      <c r="Y97" s="46"/>
      <c r="Z97" s="46"/>
    </row>
    <row r="98" spans="1:26" s="17" customFormat="1">
      <c r="A98" s="33" t="s">
        <v>131</v>
      </c>
      <c r="B98" s="34">
        <f>COUNTA($B$1:B97)</f>
        <v>92</v>
      </c>
      <c r="C98" s="35" t="s">
        <v>93</v>
      </c>
      <c r="D98" s="35"/>
      <c r="E98" s="35"/>
      <c r="F98" s="34"/>
      <c r="G98" s="35" t="s">
        <v>133</v>
      </c>
      <c r="H98" s="35"/>
      <c r="I98" s="35" t="s">
        <v>55</v>
      </c>
      <c r="J98" s="35" t="s">
        <v>92</v>
      </c>
      <c r="K98" s="34">
        <v>0</v>
      </c>
      <c r="L98" s="35" t="s">
        <v>0</v>
      </c>
      <c r="M98" s="50" t="s">
        <v>261</v>
      </c>
      <c r="N98" s="35"/>
      <c r="O98" s="35"/>
      <c r="P98" s="35"/>
      <c r="Q98" s="35"/>
      <c r="R98" s="52"/>
      <c r="S98" s="35"/>
      <c r="T98" s="35"/>
      <c r="U98" s="35"/>
      <c r="V98" s="35"/>
      <c r="W98" s="35"/>
      <c r="X98" s="35"/>
      <c r="Y98" s="35"/>
      <c r="Z98" s="35"/>
    </row>
    <row r="99" spans="1:26" s="17" customFormat="1">
      <c r="A99" s="33" t="s">
        <v>131</v>
      </c>
      <c r="B99" s="34">
        <f>COUNTA($B$1:B98)</f>
        <v>93</v>
      </c>
      <c r="C99" s="35" t="s">
        <v>262</v>
      </c>
      <c r="D99" s="35"/>
      <c r="E99" s="35"/>
      <c r="F99" s="34"/>
      <c r="G99" s="35" t="s">
        <v>133</v>
      </c>
      <c r="H99" s="35"/>
      <c r="I99" s="35"/>
      <c r="J99" s="35"/>
      <c r="K99" s="34">
        <v>2</v>
      </c>
      <c r="L99" s="35" t="s">
        <v>95</v>
      </c>
      <c r="M99" s="35"/>
      <c r="N99" s="35"/>
      <c r="O99" s="35"/>
      <c r="P99" s="35"/>
      <c r="Q99" s="35"/>
      <c r="R99" s="52"/>
      <c r="S99" s="35"/>
      <c r="T99" s="35"/>
      <c r="U99" s="35"/>
      <c r="V99" s="35"/>
      <c r="W99" s="35"/>
      <c r="X99" s="35"/>
      <c r="Y99" s="35"/>
      <c r="Z99" s="35"/>
    </row>
    <row r="100" spans="1:26">
      <c r="A100" s="33" t="s">
        <v>131</v>
      </c>
      <c r="B100" s="34">
        <f>COUNTA($B$1:B99)</f>
        <v>94</v>
      </c>
      <c r="C100" s="35" t="s">
        <v>94</v>
      </c>
      <c r="D100" s="35"/>
      <c r="E100" s="35"/>
      <c r="F100" s="34"/>
      <c r="G100" s="35" t="s">
        <v>133</v>
      </c>
      <c r="H100" s="35"/>
      <c r="I100" s="35" t="s">
        <v>55</v>
      </c>
      <c r="J100" s="35" t="s">
        <v>263</v>
      </c>
      <c r="K100" s="34">
        <v>0</v>
      </c>
      <c r="L100" s="35" t="s">
        <v>0</v>
      </c>
      <c r="M100" s="50" t="s">
        <v>264</v>
      </c>
      <c r="N100" s="35"/>
      <c r="O100" s="35"/>
      <c r="P100" s="35"/>
      <c r="Q100" s="35"/>
      <c r="R100" s="52"/>
      <c r="S100" s="35"/>
      <c r="T100" s="35"/>
      <c r="U100" s="35"/>
      <c r="V100" s="35"/>
      <c r="W100" s="35"/>
      <c r="X100" s="35"/>
      <c r="Y100" s="35"/>
      <c r="Z100" s="35"/>
    </row>
    <row r="101" spans="1:26">
      <c r="A101" s="33" t="s">
        <v>131</v>
      </c>
      <c r="B101" s="34">
        <f>COUNTA($B$1:B100)</f>
        <v>95</v>
      </c>
      <c r="C101" s="35" t="s">
        <v>262</v>
      </c>
      <c r="D101" s="35"/>
      <c r="E101" s="35"/>
      <c r="F101" s="34"/>
      <c r="G101" s="35" t="s">
        <v>133</v>
      </c>
      <c r="H101" s="35"/>
      <c r="I101" s="35"/>
      <c r="J101" s="35"/>
      <c r="K101" s="34">
        <v>0</v>
      </c>
      <c r="L101" s="35" t="s">
        <v>96</v>
      </c>
      <c r="M101" s="35"/>
      <c r="N101" s="35"/>
      <c r="O101" s="35"/>
      <c r="P101" s="35"/>
      <c r="Q101" s="35"/>
      <c r="R101" s="52"/>
      <c r="S101" s="35"/>
      <c r="T101" s="35"/>
      <c r="U101" s="35"/>
      <c r="V101" s="35"/>
      <c r="W101" s="35"/>
      <c r="X101" s="35"/>
      <c r="Y101" s="35"/>
      <c r="Z101" s="35"/>
    </row>
    <row r="102" spans="1:26">
      <c r="A102" s="33" t="s">
        <v>131</v>
      </c>
      <c r="B102" s="34">
        <f>COUNTA($B$1:B101)</f>
        <v>96</v>
      </c>
      <c r="C102" s="35" t="s">
        <v>262</v>
      </c>
      <c r="D102" s="35"/>
      <c r="E102" s="35"/>
      <c r="F102" s="34"/>
      <c r="G102" s="35" t="s">
        <v>133</v>
      </c>
      <c r="H102" s="35"/>
      <c r="I102" s="35"/>
      <c r="J102" s="35"/>
      <c r="K102" s="34">
        <v>2</v>
      </c>
      <c r="L102" s="35" t="s">
        <v>95</v>
      </c>
      <c r="M102" s="35"/>
      <c r="N102" s="35"/>
      <c r="O102" s="35"/>
      <c r="P102" s="35"/>
      <c r="Q102" s="35"/>
      <c r="R102" s="52"/>
      <c r="S102" s="35"/>
      <c r="T102" s="35"/>
      <c r="U102" s="35"/>
      <c r="V102" s="35"/>
      <c r="W102" s="35"/>
      <c r="X102" s="35"/>
      <c r="Y102" s="35"/>
      <c r="Z102" s="35"/>
    </row>
    <row r="103" spans="1:26">
      <c r="A103" s="217" t="s">
        <v>21</v>
      </c>
      <c r="B103" s="218">
        <f>COUNTA($B$1:B102)</f>
        <v>97</v>
      </c>
      <c r="C103" s="219" t="s">
        <v>226</v>
      </c>
      <c r="D103" s="51"/>
      <c r="E103" s="52"/>
      <c r="F103" s="34"/>
      <c r="G103" s="35" t="s">
        <v>133</v>
      </c>
      <c r="H103" s="35"/>
      <c r="I103" s="35"/>
      <c r="J103" s="35"/>
      <c r="K103" s="34"/>
      <c r="L103" s="35" t="s">
        <v>227</v>
      </c>
      <c r="M103" s="36" t="s">
        <v>79</v>
      </c>
      <c r="N103" s="35"/>
      <c r="O103" s="35"/>
      <c r="P103" s="35"/>
      <c r="Q103" s="35"/>
      <c r="R103" s="35"/>
      <c r="S103" s="52"/>
      <c r="T103" s="35"/>
      <c r="U103" s="35"/>
      <c r="V103" s="35"/>
      <c r="W103" s="35"/>
      <c r="X103" s="52"/>
      <c r="Y103" s="52"/>
      <c r="Z103" s="52"/>
    </row>
    <row r="104" spans="1:26">
      <c r="A104" s="217" t="s">
        <v>21</v>
      </c>
      <c r="B104" s="218">
        <f>COUNTA($B$1:B103)</f>
        <v>98</v>
      </c>
      <c r="C104" s="219" t="s">
        <v>265</v>
      </c>
      <c r="D104" s="35"/>
      <c r="E104" s="35"/>
      <c r="F104" s="34"/>
      <c r="G104" s="35" t="s">
        <v>133</v>
      </c>
      <c r="H104" s="35"/>
      <c r="I104" s="35"/>
      <c r="J104" s="35"/>
      <c r="K104" s="34"/>
      <c r="L104" s="35" t="s">
        <v>227</v>
      </c>
      <c r="M104" s="50" t="s">
        <v>266</v>
      </c>
      <c r="N104" s="35"/>
      <c r="O104" s="35"/>
      <c r="P104" s="35"/>
      <c r="Q104" s="35"/>
      <c r="R104" s="52"/>
      <c r="S104" s="35"/>
      <c r="T104" s="35"/>
      <c r="U104" s="35"/>
      <c r="V104" s="35"/>
      <c r="W104" s="35"/>
      <c r="X104" s="35"/>
      <c r="Y104" s="35"/>
      <c r="Z104" s="35"/>
    </row>
    <row r="105" spans="1:26">
      <c r="A105" s="217" t="s">
        <v>21</v>
      </c>
      <c r="B105" s="218">
        <f>COUNTA($B$1:B104)</f>
        <v>99</v>
      </c>
      <c r="C105" s="219" t="s">
        <v>267</v>
      </c>
      <c r="D105" s="35"/>
      <c r="E105" s="35"/>
      <c r="F105" s="34"/>
      <c r="G105" s="35" t="s">
        <v>133</v>
      </c>
      <c r="H105" s="35"/>
      <c r="I105" s="35"/>
      <c r="J105" s="35"/>
      <c r="K105" s="34"/>
      <c r="L105" s="35" t="s">
        <v>227</v>
      </c>
      <c r="M105" s="50" t="s">
        <v>268</v>
      </c>
      <c r="N105" s="35"/>
      <c r="O105" s="35"/>
      <c r="P105" s="35"/>
      <c r="Q105" s="35"/>
      <c r="R105" s="52"/>
      <c r="S105" s="35"/>
      <c r="T105" s="35"/>
      <c r="U105" s="35"/>
      <c r="V105" s="35"/>
      <c r="W105" s="35"/>
      <c r="X105" s="35"/>
      <c r="Y105" s="35"/>
      <c r="Z105" s="35"/>
    </row>
    <row r="106" spans="1:26">
      <c r="A106" s="217" t="s">
        <v>21</v>
      </c>
      <c r="B106" s="218">
        <f>COUNTA($B$1:B105)</f>
        <v>100</v>
      </c>
      <c r="C106" s="219" t="s">
        <v>226</v>
      </c>
      <c r="D106" s="51"/>
      <c r="E106" s="52"/>
      <c r="F106" s="34"/>
      <c r="G106" s="35" t="s">
        <v>133</v>
      </c>
      <c r="H106" s="35"/>
      <c r="I106" s="35"/>
      <c r="J106" s="35"/>
      <c r="K106" s="34"/>
      <c r="L106" s="35" t="s">
        <v>227</v>
      </c>
      <c r="M106" s="36" t="s">
        <v>79</v>
      </c>
      <c r="N106" s="35"/>
      <c r="O106" s="35"/>
      <c r="P106" s="35"/>
      <c r="Q106" s="35"/>
      <c r="R106" s="35"/>
      <c r="S106" s="52"/>
      <c r="T106" s="35"/>
      <c r="U106" s="35"/>
      <c r="V106" s="35"/>
      <c r="W106" s="35"/>
      <c r="X106" s="52"/>
      <c r="Y106" s="52"/>
      <c r="Z106" s="52"/>
    </row>
    <row r="107" spans="1:26" s="19" customFormat="1" outlineLevel="1">
      <c r="A107" s="33" t="s">
        <v>131</v>
      </c>
      <c r="B107" s="34">
        <f>COUNTA($B$1:B106)</f>
        <v>101</v>
      </c>
      <c r="C107" s="35" t="s">
        <v>948</v>
      </c>
      <c r="D107" s="35"/>
      <c r="E107" s="35"/>
      <c r="F107" s="34"/>
      <c r="G107" s="35" t="s">
        <v>133</v>
      </c>
      <c r="H107" s="35"/>
      <c r="I107" s="35" t="s">
        <v>55</v>
      </c>
      <c r="J107" s="35" t="s">
        <v>949</v>
      </c>
      <c r="K107" s="34">
        <v>0</v>
      </c>
      <c r="L107" s="35" t="s">
        <v>34</v>
      </c>
      <c r="M107" s="35"/>
      <c r="N107" s="35"/>
      <c r="O107" s="35"/>
      <c r="P107" s="35"/>
      <c r="Q107" s="35"/>
      <c r="R107" s="35"/>
      <c r="S107" s="35"/>
      <c r="T107" s="35"/>
      <c r="U107" s="35"/>
      <c r="V107" s="35"/>
      <c r="W107" s="35"/>
      <c r="X107" s="35"/>
      <c r="Y107" s="35"/>
      <c r="Z107" s="35"/>
    </row>
    <row r="108" spans="1:26" s="19" customFormat="1" outlineLevel="1">
      <c r="A108" s="33" t="s">
        <v>131</v>
      </c>
      <c r="B108" s="34">
        <f>COUNTA($B$1:B107)</f>
        <v>102</v>
      </c>
      <c r="C108" s="35" t="s">
        <v>67</v>
      </c>
      <c r="D108" s="35"/>
      <c r="E108" s="35"/>
      <c r="F108" s="34"/>
      <c r="G108" s="35" t="s">
        <v>133</v>
      </c>
      <c r="H108" s="35"/>
      <c r="I108" s="35"/>
      <c r="J108" s="35"/>
      <c r="K108" s="34"/>
      <c r="L108" s="35" t="s">
        <v>67</v>
      </c>
      <c r="M108" s="36">
        <v>2</v>
      </c>
      <c r="N108" s="35"/>
      <c r="O108" s="35"/>
      <c r="P108" s="35"/>
      <c r="Q108" s="35"/>
      <c r="R108" s="35"/>
      <c r="S108" s="35"/>
      <c r="T108" s="35"/>
      <c r="U108" s="35"/>
      <c r="V108" s="35"/>
      <c r="W108" s="35"/>
      <c r="X108" s="35"/>
      <c r="Y108" s="35"/>
      <c r="Z108" s="35"/>
    </row>
    <row r="109" spans="1:26" s="19" customFormat="1" outlineLevel="1">
      <c r="A109" s="33" t="s">
        <v>131</v>
      </c>
      <c r="B109" s="34">
        <f>COUNTA($B$1:B108)</f>
        <v>103</v>
      </c>
      <c r="C109" s="35" t="s">
        <v>952</v>
      </c>
      <c r="D109" s="35"/>
      <c r="E109" s="35"/>
      <c r="F109" s="34"/>
      <c r="G109" s="35" t="s">
        <v>133</v>
      </c>
      <c r="H109" s="35"/>
      <c r="I109" s="35" t="s">
        <v>55</v>
      </c>
      <c r="J109" s="35" t="s">
        <v>949</v>
      </c>
      <c r="K109" s="34">
        <v>0</v>
      </c>
      <c r="L109" s="35" t="s">
        <v>951</v>
      </c>
      <c r="M109" s="50" t="s">
        <v>266</v>
      </c>
      <c r="N109" s="35"/>
      <c r="O109" s="35"/>
      <c r="P109" s="35"/>
      <c r="Q109" s="35"/>
      <c r="R109" s="35"/>
      <c r="S109" s="35"/>
      <c r="T109" s="35"/>
      <c r="U109" s="35"/>
      <c r="V109" s="35"/>
      <c r="W109" s="35"/>
      <c r="X109" s="35"/>
      <c r="Y109" s="35"/>
      <c r="Z109" s="35"/>
    </row>
    <row r="110" spans="1:26" s="19" customFormat="1" outlineLevel="1">
      <c r="A110" s="33" t="s">
        <v>131</v>
      </c>
      <c r="B110" s="34">
        <f>COUNTA($B$1:B109)</f>
        <v>104</v>
      </c>
      <c r="C110" s="35" t="s">
        <v>953</v>
      </c>
      <c r="D110" s="35"/>
      <c r="E110" s="35"/>
      <c r="F110" s="34"/>
      <c r="G110" s="35" t="s">
        <v>133</v>
      </c>
      <c r="H110" s="35"/>
      <c r="I110" s="35" t="s">
        <v>55</v>
      </c>
      <c r="J110" s="35" t="s">
        <v>949</v>
      </c>
      <c r="K110" s="34">
        <v>0</v>
      </c>
      <c r="L110" s="35" t="s">
        <v>951</v>
      </c>
      <c r="M110" s="50" t="s">
        <v>268</v>
      </c>
      <c r="N110" s="35"/>
      <c r="O110" s="35"/>
      <c r="P110" s="35"/>
      <c r="Q110" s="35"/>
      <c r="R110" s="35"/>
      <c r="S110" s="35"/>
      <c r="T110" s="35"/>
      <c r="U110" s="35"/>
      <c r="V110" s="35"/>
      <c r="W110" s="35"/>
      <c r="X110" s="35"/>
      <c r="Y110" s="35"/>
      <c r="Z110" s="35"/>
    </row>
    <row r="111" spans="1:26" s="19" customFormat="1" outlineLevel="1">
      <c r="A111" s="33" t="s">
        <v>131</v>
      </c>
      <c r="B111" s="34">
        <f>COUNTA($B$1:B110)</f>
        <v>105</v>
      </c>
      <c r="C111" s="35" t="s">
        <v>67</v>
      </c>
      <c r="D111" s="35"/>
      <c r="E111" s="35"/>
      <c r="F111" s="34"/>
      <c r="G111" s="35" t="s">
        <v>133</v>
      </c>
      <c r="H111" s="35"/>
      <c r="I111" s="35"/>
      <c r="J111" s="35"/>
      <c r="K111" s="34"/>
      <c r="L111" s="35" t="s">
        <v>67</v>
      </c>
      <c r="M111" s="36">
        <v>2</v>
      </c>
      <c r="N111" s="35"/>
      <c r="O111" s="35"/>
      <c r="P111" s="35"/>
      <c r="Q111" s="35"/>
      <c r="R111" s="35"/>
      <c r="S111" s="35"/>
      <c r="T111" s="35"/>
      <c r="U111" s="35"/>
      <c r="V111" s="35"/>
      <c r="W111" s="35"/>
      <c r="X111" s="35"/>
      <c r="Y111" s="35"/>
      <c r="Z111" s="35"/>
    </row>
    <row r="112" spans="1:26">
      <c r="A112" s="33" t="s">
        <v>131</v>
      </c>
      <c r="B112" s="34">
        <f>COUNTA($B$1:B111)</f>
        <v>106</v>
      </c>
      <c r="C112" s="35" t="s">
        <v>262</v>
      </c>
      <c r="D112" s="35"/>
      <c r="E112" s="35"/>
      <c r="F112" s="34"/>
      <c r="G112" s="35" t="s">
        <v>133</v>
      </c>
      <c r="H112" s="35"/>
      <c r="I112" s="35"/>
      <c r="J112" s="35"/>
      <c r="K112" s="34">
        <v>0</v>
      </c>
      <c r="L112" s="35" t="s">
        <v>96</v>
      </c>
      <c r="M112" s="35"/>
      <c r="N112" s="35"/>
      <c r="O112" s="35"/>
      <c r="P112" s="35"/>
      <c r="Q112" s="35"/>
      <c r="R112" s="52"/>
      <c r="S112" s="35"/>
      <c r="T112" s="35"/>
      <c r="U112" s="35"/>
      <c r="V112" s="35"/>
      <c r="W112" s="35"/>
      <c r="X112" s="35"/>
      <c r="Y112" s="35"/>
      <c r="Z112" s="35"/>
    </row>
    <row r="113" spans="1:26">
      <c r="A113" s="33" t="s">
        <v>131</v>
      </c>
      <c r="B113" s="34">
        <f>COUNTA($B$1:B112)</f>
        <v>107</v>
      </c>
      <c r="C113" s="35" t="s">
        <v>67</v>
      </c>
      <c r="D113" s="35"/>
      <c r="E113" s="35"/>
      <c r="F113" s="34"/>
      <c r="G113" s="35" t="s">
        <v>133</v>
      </c>
      <c r="H113" s="35"/>
      <c r="I113" s="35"/>
      <c r="J113" s="35"/>
      <c r="K113" s="34"/>
      <c r="L113" s="35" t="s">
        <v>67</v>
      </c>
      <c r="M113" s="36">
        <v>10</v>
      </c>
      <c r="N113" s="35"/>
      <c r="O113" s="35"/>
      <c r="P113" s="35"/>
      <c r="Q113" s="35"/>
      <c r="R113" s="36"/>
      <c r="S113" s="35"/>
      <c r="T113" s="35"/>
      <c r="U113" s="35"/>
      <c r="V113" s="35"/>
      <c r="W113" s="35"/>
      <c r="X113" s="35"/>
      <c r="Y113" s="35"/>
      <c r="Z113" s="35"/>
    </row>
    <row r="114" spans="1:26">
      <c r="A114" s="30" t="s">
        <v>269</v>
      </c>
      <c r="B114" s="31"/>
      <c r="C114" s="31"/>
      <c r="D114" s="32"/>
      <c r="E114" s="32"/>
      <c r="F114" s="31"/>
      <c r="G114" s="32"/>
      <c r="H114" s="32"/>
      <c r="I114" s="32"/>
      <c r="J114" s="32"/>
      <c r="K114" s="31"/>
      <c r="L114" s="32"/>
      <c r="M114" s="32"/>
      <c r="N114" s="32"/>
      <c r="O114" s="32"/>
      <c r="P114" s="32"/>
      <c r="Q114" s="32"/>
      <c r="R114" s="32"/>
      <c r="S114" s="32"/>
      <c r="T114" s="32"/>
      <c r="U114" s="32"/>
      <c r="V114" s="32"/>
      <c r="W114" s="32"/>
      <c r="X114" s="32"/>
      <c r="Y114" s="32"/>
      <c r="Z114" s="32"/>
    </row>
    <row r="115" spans="1:26">
      <c r="A115" s="33" t="s">
        <v>131</v>
      </c>
      <c r="B115" s="34">
        <f>COUNTA($B$1:B114)</f>
        <v>108</v>
      </c>
      <c r="C115" s="35" t="s">
        <v>270</v>
      </c>
      <c r="D115" s="35"/>
      <c r="E115" s="35"/>
      <c r="F115" s="34"/>
      <c r="G115" s="35" t="s">
        <v>133</v>
      </c>
      <c r="H115" s="35"/>
      <c r="I115" s="35" t="s">
        <v>55</v>
      </c>
      <c r="J115" s="35" t="s">
        <v>271</v>
      </c>
      <c r="K115" s="34">
        <v>0</v>
      </c>
      <c r="L115" s="35" t="s">
        <v>272</v>
      </c>
      <c r="M115" s="35"/>
      <c r="N115" s="35"/>
      <c r="O115" s="35"/>
      <c r="P115" s="35"/>
      <c r="Q115" s="35"/>
      <c r="R115" s="52"/>
      <c r="S115" s="35"/>
      <c r="T115" s="35"/>
      <c r="U115" s="35"/>
      <c r="V115" s="35"/>
      <c r="W115" s="35"/>
      <c r="X115" s="35"/>
      <c r="Y115" s="35"/>
      <c r="Z115" s="35"/>
    </row>
    <row r="116" spans="1:26">
      <c r="A116" s="33" t="s">
        <v>131</v>
      </c>
      <c r="B116" s="34">
        <f>COUNTA($B$1:B115)</f>
        <v>109</v>
      </c>
      <c r="C116" s="35" t="s">
        <v>67</v>
      </c>
      <c r="D116" s="35"/>
      <c r="E116" s="35"/>
      <c r="F116" s="34"/>
      <c r="G116" s="35" t="s">
        <v>133</v>
      </c>
      <c r="H116" s="35"/>
      <c r="I116" s="35"/>
      <c r="J116" s="35"/>
      <c r="K116" s="34"/>
      <c r="L116" s="35" t="s">
        <v>67</v>
      </c>
      <c r="M116" s="36">
        <v>2</v>
      </c>
      <c r="N116" s="35"/>
      <c r="O116" s="35"/>
      <c r="P116" s="35"/>
      <c r="Q116" s="35"/>
      <c r="R116" s="36"/>
      <c r="S116" s="35"/>
      <c r="T116" s="35"/>
      <c r="U116" s="35"/>
      <c r="V116" s="35"/>
      <c r="W116" s="35"/>
      <c r="X116" s="35"/>
      <c r="Y116" s="35"/>
      <c r="Z116" s="35"/>
    </row>
    <row r="117" spans="1:26">
      <c r="A117" s="33" t="s">
        <v>131</v>
      </c>
      <c r="B117" s="34">
        <f>COUNTA($B$1:B116)</f>
        <v>110</v>
      </c>
      <c r="C117" s="35" t="s">
        <v>148</v>
      </c>
      <c r="D117" s="35"/>
      <c r="E117" s="35"/>
      <c r="F117" s="34"/>
      <c r="G117" s="35" t="s">
        <v>133</v>
      </c>
      <c r="H117" s="35"/>
      <c r="I117" s="35" t="s">
        <v>55</v>
      </c>
      <c r="J117" s="35" t="s">
        <v>273</v>
      </c>
      <c r="K117" s="34">
        <v>0</v>
      </c>
      <c r="L117" s="35" t="s">
        <v>34</v>
      </c>
      <c r="M117" s="35"/>
      <c r="N117" s="35"/>
      <c r="O117" s="35"/>
      <c r="P117" s="35"/>
      <c r="Q117" s="35"/>
      <c r="R117" s="35"/>
      <c r="S117" s="35"/>
      <c r="T117" s="35"/>
      <c r="U117" s="35"/>
      <c r="V117" s="35"/>
      <c r="W117" s="35"/>
      <c r="X117" s="35"/>
      <c r="Y117" s="35"/>
      <c r="Z117" s="35"/>
    </row>
    <row r="118" spans="1:26">
      <c r="A118" s="33" t="s">
        <v>131</v>
      </c>
      <c r="B118" s="34">
        <f>COUNTA($B$1:B117)</f>
        <v>111</v>
      </c>
      <c r="C118" s="35" t="s">
        <v>67</v>
      </c>
      <c r="D118" s="35"/>
      <c r="E118" s="35"/>
      <c r="F118" s="34"/>
      <c r="G118" s="35" t="s">
        <v>133</v>
      </c>
      <c r="H118" s="35"/>
      <c r="I118" s="35"/>
      <c r="J118" s="35"/>
      <c r="K118" s="34"/>
      <c r="L118" s="35" t="s">
        <v>67</v>
      </c>
      <c r="M118" s="36">
        <v>2</v>
      </c>
      <c r="N118" s="35"/>
      <c r="O118" s="35"/>
      <c r="P118" s="35"/>
      <c r="Q118" s="35"/>
      <c r="R118" s="35"/>
      <c r="S118" s="35"/>
      <c r="T118" s="35"/>
      <c r="U118" s="35"/>
      <c r="V118" s="35"/>
      <c r="W118" s="35"/>
      <c r="X118" s="35"/>
      <c r="Y118" s="35"/>
      <c r="Z118" s="35"/>
    </row>
    <row r="119" spans="1:26">
      <c r="A119" s="33" t="s">
        <v>131</v>
      </c>
      <c r="B119" s="34">
        <f>COUNTA($B$1:B118)</f>
        <v>112</v>
      </c>
      <c r="C119" s="35" t="s">
        <v>150</v>
      </c>
      <c r="D119" s="35"/>
      <c r="E119" s="35"/>
      <c r="F119" s="34"/>
      <c r="G119" s="35" t="s">
        <v>133</v>
      </c>
      <c r="H119" s="35"/>
      <c r="I119" s="35" t="s">
        <v>55</v>
      </c>
      <c r="J119" s="35" t="s">
        <v>273</v>
      </c>
      <c r="K119" s="34">
        <v>0</v>
      </c>
      <c r="L119" s="35" t="s">
        <v>151</v>
      </c>
      <c r="M119" s="50" t="s">
        <v>274</v>
      </c>
      <c r="N119" s="35"/>
      <c r="O119" s="35"/>
      <c r="P119" s="35"/>
      <c r="Q119" s="35"/>
      <c r="R119" s="35"/>
      <c r="S119" s="35"/>
      <c r="T119" s="35"/>
      <c r="U119" s="35"/>
      <c r="V119" s="35"/>
      <c r="W119" s="35"/>
      <c r="X119" s="35"/>
      <c r="Y119" s="35"/>
      <c r="Z119" s="35"/>
    </row>
    <row r="120" spans="1:26" s="17" customFormat="1">
      <c r="A120" s="33" t="s">
        <v>131</v>
      </c>
      <c r="B120" s="34">
        <f>COUNTA($B$1:B119)</f>
        <v>113</v>
      </c>
      <c r="C120" s="35" t="s">
        <v>67</v>
      </c>
      <c r="D120" s="35"/>
      <c r="E120" s="35"/>
      <c r="F120" s="34"/>
      <c r="G120" s="35" t="s">
        <v>133</v>
      </c>
      <c r="H120" s="35"/>
      <c r="I120" s="35"/>
      <c r="J120" s="35"/>
      <c r="K120" s="34"/>
      <c r="L120" s="35" t="s">
        <v>67</v>
      </c>
      <c r="M120" s="36">
        <v>2</v>
      </c>
      <c r="N120" s="35"/>
      <c r="O120" s="35"/>
      <c r="P120" s="35"/>
      <c r="Q120" s="35"/>
      <c r="R120" s="35"/>
      <c r="S120" s="35"/>
      <c r="T120" s="35"/>
      <c r="U120" s="35"/>
      <c r="V120" s="35"/>
      <c r="W120" s="35"/>
      <c r="X120" s="35"/>
      <c r="Y120" s="35"/>
      <c r="Z120" s="35"/>
    </row>
    <row r="121" spans="1:26" s="17" customFormat="1">
      <c r="A121" s="33" t="s">
        <v>131</v>
      </c>
      <c r="B121" s="34">
        <f>COUNTA($B$1:B120)</f>
        <v>114</v>
      </c>
      <c r="C121" s="35" t="s">
        <v>148</v>
      </c>
      <c r="D121" s="35"/>
      <c r="E121" s="35"/>
      <c r="F121" s="42"/>
      <c r="G121" s="35" t="s">
        <v>133</v>
      </c>
      <c r="H121" s="35"/>
      <c r="I121" s="35" t="s">
        <v>55</v>
      </c>
      <c r="J121" s="35" t="str">
        <f>"//a[contains(.,'"&amp;M119&amp;"')]"</f>
        <v>//a[contains(.,'Destination1')]</v>
      </c>
      <c r="K121" s="34">
        <v>0</v>
      </c>
      <c r="L121" s="35" t="s">
        <v>147</v>
      </c>
      <c r="M121" s="35"/>
      <c r="N121" s="35"/>
      <c r="O121" s="35"/>
      <c r="P121" s="35"/>
      <c r="Q121" s="35"/>
      <c r="R121" s="35"/>
      <c r="S121" s="35"/>
      <c r="T121" s="35"/>
      <c r="U121" s="35"/>
      <c r="V121" s="35"/>
      <c r="W121" s="35"/>
      <c r="X121" s="35"/>
      <c r="Y121" s="35"/>
      <c r="Z121" s="35"/>
    </row>
    <row r="122" spans="1:26" s="17" customFormat="1">
      <c r="A122" s="33" t="s">
        <v>131</v>
      </c>
      <c r="B122" s="34">
        <f>COUNTA($B$1:B121)</f>
        <v>115</v>
      </c>
      <c r="C122" s="35" t="s">
        <v>153</v>
      </c>
      <c r="D122" s="51"/>
      <c r="E122" s="52" t="s">
        <v>154</v>
      </c>
      <c r="F122" s="38"/>
      <c r="G122" s="35" t="s">
        <v>133</v>
      </c>
      <c r="H122" s="35"/>
      <c r="I122" s="35" t="s">
        <v>55</v>
      </c>
      <c r="J122" s="35" t="s">
        <v>81</v>
      </c>
      <c r="K122" s="34">
        <v>0</v>
      </c>
      <c r="L122" s="35" t="s">
        <v>0</v>
      </c>
      <c r="M122" s="50" t="s">
        <v>275</v>
      </c>
      <c r="N122" s="35"/>
      <c r="O122" s="35"/>
      <c r="P122" s="35"/>
      <c r="Q122" s="35"/>
      <c r="R122" s="35"/>
      <c r="S122" s="52"/>
      <c r="T122" s="35"/>
      <c r="U122" s="35"/>
      <c r="V122" s="35"/>
      <c r="W122" s="35"/>
      <c r="X122" s="52"/>
      <c r="Y122" s="52"/>
      <c r="Z122" s="52"/>
    </row>
    <row r="123" spans="1:26" s="17" customFormat="1">
      <c r="A123" s="33" t="s">
        <v>131</v>
      </c>
      <c r="B123" s="34">
        <f>COUNTA($B$1:B122)</f>
        <v>116</v>
      </c>
      <c r="C123" s="35" t="s">
        <v>156</v>
      </c>
      <c r="D123" s="51"/>
      <c r="E123" s="52" t="s">
        <v>154</v>
      </c>
      <c r="F123" s="38"/>
      <c r="G123" s="35" t="s">
        <v>133</v>
      </c>
      <c r="H123" s="35"/>
      <c r="I123" s="35" t="s">
        <v>55</v>
      </c>
      <c r="J123" s="35" t="s">
        <v>82</v>
      </c>
      <c r="K123" s="34">
        <v>0</v>
      </c>
      <c r="L123" s="35" t="s">
        <v>0</v>
      </c>
      <c r="M123" s="50" t="s">
        <v>276</v>
      </c>
      <c r="N123" s="35"/>
      <c r="O123" s="35"/>
      <c r="P123" s="35"/>
      <c r="Q123" s="35"/>
      <c r="R123" s="35"/>
      <c r="S123" s="52"/>
      <c r="T123" s="35"/>
      <c r="U123" s="35"/>
      <c r="V123" s="35"/>
      <c r="W123" s="35"/>
      <c r="X123" s="52"/>
      <c r="Y123" s="52"/>
      <c r="Z123" s="52"/>
    </row>
    <row r="124" spans="1:26" s="17" customFormat="1">
      <c r="A124" s="33" t="s">
        <v>131</v>
      </c>
      <c r="B124" s="34">
        <f>COUNTA($B$1:B123)</f>
        <v>117</v>
      </c>
      <c r="C124" s="35" t="s">
        <v>158</v>
      </c>
      <c r="D124" s="51"/>
      <c r="E124" s="52" t="s">
        <v>154</v>
      </c>
      <c r="F124" s="38"/>
      <c r="G124" s="35" t="s">
        <v>133</v>
      </c>
      <c r="H124" s="35"/>
      <c r="I124" s="35" t="s">
        <v>55</v>
      </c>
      <c r="J124" s="35" t="s">
        <v>159</v>
      </c>
      <c r="K124" s="34">
        <v>0</v>
      </c>
      <c r="L124" s="35" t="s">
        <v>0</v>
      </c>
      <c r="M124" s="50" t="s">
        <v>160</v>
      </c>
      <c r="N124" s="35"/>
      <c r="O124" s="35"/>
      <c r="P124" s="35"/>
      <c r="Q124" s="35"/>
      <c r="R124" s="35"/>
      <c r="S124" s="52"/>
      <c r="T124" s="35"/>
      <c r="U124" s="35"/>
      <c r="V124" s="35"/>
      <c r="W124" s="35"/>
      <c r="X124" s="52"/>
      <c r="Y124" s="52"/>
      <c r="Z124" s="52"/>
    </row>
    <row r="125" spans="1:26" s="17" customFormat="1">
      <c r="A125" s="33" t="s">
        <v>131</v>
      </c>
      <c r="B125" s="34">
        <f>COUNTA($B$1:B124)</f>
        <v>118</v>
      </c>
      <c r="C125" s="35" t="s">
        <v>161</v>
      </c>
      <c r="D125" s="35"/>
      <c r="E125" s="35"/>
      <c r="F125" s="34"/>
      <c r="G125" s="35" t="s">
        <v>133</v>
      </c>
      <c r="H125" s="35"/>
      <c r="I125" s="35" t="s">
        <v>55</v>
      </c>
      <c r="J125" s="35" t="s">
        <v>277</v>
      </c>
      <c r="K125" s="34">
        <v>0</v>
      </c>
      <c r="L125" s="35" t="s">
        <v>34</v>
      </c>
      <c r="M125" s="35"/>
      <c r="N125" s="35"/>
      <c r="O125" s="35"/>
      <c r="P125" s="35"/>
      <c r="Q125" s="35"/>
      <c r="R125" s="35"/>
      <c r="S125" s="35"/>
      <c r="T125" s="35"/>
      <c r="U125" s="35"/>
      <c r="V125" s="35"/>
      <c r="W125" s="35"/>
      <c r="X125" s="35"/>
      <c r="Y125" s="35"/>
      <c r="Z125" s="35"/>
    </row>
    <row r="126" spans="1:26" s="17" customFormat="1">
      <c r="A126" s="33" t="s">
        <v>131</v>
      </c>
      <c r="B126" s="34">
        <f>COUNTA($B$1:B125)</f>
        <v>119</v>
      </c>
      <c r="C126" s="35" t="s">
        <v>67</v>
      </c>
      <c r="D126" s="35"/>
      <c r="E126" s="35"/>
      <c r="F126" s="34"/>
      <c r="G126" s="35" t="s">
        <v>133</v>
      </c>
      <c r="H126" s="35"/>
      <c r="I126" s="35"/>
      <c r="J126" s="35"/>
      <c r="K126" s="34"/>
      <c r="L126" s="35" t="s">
        <v>67</v>
      </c>
      <c r="M126" s="36">
        <v>2</v>
      </c>
      <c r="N126" s="35"/>
      <c r="O126" s="35"/>
      <c r="P126" s="35"/>
      <c r="Q126" s="35"/>
      <c r="R126" s="35"/>
      <c r="S126" s="35"/>
      <c r="T126" s="35"/>
      <c r="U126" s="35"/>
      <c r="V126" s="35"/>
      <c r="W126" s="35"/>
      <c r="X126" s="35"/>
      <c r="Y126" s="35"/>
      <c r="Z126" s="35"/>
    </row>
    <row r="127" spans="1:26" s="17" customFormat="1">
      <c r="A127" s="33" t="s">
        <v>131</v>
      </c>
      <c r="B127" s="34">
        <f>COUNTA($B$1:B126)</f>
        <v>120</v>
      </c>
      <c r="C127" s="35" t="s">
        <v>163</v>
      </c>
      <c r="D127" s="35"/>
      <c r="E127" s="35"/>
      <c r="F127" s="34"/>
      <c r="G127" s="35" t="s">
        <v>133</v>
      </c>
      <c r="H127" s="35"/>
      <c r="I127" s="35" t="s">
        <v>55</v>
      </c>
      <c r="J127" s="35" t="s">
        <v>277</v>
      </c>
      <c r="K127" s="34">
        <v>0</v>
      </c>
      <c r="L127" s="35" t="s">
        <v>151</v>
      </c>
      <c r="M127" s="50" t="s">
        <v>278</v>
      </c>
      <c r="N127" s="35"/>
      <c r="O127" s="35"/>
      <c r="P127" s="35"/>
      <c r="Q127" s="35"/>
      <c r="R127" s="35"/>
      <c r="S127" s="35"/>
      <c r="T127" s="35"/>
      <c r="U127" s="35"/>
      <c r="V127" s="35"/>
      <c r="W127" s="35"/>
      <c r="X127" s="35"/>
      <c r="Y127" s="35"/>
      <c r="Z127" s="35"/>
    </row>
    <row r="128" spans="1:26" s="17" customFormat="1">
      <c r="A128" s="33" t="s">
        <v>131</v>
      </c>
      <c r="B128" s="34">
        <f>COUNTA($B$1:B127)</f>
        <v>121</v>
      </c>
      <c r="C128" s="35" t="s">
        <v>67</v>
      </c>
      <c r="D128" s="35"/>
      <c r="E128" s="35"/>
      <c r="F128" s="34"/>
      <c r="G128" s="35" t="s">
        <v>133</v>
      </c>
      <c r="H128" s="35"/>
      <c r="I128" s="35"/>
      <c r="J128" s="35"/>
      <c r="K128" s="34"/>
      <c r="L128" s="35" t="s">
        <v>67</v>
      </c>
      <c r="M128" s="36">
        <v>2</v>
      </c>
      <c r="N128" s="35"/>
      <c r="O128" s="35"/>
      <c r="P128" s="35"/>
      <c r="Q128" s="35"/>
      <c r="R128" s="35"/>
      <c r="S128" s="35"/>
      <c r="T128" s="35"/>
      <c r="U128" s="35"/>
      <c r="V128" s="35"/>
      <c r="W128" s="35"/>
      <c r="X128" s="35"/>
      <c r="Y128" s="35"/>
      <c r="Z128" s="35"/>
    </row>
    <row r="129" spans="1:26" s="17" customFormat="1">
      <c r="A129" s="33" t="s">
        <v>131</v>
      </c>
      <c r="B129" s="34">
        <f>COUNTA($B$1:B128)</f>
        <v>122</v>
      </c>
      <c r="C129" s="35" t="s">
        <v>148</v>
      </c>
      <c r="D129" s="35"/>
      <c r="E129" s="35"/>
      <c r="F129" s="42"/>
      <c r="G129" s="35" t="s">
        <v>133</v>
      </c>
      <c r="H129" s="35"/>
      <c r="I129" s="35" t="s">
        <v>55</v>
      </c>
      <c r="J129" s="35" t="str">
        <f>"//a[contains(.,'"&amp;M127&amp;"')]"</f>
        <v>//a[contains(.,'Residence1')]</v>
      </c>
      <c r="K129" s="34">
        <v>0</v>
      </c>
      <c r="L129" s="35" t="s">
        <v>147</v>
      </c>
      <c r="M129" s="35"/>
      <c r="N129" s="35"/>
      <c r="O129" s="35"/>
      <c r="P129" s="35"/>
      <c r="Q129" s="35"/>
      <c r="R129" s="35"/>
      <c r="S129" s="35"/>
      <c r="T129" s="35"/>
      <c r="U129" s="35"/>
      <c r="V129" s="35"/>
      <c r="W129" s="35"/>
      <c r="X129" s="35"/>
      <c r="Y129" s="35"/>
      <c r="Z129" s="35"/>
    </row>
    <row r="130" spans="1:26" s="17" customFormat="1">
      <c r="A130" s="33" t="s">
        <v>131</v>
      </c>
      <c r="B130" s="34">
        <f>COUNTA($B$1:B129)</f>
        <v>123</v>
      </c>
      <c r="C130" s="35" t="s">
        <v>171</v>
      </c>
      <c r="D130" s="51"/>
      <c r="E130" s="52" t="s">
        <v>154</v>
      </c>
      <c r="F130" s="38"/>
      <c r="G130" s="35" t="s">
        <v>133</v>
      </c>
      <c r="H130" s="35"/>
      <c r="I130" s="35" t="s">
        <v>55</v>
      </c>
      <c r="J130" s="35" t="s">
        <v>108</v>
      </c>
      <c r="K130" s="34">
        <v>0</v>
      </c>
      <c r="L130" s="35" t="s">
        <v>147</v>
      </c>
      <c r="M130" s="35"/>
      <c r="N130" s="35"/>
      <c r="O130" s="35"/>
      <c r="P130" s="35"/>
      <c r="Q130" s="35"/>
      <c r="R130" s="35"/>
      <c r="S130" s="52"/>
      <c r="T130" s="35"/>
      <c r="U130" s="35"/>
      <c r="V130" s="35"/>
      <c r="W130" s="35"/>
      <c r="X130" s="52"/>
      <c r="Y130" s="52"/>
      <c r="Z130" s="52"/>
    </row>
    <row r="131" spans="1:26" s="17" customFormat="1">
      <c r="A131" s="33" t="s">
        <v>131</v>
      </c>
      <c r="B131" s="34">
        <f>COUNTA($B$1:B130)</f>
        <v>124</v>
      </c>
      <c r="C131" s="35" t="s">
        <v>172</v>
      </c>
      <c r="D131" s="51"/>
      <c r="E131" s="52" t="s">
        <v>154</v>
      </c>
      <c r="F131" s="38"/>
      <c r="G131" s="35" t="s">
        <v>133</v>
      </c>
      <c r="H131" s="35"/>
      <c r="I131" s="35" t="s">
        <v>55</v>
      </c>
      <c r="J131" s="35" t="s">
        <v>173</v>
      </c>
      <c r="K131" s="34">
        <v>0</v>
      </c>
      <c r="L131" s="35" t="s">
        <v>0</v>
      </c>
      <c r="M131" s="50" t="s">
        <v>174</v>
      </c>
      <c r="N131" s="35"/>
      <c r="O131" s="35"/>
      <c r="P131" s="35"/>
      <c r="Q131" s="35"/>
      <c r="R131" s="35"/>
      <c r="S131" s="52"/>
      <c r="T131" s="35"/>
      <c r="U131" s="35"/>
      <c r="V131" s="35"/>
      <c r="W131" s="35"/>
      <c r="X131" s="52"/>
      <c r="Y131" s="52"/>
      <c r="Z131" s="52"/>
    </row>
    <row r="132" spans="1:26" s="17" customFormat="1">
      <c r="A132" s="33" t="s">
        <v>131</v>
      </c>
      <c r="B132" s="34">
        <f>COUNTA($B$1:B131)</f>
        <v>125</v>
      </c>
      <c r="C132" s="35" t="s">
        <v>175</v>
      </c>
      <c r="D132" s="51"/>
      <c r="E132" s="52" t="s">
        <v>154</v>
      </c>
      <c r="F132" s="38"/>
      <c r="G132" s="35" t="s">
        <v>133</v>
      </c>
      <c r="H132" s="35"/>
      <c r="I132" s="35" t="s">
        <v>55</v>
      </c>
      <c r="J132" s="35" t="s">
        <v>169</v>
      </c>
      <c r="K132" s="34">
        <v>0</v>
      </c>
      <c r="L132" s="35" t="s">
        <v>0</v>
      </c>
      <c r="M132" s="50" t="s">
        <v>177</v>
      </c>
      <c r="N132" s="35"/>
      <c r="O132" s="35"/>
      <c r="P132" s="35"/>
      <c r="Q132" s="35"/>
      <c r="R132" s="35"/>
      <c r="S132" s="52"/>
      <c r="T132" s="35"/>
      <c r="U132" s="35"/>
      <c r="V132" s="35"/>
      <c r="W132" s="35"/>
      <c r="X132" s="52"/>
      <c r="Y132" s="52"/>
      <c r="Z132" s="52"/>
    </row>
    <row r="133" spans="1:26" s="17" customFormat="1">
      <c r="A133" s="53" t="str">
        <f>A132</f>
        <v>bln677971</v>
      </c>
      <c r="B133" s="34">
        <f>COUNTA($B$1:B132)</f>
        <v>126</v>
      </c>
      <c r="C133" s="35" t="s">
        <v>279</v>
      </c>
      <c r="D133" s="51"/>
      <c r="E133" s="52" t="s">
        <v>154</v>
      </c>
      <c r="F133" s="38"/>
      <c r="G133" s="35" t="s">
        <v>133</v>
      </c>
      <c r="H133" s="35"/>
      <c r="I133" s="35" t="s">
        <v>55</v>
      </c>
      <c r="J133" s="35" t="s">
        <v>176</v>
      </c>
      <c r="K133" s="34">
        <v>0</v>
      </c>
      <c r="L133" s="35" t="s">
        <v>0</v>
      </c>
      <c r="M133" s="50" t="s">
        <v>183</v>
      </c>
      <c r="N133" s="35"/>
      <c r="O133" s="35"/>
      <c r="P133" s="35"/>
      <c r="Q133" s="35"/>
      <c r="R133" s="35"/>
      <c r="S133" s="52"/>
      <c r="T133" s="35"/>
      <c r="U133" s="35"/>
      <c r="V133" s="35"/>
      <c r="W133" s="35"/>
      <c r="X133" s="52"/>
      <c r="Y133" s="52"/>
      <c r="Z133" s="52"/>
    </row>
    <row r="134" spans="1:26" s="17" customFormat="1">
      <c r="A134" s="33" t="s">
        <v>131</v>
      </c>
      <c r="B134" s="34">
        <f>COUNTA($B$1:B133)</f>
        <v>127</v>
      </c>
      <c r="C134" s="35" t="s">
        <v>67</v>
      </c>
      <c r="D134" s="35"/>
      <c r="E134" s="35"/>
      <c r="F134" s="34"/>
      <c r="G134" s="35" t="s">
        <v>133</v>
      </c>
      <c r="H134" s="35"/>
      <c r="I134" s="35"/>
      <c r="J134" s="35"/>
      <c r="K134" s="34"/>
      <c r="L134" s="35" t="s">
        <v>67</v>
      </c>
      <c r="M134" s="36">
        <v>2</v>
      </c>
      <c r="N134" s="35"/>
      <c r="O134" s="35"/>
      <c r="P134" s="35"/>
      <c r="Q134" s="35"/>
      <c r="R134" s="36"/>
      <c r="S134" s="35"/>
      <c r="T134" s="35"/>
      <c r="U134" s="35"/>
      <c r="V134" s="35"/>
      <c r="W134" s="35"/>
      <c r="X134" s="35"/>
      <c r="Y134" s="35"/>
      <c r="Z134" s="35"/>
    </row>
    <row r="135" spans="1:26" s="17" customFormat="1">
      <c r="A135" s="33" t="s">
        <v>131</v>
      </c>
      <c r="B135" s="34">
        <f>COUNTA($B$1:B134)</f>
        <v>128</v>
      </c>
      <c r="C135" s="35" t="s">
        <v>190</v>
      </c>
      <c r="D135" s="35"/>
      <c r="E135" s="35"/>
      <c r="F135" s="34"/>
      <c r="G135" s="35" t="s">
        <v>133</v>
      </c>
      <c r="H135" s="35"/>
      <c r="I135" s="35" t="s">
        <v>55</v>
      </c>
      <c r="J135" s="35" t="s">
        <v>87</v>
      </c>
      <c r="K135" s="34">
        <v>0</v>
      </c>
      <c r="L135" s="35" t="s">
        <v>147</v>
      </c>
      <c r="M135" s="36"/>
      <c r="N135" s="35"/>
      <c r="O135" s="35"/>
      <c r="P135" s="35"/>
      <c r="Q135" s="35"/>
      <c r="R135" s="35"/>
      <c r="S135" s="35"/>
      <c r="T135" s="35"/>
      <c r="U135" s="35"/>
      <c r="V135" s="35"/>
      <c r="W135" s="35"/>
      <c r="X135" s="35"/>
      <c r="Y135" s="35"/>
      <c r="Z135" s="35"/>
    </row>
    <row r="136" spans="1:26" s="17" customFormat="1">
      <c r="A136" s="33" t="s">
        <v>131</v>
      </c>
      <c r="B136" s="34">
        <f>COUNTA($B$1:B135)</f>
        <v>129</v>
      </c>
      <c r="C136" s="35" t="s">
        <v>67</v>
      </c>
      <c r="D136" s="35"/>
      <c r="E136" s="35"/>
      <c r="F136" s="34"/>
      <c r="G136" s="35" t="s">
        <v>133</v>
      </c>
      <c r="H136" s="35"/>
      <c r="I136" s="35"/>
      <c r="J136" s="35"/>
      <c r="K136" s="34"/>
      <c r="L136" s="35" t="s">
        <v>67</v>
      </c>
      <c r="M136" s="36">
        <v>10</v>
      </c>
      <c r="N136" s="35"/>
      <c r="O136" s="35"/>
      <c r="P136" s="35"/>
      <c r="Q136" s="35"/>
      <c r="R136" s="36"/>
      <c r="S136" s="35"/>
      <c r="T136" s="35"/>
      <c r="U136" s="35"/>
      <c r="V136" s="35"/>
      <c r="W136" s="35"/>
      <c r="X136" s="35"/>
      <c r="Y136" s="35"/>
      <c r="Z136" s="35"/>
    </row>
    <row r="137" spans="1:26" s="17" customFormat="1">
      <c r="A137" s="30" t="s">
        <v>191</v>
      </c>
      <c r="B137" s="31"/>
      <c r="C137" s="31"/>
      <c r="D137" s="32"/>
      <c r="E137" s="32"/>
      <c r="F137" s="31"/>
      <c r="G137" s="32"/>
      <c r="H137" s="32"/>
      <c r="I137" s="32"/>
      <c r="J137" s="32"/>
      <c r="K137" s="31"/>
      <c r="L137" s="32"/>
      <c r="M137" s="32"/>
      <c r="N137" s="32"/>
      <c r="O137" s="32"/>
      <c r="P137" s="32"/>
      <c r="Q137" s="32"/>
      <c r="R137" s="32"/>
      <c r="S137" s="32"/>
      <c r="T137" s="32"/>
      <c r="U137" s="32"/>
      <c r="V137" s="32"/>
      <c r="W137" s="32"/>
      <c r="X137" s="32"/>
      <c r="Y137" s="32"/>
      <c r="Z137" s="32"/>
    </row>
    <row r="138" spans="1:26" s="17" customFormat="1">
      <c r="A138" s="45" t="s">
        <v>131</v>
      </c>
      <c r="B138" s="34">
        <f>COUNTA($B$1:B137)</f>
        <v>130</v>
      </c>
      <c r="C138" s="46" t="s">
        <v>140</v>
      </c>
      <c r="D138" s="46"/>
      <c r="E138" s="46"/>
      <c r="F138" s="47"/>
      <c r="G138" s="46" t="s">
        <v>133</v>
      </c>
      <c r="H138" s="46"/>
      <c r="I138" s="46" t="s">
        <v>55</v>
      </c>
      <c r="J138" s="46" t="s">
        <v>141</v>
      </c>
      <c r="K138" s="47"/>
      <c r="L138" s="46" t="s">
        <v>142</v>
      </c>
      <c r="M138" s="48"/>
      <c r="N138" s="46"/>
      <c r="O138" s="46" t="s">
        <v>2</v>
      </c>
      <c r="P138" s="46"/>
      <c r="Q138" s="46"/>
      <c r="R138" s="49"/>
      <c r="S138" s="46"/>
      <c r="T138" s="46"/>
      <c r="U138" s="46"/>
      <c r="V138" s="46"/>
      <c r="W138" s="46"/>
      <c r="X138" s="46"/>
      <c r="Y138" s="46"/>
      <c r="Z138" s="46"/>
    </row>
    <row r="139" spans="1:26" s="17" customFormat="1">
      <c r="A139" s="45" t="s">
        <v>131</v>
      </c>
      <c r="B139" s="34">
        <f>COUNTA($B$1:B138)</f>
        <v>131</v>
      </c>
      <c r="C139" s="46" t="s">
        <v>143</v>
      </c>
      <c r="D139" s="46"/>
      <c r="E139" s="46"/>
      <c r="F139" s="47"/>
      <c r="G139" s="46" t="s">
        <v>133</v>
      </c>
      <c r="H139" s="46"/>
      <c r="I139" s="46" t="s">
        <v>55</v>
      </c>
      <c r="J139" s="46" t="s">
        <v>141</v>
      </c>
      <c r="K139" s="47"/>
      <c r="L139" s="46" t="s">
        <v>98</v>
      </c>
      <c r="M139" s="48"/>
      <c r="N139" s="46" t="s">
        <v>99</v>
      </c>
      <c r="O139" s="46" t="s">
        <v>2</v>
      </c>
      <c r="P139" s="46"/>
      <c r="Q139" s="46"/>
      <c r="R139" s="49" t="s">
        <v>144</v>
      </c>
      <c r="S139" s="46"/>
      <c r="T139" s="46"/>
      <c r="U139" s="46"/>
      <c r="V139" s="46"/>
      <c r="W139" s="46"/>
      <c r="X139" s="46"/>
      <c r="Y139" s="46"/>
      <c r="Z139" s="46"/>
    </row>
    <row r="140" spans="1:26" s="17" customFormat="1">
      <c r="A140" s="45" t="s">
        <v>131</v>
      </c>
      <c r="B140" s="34">
        <f>COUNTA($B$1:B139)</f>
        <v>132</v>
      </c>
      <c r="C140" s="46" t="s">
        <v>145</v>
      </c>
      <c r="D140" s="46"/>
      <c r="E140" s="46"/>
      <c r="F140" s="47"/>
      <c r="G140" s="46" t="s">
        <v>133</v>
      </c>
      <c r="H140" s="46"/>
      <c r="I140" s="46" t="s">
        <v>55</v>
      </c>
      <c r="J140" s="46" t="s">
        <v>146</v>
      </c>
      <c r="K140" s="47"/>
      <c r="L140" s="46" t="s">
        <v>147</v>
      </c>
      <c r="M140" s="48"/>
      <c r="N140" s="46"/>
      <c r="O140" s="46" t="s">
        <v>2</v>
      </c>
      <c r="P140" s="46"/>
      <c r="Q140" s="46"/>
      <c r="R140" s="48"/>
      <c r="S140" s="46"/>
      <c r="T140" s="46"/>
      <c r="U140" s="46"/>
      <c r="V140" s="46"/>
      <c r="W140" s="46"/>
      <c r="X140" s="46"/>
      <c r="Y140" s="46"/>
      <c r="Z140" s="46"/>
    </row>
    <row r="141" spans="1:26" s="213" customFormat="1">
      <c r="A141" s="208" t="str">
        <f>IF(OR(Global!B2="QA"),"bln677971","N")</f>
        <v>N</v>
      </c>
      <c r="B141" s="209">
        <f>COUNTA($B$1:B140)</f>
        <v>133</v>
      </c>
      <c r="C141" s="210" t="s">
        <v>939</v>
      </c>
      <c r="D141" s="211"/>
      <c r="E141" s="212"/>
      <c r="F141" s="209"/>
      <c r="G141" s="210" t="s">
        <v>133</v>
      </c>
      <c r="H141" s="210"/>
      <c r="I141" s="210" t="s">
        <v>55</v>
      </c>
      <c r="J141" s="210" t="s">
        <v>107</v>
      </c>
      <c r="K141" s="209">
        <v>1</v>
      </c>
      <c r="L141" s="210" t="s">
        <v>98</v>
      </c>
      <c r="M141" s="210"/>
      <c r="N141" s="210" t="s">
        <v>99</v>
      </c>
      <c r="O141" s="210"/>
      <c r="P141" s="210"/>
      <c r="Q141" s="210"/>
      <c r="R141" s="210" t="s">
        <v>302</v>
      </c>
      <c r="S141" s="212"/>
      <c r="T141" s="210" t="s">
        <v>2</v>
      </c>
      <c r="U141" s="210"/>
      <c r="V141" s="210"/>
      <c r="W141" s="210"/>
      <c r="X141" s="212"/>
      <c r="Y141" s="212"/>
      <c r="Z141" s="212"/>
    </row>
    <row r="142" spans="1:26" s="213" customFormat="1">
      <c r="A142" s="208" t="str">
        <f>IF(OR(Global!B2="PROD",Global!B2="UAT"),"bln677971","N")</f>
        <v>bln677971</v>
      </c>
      <c r="B142" s="209">
        <f>COUNTA($B$1:B141)</f>
        <v>134</v>
      </c>
      <c r="C142" s="210" t="s">
        <v>940</v>
      </c>
      <c r="D142" s="211"/>
      <c r="E142" s="212"/>
      <c r="F142" s="209"/>
      <c r="G142" s="210" t="s">
        <v>133</v>
      </c>
      <c r="H142" s="210"/>
      <c r="I142" s="210" t="s">
        <v>55</v>
      </c>
      <c r="J142" s="210" t="s">
        <v>107</v>
      </c>
      <c r="K142" s="209">
        <v>0</v>
      </c>
      <c r="L142" s="210" t="s">
        <v>98</v>
      </c>
      <c r="M142" s="210"/>
      <c r="N142" s="210" t="s">
        <v>99</v>
      </c>
      <c r="O142" s="210"/>
      <c r="P142" s="210"/>
      <c r="Q142" s="210"/>
      <c r="R142" s="210" t="s">
        <v>302</v>
      </c>
      <c r="S142" s="212"/>
      <c r="T142" s="210" t="s">
        <v>2</v>
      </c>
      <c r="U142" s="210"/>
      <c r="V142" s="210"/>
      <c r="W142" s="210"/>
      <c r="X142" s="212"/>
      <c r="Y142" s="212"/>
      <c r="Z142" s="212"/>
    </row>
    <row r="143" spans="1:26" s="213" customFormat="1">
      <c r="A143" s="208" t="s">
        <v>131</v>
      </c>
      <c r="B143" s="209">
        <f>COUNTA($B$1:B142)</f>
        <v>135</v>
      </c>
      <c r="C143" s="210" t="s">
        <v>895</v>
      </c>
      <c r="D143" s="210"/>
      <c r="E143" s="210"/>
      <c r="F143" s="209"/>
      <c r="G143" s="210" t="s">
        <v>133</v>
      </c>
      <c r="H143" s="210"/>
      <c r="I143" s="210" t="s">
        <v>55</v>
      </c>
      <c r="J143" s="210" t="s">
        <v>896</v>
      </c>
      <c r="K143" s="209">
        <v>0</v>
      </c>
      <c r="L143" s="210" t="s">
        <v>147</v>
      </c>
      <c r="M143" s="214"/>
      <c r="N143" s="210"/>
      <c r="O143" s="210"/>
      <c r="P143" s="210"/>
      <c r="Q143" s="210"/>
      <c r="R143" s="210"/>
      <c r="S143" s="210"/>
      <c r="T143" s="210"/>
      <c r="U143" s="210"/>
      <c r="V143" s="210"/>
      <c r="W143" s="210"/>
      <c r="X143" s="210"/>
      <c r="Y143" s="210"/>
      <c r="Z143" s="210"/>
    </row>
    <row r="144" spans="1:26" s="213" customFormat="1">
      <c r="A144" s="208" t="s">
        <v>131</v>
      </c>
      <c r="B144" s="209">
        <f>COUNTA($B$1:B143)</f>
        <v>136</v>
      </c>
      <c r="C144" s="210" t="s">
        <v>897</v>
      </c>
      <c r="D144" s="211"/>
      <c r="E144" s="212"/>
      <c r="F144" s="209"/>
      <c r="G144" s="210" t="s">
        <v>133</v>
      </c>
      <c r="H144" s="210"/>
      <c r="I144" s="210" t="s">
        <v>55</v>
      </c>
      <c r="J144" s="210" t="s">
        <v>898</v>
      </c>
      <c r="K144" s="209">
        <v>0</v>
      </c>
      <c r="L144" s="210" t="s">
        <v>98</v>
      </c>
      <c r="M144" s="210"/>
      <c r="N144" s="210" t="s">
        <v>99</v>
      </c>
      <c r="O144" s="210"/>
      <c r="P144" s="210"/>
      <c r="Q144" s="210"/>
      <c r="R144" s="210" t="str">
        <f>M119</f>
        <v>Destination1</v>
      </c>
      <c r="S144" s="212"/>
      <c r="T144" s="210" t="s">
        <v>2</v>
      </c>
      <c r="U144" s="210"/>
      <c r="V144" s="210"/>
      <c r="W144" s="210"/>
      <c r="X144" s="212"/>
      <c r="Y144" s="212"/>
      <c r="Z144" s="212"/>
    </row>
    <row r="145" spans="1:26" s="213" customFormat="1">
      <c r="A145" s="208" t="s">
        <v>131</v>
      </c>
      <c r="B145" s="209">
        <f>COUNTA($B$1:B144)</f>
        <v>137</v>
      </c>
      <c r="C145" s="210" t="s">
        <v>297</v>
      </c>
      <c r="D145" s="215"/>
      <c r="E145" s="212"/>
      <c r="F145" s="209"/>
      <c r="G145" s="210" t="s">
        <v>133</v>
      </c>
      <c r="H145" s="210"/>
      <c r="I145" s="210" t="s">
        <v>55</v>
      </c>
      <c r="J145" s="210" t="s">
        <v>298</v>
      </c>
      <c r="K145" s="209">
        <v>0</v>
      </c>
      <c r="L145" s="210" t="s">
        <v>98</v>
      </c>
      <c r="M145" s="214"/>
      <c r="N145" s="210" t="s">
        <v>99</v>
      </c>
      <c r="O145" s="210"/>
      <c r="P145" s="210"/>
      <c r="Q145" s="210"/>
      <c r="R145" s="210" t="str">
        <f>TEXT(M122,"mm/dd/yyyy")</f>
        <v>DepDateValid</v>
      </c>
      <c r="S145" s="210"/>
      <c r="T145" s="210" t="s">
        <v>2</v>
      </c>
      <c r="U145" s="210"/>
      <c r="V145" s="210"/>
      <c r="W145" s="210"/>
      <c r="X145" s="210"/>
      <c r="Y145" s="210"/>
      <c r="Z145" s="210"/>
    </row>
    <row r="146" spans="1:26" s="213" customFormat="1">
      <c r="A146" s="208" t="s">
        <v>131</v>
      </c>
      <c r="B146" s="209">
        <f>COUNTA($B$1:B145)</f>
        <v>138</v>
      </c>
      <c r="C146" s="210" t="s">
        <v>299</v>
      </c>
      <c r="D146" s="215"/>
      <c r="E146" s="212"/>
      <c r="F146" s="209"/>
      <c r="G146" s="210" t="s">
        <v>133</v>
      </c>
      <c r="H146" s="210"/>
      <c r="I146" s="210" t="s">
        <v>55</v>
      </c>
      <c r="J146" s="210" t="s">
        <v>300</v>
      </c>
      <c r="K146" s="209">
        <v>0</v>
      </c>
      <c r="L146" s="210" t="s">
        <v>98</v>
      </c>
      <c r="M146" s="214"/>
      <c r="N146" s="210" t="s">
        <v>99</v>
      </c>
      <c r="O146" s="210"/>
      <c r="P146" s="210"/>
      <c r="Q146" s="210"/>
      <c r="R146" s="210" t="str">
        <f>TEXT(M123,"mm/dd/yyyy")</f>
        <v>RetDateValid</v>
      </c>
      <c r="S146" s="210"/>
      <c r="T146" s="210" t="s">
        <v>2</v>
      </c>
      <c r="U146" s="210"/>
      <c r="V146" s="210"/>
      <c r="W146" s="210"/>
      <c r="X146" s="210"/>
      <c r="Y146" s="210"/>
      <c r="Z146" s="210"/>
    </row>
    <row r="147" spans="1:26" s="213" customFormat="1">
      <c r="A147" s="208" t="s">
        <v>131</v>
      </c>
      <c r="B147" s="209">
        <f>COUNTA($B$1:B146)</f>
        <v>139</v>
      </c>
      <c r="C147" s="210" t="s">
        <v>900</v>
      </c>
      <c r="D147" s="215"/>
      <c r="E147" s="212"/>
      <c r="F147" s="209"/>
      <c r="G147" s="210" t="s">
        <v>133</v>
      </c>
      <c r="H147" s="210"/>
      <c r="I147" s="210" t="s">
        <v>55</v>
      </c>
      <c r="J147" s="210" t="s">
        <v>899</v>
      </c>
      <c r="K147" s="209">
        <v>0</v>
      </c>
      <c r="L147" s="210" t="s">
        <v>98</v>
      </c>
      <c r="M147" s="214"/>
      <c r="N147" s="210" t="s">
        <v>99</v>
      </c>
      <c r="O147" s="210"/>
      <c r="P147" s="210"/>
      <c r="Q147" s="210"/>
      <c r="R147" s="210"/>
      <c r="S147" s="210"/>
      <c r="T147" s="210"/>
      <c r="U147" s="210"/>
      <c r="V147" s="210"/>
      <c r="W147" s="210"/>
      <c r="X147" s="210"/>
      <c r="Y147" s="210"/>
      <c r="Z147" s="210"/>
    </row>
    <row r="148" spans="1:26" s="213" customFormat="1">
      <c r="A148" s="208" t="s">
        <v>131</v>
      </c>
      <c r="B148" s="209">
        <f>COUNTA($B$1:B147)</f>
        <v>140</v>
      </c>
      <c r="C148" s="210" t="s">
        <v>540</v>
      </c>
      <c r="D148" s="215"/>
      <c r="E148" s="212"/>
      <c r="F148" s="209"/>
      <c r="G148" s="210" t="s">
        <v>133</v>
      </c>
      <c r="H148" s="210"/>
      <c r="I148" s="210" t="s">
        <v>55</v>
      </c>
      <c r="J148" s="210" t="s">
        <v>901</v>
      </c>
      <c r="K148" s="209">
        <v>0</v>
      </c>
      <c r="L148" s="210" t="s">
        <v>98</v>
      </c>
      <c r="M148" s="214"/>
      <c r="N148" s="210" t="s">
        <v>99</v>
      </c>
      <c r="O148" s="210"/>
      <c r="P148" s="210"/>
      <c r="Q148" s="210"/>
      <c r="R148" s="210"/>
      <c r="S148" s="210"/>
      <c r="T148" s="210"/>
      <c r="U148" s="210"/>
      <c r="V148" s="210"/>
      <c r="W148" s="210"/>
      <c r="X148" s="210"/>
      <c r="Y148" s="210"/>
      <c r="Z148" s="210"/>
    </row>
    <row r="149" spans="1:26" s="17" customFormat="1">
      <c r="A149" s="33" t="s">
        <v>131</v>
      </c>
      <c r="B149" s="34">
        <f>COUNTA($B$1:B148)</f>
        <v>141</v>
      </c>
      <c r="C149" s="35" t="s">
        <v>894</v>
      </c>
      <c r="D149" s="35"/>
      <c r="E149" s="35"/>
      <c r="F149" s="34"/>
      <c r="G149" s="35" t="s">
        <v>133</v>
      </c>
      <c r="H149" s="35"/>
      <c r="I149" s="35" t="s">
        <v>55</v>
      </c>
      <c r="J149" s="35" t="s">
        <v>193</v>
      </c>
      <c r="K149" s="34">
        <v>0</v>
      </c>
      <c r="L149" s="35" t="s">
        <v>147</v>
      </c>
      <c r="M149" s="36"/>
      <c r="N149" s="35"/>
      <c r="O149" s="35"/>
      <c r="P149" s="35"/>
      <c r="Q149" s="35"/>
      <c r="R149" s="35"/>
      <c r="S149" s="35"/>
      <c r="T149" s="35"/>
      <c r="U149" s="35"/>
      <c r="V149" s="35"/>
      <c r="W149" s="35"/>
      <c r="X149" s="35"/>
      <c r="Y149" s="35"/>
      <c r="Z149" s="35"/>
    </row>
    <row r="150" spans="1:26" s="17" customFormat="1">
      <c r="A150" s="33" t="s">
        <v>131</v>
      </c>
      <c r="B150" s="34">
        <f>COUNTA($B$1:B149)</f>
        <v>142</v>
      </c>
      <c r="C150" s="35" t="s">
        <v>67</v>
      </c>
      <c r="D150" s="35"/>
      <c r="E150" s="35"/>
      <c r="F150" s="34"/>
      <c r="G150" s="35" t="s">
        <v>133</v>
      </c>
      <c r="H150" s="35"/>
      <c r="I150" s="35"/>
      <c r="J150" s="35"/>
      <c r="K150" s="34"/>
      <c r="L150" s="35" t="s">
        <v>67</v>
      </c>
      <c r="M150" s="36">
        <v>10</v>
      </c>
      <c r="N150" s="35"/>
      <c r="O150" s="35"/>
      <c r="P150" s="35"/>
      <c r="Q150" s="35"/>
      <c r="R150" s="36"/>
      <c r="S150" s="35"/>
      <c r="T150" s="35"/>
      <c r="U150" s="35"/>
      <c r="V150" s="35"/>
      <c r="W150" s="35"/>
      <c r="X150" s="35"/>
      <c r="Y150" s="35"/>
      <c r="Z150" s="35"/>
    </row>
    <row r="151" spans="1:26" s="17" customFormat="1">
      <c r="A151" s="33" t="s">
        <v>131</v>
      </c>
      <c r="B151" s="34">
        <f>COUNTA($B$1:B150)</f>
        <v>143</v>
      </c>
      <c r="C151" s="35" t="s">
        <v>197</v>
      </c>
      <c r="D151" s="51"/>
      <c r="E151" s="52" t="s">
        <v>154</v>
      </c>
      <c r="F151" s="38"/>
      <c r="G151" s="35" t="s">
        <v>133</v>
      </c>
      <c r="H151" s="35"/>
      <c r="I151" s="35" t="s">
        <v>55</v>
      </c>
      <c r="J151" s="35" t="s">
        <v>198</v>
      </c>
      <c r="K151" s="34">
        <v>0</v>
      </c>
      <c r="L151" s="35" t="s">
        <v>147</v>
      </c>
      <c r="M151" s="36"/>
      <c r="N151" s="35"/>
      <c r="O151" s="35"/>
      <c r="P151" s="35"/>
      <c r="Q151" s="35"/>
      <c r="R151" s="35"/>
      <c r="S151" s="52"/>
      <c r="T151" s="35"/>
      <c r="U151" s="35"/>
      <c r="V151" s="35"/>
      <c r="W151" s="35"/>
      <c r="X151" s="52"/>
      <c r="Y151" s="52"/>
      <c r="Z151" s="52"/>
    </row>
    <row r="152" spans="1:26" s="17" customFormat="1">
      <c r="A152" s="33" t="s">
        <v>131</v>
      </c>
      <c r="B152" s="34">
        <f>COUNTA($B$1:B151)</f>
        <v>144</v>
      </c>
      <c r="C152" s="35" t="s">
        <v>199</v>
      </c>
      <c r="D152" s="51"/>
      <c r="E152" s="52" t="s">
        <v>154</v>
      </c>
      <c r="F152" s="38"/>
      <c r="G152" s="35" t="s">
        <v>133</v>
      </c>
      <c r="H152" s="35"/>
      <c r="I152" s="35" t="s">
        <v>55</v>
      </c>
      <c r="J152" s="35" t="s">
        <v>200</v>
      </c>
      <c r="K152" s="34">
        <v>0</v>
      </c>
      <c r="L152" s="35" t="s">
        <v>147</v>
      </c>
      <c r="M152" s="36"/>
      <c r="N152" s="35"/>
      <c r="O152" s="35"/>
      <c r="P152" s="35"/>
      <c r="Q152" s="35"/>
      <c r="R152" s="35"/>
      <c r="S152" s="52"/>
      <c r="T152" s="35"/>
      <c r="U152" s="35"/>
      <c r="V152" s="35"/>
      <c r="W152" s="35"/>
      <c r="X152" s="52"/>
      <c r="Y152" s="52"/>
      <c r="Z152" s="52"/>
    </row>
    <row r="153" spans="1:26" s="17" customFormat="1">
      <c r="A153" s="33" t="s">
        <v>131</v>
      </c>
      <c r="B153" s="34">
        <f>COUNTA($B$1:B152)</f>
        <v>145</v>
      </c>
      <c r="C153" s="35" t="s">
        <v>201</v>
      </c>
      <c r="D153" s="51"/>
      <c r="E153" s="52" t="s">
        <v>154</v>
      </c>
      <c r="F153" s="38"/>
      <c r="G153" s="35" t="s">
        <v>133</v>
      </c>
      <c r="H153" s="35"/>
      <c r="I153" s="35" t="s">
        <v>55</v>
      </c>
      <c r="J153" s="35" t="s">
        <v>202</v>
      </c>
      <c r="K153" s="34">
        <v>0</v>
      </c>
      <c r="L153" s="35" t="s">
        <v>0</v>
      </c>
      <c r="M153" s="50" t="s">
        <v>203</v>
      </c>
      <c r="N153" s="35"/>
      <c r="O153" s="35"/>
      <c r="P153" s="35"/>
      <c r="Q153" s="35"/>
      <c r="R153" s="35"/>
      <c r="S153" s="52"/>
      <c r="T153" s="35"/>
      <c r="U153" s="35"/>
      <c r="V153" s="35"/>
      <c r="W153" s="35"/>
      <c r="X153" s="52"/>
      <c r="Y153" s="52"/>
      <c r="Z153" s="52"/>
    </row>
    <row r="154" spans="1:26" s="17" customFormat="1">
      <c r="A154" s="33" t="s">
        <v>131</v>
      </c>
      <c r="B154" s="34">
        <f>COUNTA($B$1:B153)</f>
        <v>146</v>
      </c>
      <c r="C154" s="35" t="s">
        <v>204</v>
      </c>
      <c r="D154" s="51"/>
      <c r="E154" s="52" t="s">
        <v>154</v>
      </c>
      <c r="F154" s="38"/>
      <c r="G154" s="35" t="s">
        <v>133</v>
      </c>
      <c r="H154" s="35"/>
      <c r="I154" s="35" t="s">
        <v>55</v>
      </c>
      <c r="J154" s="35" t="s">
        <v>205</v>
      </c>
      <c r="K154" s="34">
        <v>0</v>
      </c>
      <c r="L154" s="35" t="s">
        <v>0</v>
      </c>
      <c r="M154" s="50" t="s">
        <v>206</v>
      </c>
      <c r="N154" s="35"/>
      <c r="O154" s="35"/>
      <c r="P154" s="35"/>
      <c r="Q154" s="35"/>
      <c r="R154" s="35"/>
      <c r="S154" s="52"/>
      <c r="T154" s="35"/>
      <c r="U154" s="35"/>
      <c r="V154" s="35"/>
      <c r="W154" s="35"/>
      <c r="X154" s="52"/>
      <c r="Y154" s="52"/>
      <c r="Z154" s="52"/>
    </row>
    <row r="155" spans="1:26" s="17" customFormat="1">
      <c r="A155" s="33" t="s">
        <v>131</v>
      </c>
      <c r="B155" s="34">
        <f>COUNTA($B$1:B154)</f>
        <v>147</v>
      </c>
      <c r="C155" s="35" t="s">
        <v>207</v>
      </c>
      <c r="D155" s="35"/>
      <c r="E155" s="35"/>
      <c r="F155" s="34"/>
      <c r="G155" s="35" t="s">
        <v>133</v>
      </c>
      <c r="H155" s="35"/>
      <c r="I155" s="35" t="s">
        <v>55</v>
      </c>
      <c r="J155" s="35" t="s">
        <v>208</v>
      </c>
      <c r="K155" s="34">
        <v>0</v>
      </c>
      <c r="L155" s="35" t="s">
        <v>272</v>
      </c>
      <c r="M155" s="36"/>
      <c r="N155" s="35"/>
      <c r="O155" s="35"/>
      <c r="P155" s="35"/>
      <c r="Q155" s="35"/>
      <c r="R155" s="35"/>
      <c r="S155" s="35"/>
      <c r="T155" s="35"/>
      <c r="U155" s="35"/>
      <c r="V155" s="35"/>
      <c r="W155" s="35"/>
      <c r="X155" s="35"/>
      <c r="Y155" s="35"/>
      <c r="Z155" s="35"/>
    </row>
    <row r="156" spans="1:26" s="12" customFormat="1" ht="12.75" customHeight="1">
      <c r="A156" s="33" t="s">
        <v>131</v>
      </c>
      <c r="B156" s="34">
        <f>COUNTA($B$1:B155)</f>
        <v>148</v>
      </c>
      <c r="C156" s="35" t="s">
        <v>209</v>
      </c>
      <c r="D156" s="51"/>
      <c r="E156" s="52"/>
      <c r="F156" s="34"/>
      <c r="G156" s="35" t="s">
        <v>133</v>
      </c>
      <c r="H156" s="35"/>
      <c r="I156" s="35" t="s">
        <v>55</v>
      </c>
      <c r="J156" s="35" t="s">
        <v>210</v>
      </c>
      <c r="K156" s="34"/>
      <c r="L156" s="35" t="s">
        <v>98</v>
      </c>
      <c r="M156" s="35"/>
      <c r="N156" s="35" t="s">
        <v>99</v>
      </c>
      <c r="O156" s="35"/>
      <c r="P156" s="35"/>
      <c r="Q156" s="35"/>
      <c r="R156" s="35" t="str">
        <f>TEXT(M153,"mm/dd/yyyy") &amp; " - " &amp; TEXT(M154,"mm/dd/yyyy")</f>
        <v>PickUpDate - DropOffDate</v>
      </c>
      <c r="S156" s="52"/>
      <c r="T156" s="35" t="s">
        <v>2</v>
      </c>
      <c r="U156" s="35"/>
      <c r="V156" s="35"/>
      <c r="W156" s="35"/>
      <c r="X156" s="52"/>
      <c r="Y156" s="52"/>
      <c r="Z156" s="52"/>
    </row>
    <row r="157" spans="1:26">
      <c r="A157" s="33" t="s">
        <v>131</v>
      </c>
      <c r="B157" s="34">
        <f>COUNTA($B$1:B156)</f>
        <v>149</v>
      </c>
      <c r="C157" s="35" t="s">
        <v>201</v>
      </c>
      <c r="D157" s="51"/>
      <c r="E157" s="52" t="s">
        <v>154</v>
      </c>
      <c r="F157" s="38"/>
      <c r="G157" s="35" t="s">
        <v>133</v>
      </c>
      <c r="H157" s="35"/>
      <c r="I157" s="35" t="s">
        <v>55</v>
      </c>
      <c r="J157" s="35" t="s">
        <v>202</v>
      </c>
      <c r="K157" s="34">
        <v>0</v>
      </c>
      <c r="L157" s="35" t="s">
        <v>0</v>
      </c>
      <c r="M157" s="50" t="s">
        <v>211</v>
      </c>
      <c r="N157" s="35"/>
      <c r="O157" s="35"/>
      <c r="P157" s="35"/>
      <c r="Q157" s="35"/>
      <c r="R157" s="35"/>
      <c r="S157" s="52"/>
      <c r="T157" s="35"/>
      <c r="U157" s="35"/>
      <c r="V157" s="35"/>
      <c r="W157" s="35"/>
      <c r="X157" s="52"/>
      <c r="Y157" s="52"/>
      <c r="Z157" s="52"/>
    </row>
    <row r="158" spans="1:26">
      <c r="A158" s="33" t="s">
        <v>131</v>
      </c>
      <c r="B158" s="34">
        <f>COUNTA($B$1:B157)</f>
        <v>150</v>
      </c>
      <c r="C158" s="35" t="s">
        <v>204</v>
      </c>
      <c r="D158" s="51"/>
      <c r="E158" s="52" t="s">
        <v>154</v>
      </c>
      <c r="F158" s="38"/>
      <c r="G158" s="35" t="s">
        <v>133</v>
      </c>
      <c r="H158" s="35"/>
      <c r="I158" s="35" t="s">
        <v>55</v>
      </c>
      <c r="J158" s="35" t="s">
        <v>205</v>
      </c>
      <c r="K158" s="34">
        <v>0</v>
      </c>
      <c r="L158" s="35" t="s">
        <v>0</v>
      </c>
      <c r="M158" s="50" t="s">
        <v>212</v>
      </c>
      <c r="N158" s="35"/>
      <c r="O158" s="35"/>
      <c r="P158" s="35"/>
      <c r="Q158" s="35"/>
      <c r="R158" s="35"/>
      <c r="S158" s="52"/>
      <c r="T158" s="35"/>
      <c r="U158" s="35"/>
      <c r="V158" s="35"/>
      <c r="W158" s="35"/>
      <c r="X158" s="52"/>
      <c r="Y158" s="52"/>
      <c r="Z158" s="52"/>
    </row>
    <row r="159" spans="1:26">
      <c r="A159" s="33" t="s">
        <v>131</v>
      </c>
      <c r="B159" s="34">
        <f>COUNTA($B$1:B158)</f>
        <v>151</v>
      </c>
      <c r="C159" s="35" t="s">
        <v>207</v>
      </c>
      <c r="D159" s="35"/>
      <c r="E159" s="35"/>
      <c r="F159" s="34"/>
      <c r="G159" s="35" t="s">
        <v>133</v>
      </c>
      <c r="H159" s="35"/>
      <c r="I159" s="35" t="s">
        <v>55</v>
      </c>
      <c r="J159" s="35" t="s">
        <v>208</v>
      </c>
      <c r="K159" s="34">
        <v>0</v>
      </c>
      <c r="L159" s="35" t="s">
        <v>272</v>
      </c>
      <c r="M159" s="36"/>
      <c r="N159" s="35"/>
      <c r="O159" s="35"/>
      <c r="P159" s="35"/>
      <c r="Q159" s="35"/>
      <c r="R159" s="35"/>
      <c r="S159" s="35"/>
      <c r="T159" s="35"/>
      <c r="U159" s="35"/>
      <c r="V159" s="35"/>
      <c r="W159" s="35"/>
      <c r="X159" s="35"/>
      <c r="Y159" s="35"/>
      <c r="Z159" s="35"/>
    </row>
    <row r="160" spans="1:26">
      <c r="A160" s="33" t="s">
        <v>131</v>
      </c>
      <c r="B160" s="34">
        <f>COUNTA($B$1:B159)</f>
        <v>152</v>
      </c>
      <c r="C160" s="35" t="s">
        <v>209</v>
      </c>
      <c r="D160" s="51"/>
      <c r="E160" s="52"/>
      <c r="F160" s="34"/>
      <c r="G160" s="35" t="s">
        <v>133</v>
      </c>
      <c r="H160" s="35"/>
      <c r="I160" s="35" t="s">
        <v>55</v>
      </c>
      <c r="J160" s="35" t="s">
        <v>213</v>
      </c>
      <c r="K160" s="34"/>
      <c r="L160" s="35" t="s">
        <v>98</v>
      </c>
      <c r="M160" s="35"/>
      <c r="N160" s="35" t="s">
        <v>99</v>
      </c>
      <c r="O160" s="35"/>
      <c r="P160" s="35"/>
      <c r="Q160" s="35"/>
      <c r="R160" s="35" t="str">
        <f>TEXT(M157,"mm/dd/yyyy") &amp; " - " &amp; TEXT(M158,"mm/dd/yyyy")</f>
        <v>PickUpDate1 - DropOffDate1</v>
      </c>
      <c r="S160" s="52"/>
      <c r="T160" s="35" t="s">
        <v>2</v>
      </c>
      <c r="U160" s="35"/>
      <c r="V160" s="35"/>
      <c r="W160" s="35"/>
      <c r="X160" s="52"/>
      <c r="Y160" s="52"/>
      <c r="Z160" s="52"/>
    </row>
    <row r="161" spans="1:26" s="12" customFormat="1" ht="12.75" customHeight="1">
      <c r="A161" s="33" t="s">
        <v>131</v>
      </c>
      <c r="B161" s="34">
        <f>COUNTA($B$1:B160)</f>
        <v>153</v>
      </c>
      <c r="C161" s="35" t="s">
        <v>201</v>
      </c>
      <c r="D161" s="51"/>
      <c r="E161" s="52" t="s">
        <v>154</v>
      </c>
      <c r="F161" s="38"/>
      <c r="G161" s="35" t="s">
        <v>133</v>
      </c>
      <c r="H161" s="35"/>
      <c r="I161" s="35" t="s">
        <v>55</v>
      </c>
      <c r="J161" s="35" t="s">
        <v>202</v>
      </c>
      <c r="K161" s="34">
        <v>0</v>
      </c>
      <c r="L161" s="35" t="s">
        <v>0</v>
      </c>
      <c r="M161" s="50" t="s">
        <v>214</v>
      </c>
      <c r="N161" s="35"/>
      <c r="O161" s="35"/>
      <c r="P161" s="35"/>
      <c r="Q161" s="35"/>
      <c r="R161" s="35"/>
      <c r="S161" s="52"/>
      <c r="T161" s="35"/>
      <c r="U161" s="35"/>
      <c r="V161" s="35"/>
      <c r="W161" s="35"/>
      <c r="X161" s="52"/>
      <c r="Y161" s="52"/>
      <c r="Z161" s="52"/>
    </row>
    <row r="162" spans="1:26">
      <c r="A162" s="33" t="s">
        <v>131</v>
      </c>
      <c r="B162" s="34">
        <f>COUNTA($B$1:B161)</f>
        <v>154</v>
      </c>
      <c r="C162" s="35" t="s">
        <v>204</v>
      </c>
      <c r="D162" s="51"/>
      <c r="E162" s="52" t="s">
        <v>154</v>
      </c>
      <c r="F162" s="38"/>
      <c r="G162" s="35" t="s">
        <v>133</v>
      </c>
      <c r="H162" s="35"/>
      <c r="I162" s="35" t="s">
        <v>55</v>
      </c>
      <c r="J162" s="35" t="s">
        <v>205</v>
      </c>
      <c r="K162" s="34">
        <v>0</v>
      </c>
      <c r="L162" s="35" t="s">
        <v>0</v>
      </c>
      <c r="M162" s="50" t="s">
        <v>215</v>
      </c>
      <c r="N162" s="35"/>
      <c r="O162" s="35"/>
      <c r="P162" s="35"/>
      <c r="Q162" s="35"/>
      <c r="R162" s="35"/>
      <c r="S162" s="52"/>
      <c r="T162" s="35"/>
      <c r="U162" s="35"/>
      <c r="V162" s="35"/>
      <c r="W162" s="35"/>
      <c r="X162" s="52"/>
      <c r="Y162" s="52"/>
      <c r="Z162" s="52"/>
    </row>
    <row r="163" spans="1:26" s="17" customFormat="1">
      <c r="A163" s="33" t="s">
        <v>131</v>
      </c>
      <c r="B163" s="34">
        <f>COUNTA($B$1:B162)</f>
        <v>155</v>
      </c>
      <c r="C163" s="35" t="s">
        <v>207</v>
      </c>
      <c r="D163" s="35"/>
      <c r="E163" s="35"/>
      <c r="F163" s="34"/>
      <c r="G163" s="35" t="s">
        <v>133</v>
      </c>
      <c r="H163" s="35"/>
      <c r="I163" s="35" t="s">
        <v>55</v>
      </c>
      <c r="J163" s="35" t="s">
        <v>208</v>
      </c>
      <c r="K163" s="34">
        <v>0</v>
      </c>
      <c r="L163" s="35" t="s">
        <v>34</v>
      </c>
      <c r="M163" s="36"/>
      <c r="N163" s="35"/>
      <c r="O163" s="35"/>
      <c r="P163" s="35"/>
      <c r="Q163" s="35"/>
      <c r="R163" s="35"/>
      <c r="S163" s="35"/>
      <c r="T163" s="35"/>
      <c r="U163" s="35"/>
      <c r="V163" s="35"/>
      <c r="W163" s="35"/>
      <c r="X163" s="35"/>
      <c r="Y163" s="35"/>
      <c r="Z163" s="35"/>
    </row>
    <row r="164" spans="1:26">
      <c r="A164" s="33" t="s">
        <v>131</v>
      </c>
      <c r="B164" s="34">
        <f>COUNTA($B$1:B163)</f>
        <v>156</v>
      </c>
      <c r="C164" s="35" t="s">
        <v>209</v>
      </c>
      <c r="D164" s="51"/>
      <c r="E164" s="52"/>
      <c r="F164" s="34"/>
      <c r="G164" s="35" t="s">
        <v>133</v>
      </c>
      <c r="H164" s="35"/>
      <c r="I164" s="35" t="s">
        <v>55</v>
      </c>
      <c r="J164" s="35" t="s">
        <v>216</v>
      </c>
      <c r="K164" s="34"/>
      <c r="L164" s="35" t="s">
        <v>98</v>
      </c>
      <c r="M164" s="35"/>
      <c r="N164" s="35" t="s">
        <v>99</v>
      </c>
      <c r="O164" s="35"/>
      <c r="P164" s="35"/>
      <c r="Q164" s="35"/>
      <c r="R164" s="35" t="str">
        <f>TEXT(M161,"mm/dd/yyyy") &amp; " - " &amp; TEXT(M162,"mm/dd/yyyy")</f>
        <v>PickUpDate2 - DropOffDate2</v>
      </c>
      <c r="S164" s="52"/>
      <c r="T164" s="35" t="s">
        <v>2</v>
      </c>
      <c r="U164" s="35"/>
      <c r="V164" s="35"/>
      <c r="W164" s="35"/>
      <c r="X164" s="52"/>
      <c r="Y164" s="52"/>
      <c r="Z164" s="52"/>
    </row>
    <row r="165" spans="1:26" s="17" customFormat="1">
      <c r="A165" s="33" t="s">
        <v>131</v>
      </c>
      <c r="B165" s="34">
        <f>COUNTA($B$1:B164)</f>
        <v>157</v>
      </c>
      <c r="C165" s="35" t="s">
        <v>217</v>
      </c>
      <c r="D165" s="51"/>
      <c r="E165" s="52" t="s">
        <v>154</v>
      </c>
      <c r="F165" s="38"/>
      <c r="G165" s="35" t="s">
        <v>133</v>
      </c>
      <c r="H165" s="35"/>
      <c r="I165" s="35" t="s">
        <v>55</v>
      </c>
      <c r="J165" s="35" t="s">
        <v>218</v>
      </c>
      <c r="K165" s="34">
        <v>0</v>
      </c>
      <c r="L165" s="35" t="s">
        <v>272</v>
      </c>
      <c r="M165" s="36"/>
      <c r="N165" s="35"/>
      <c r="O165" s="35"/>
      <c r="P165" s="35"/>
      <c r="Q165" s="35"/>
      <c r="R165" s="35"/>
      <c r="S165" s="52"/>
      <c r="T165" s="35"/>
      <c r="U165" s="35"/>
      <c r="V165" s="35"/>
      <c r="W165" s="35"/>
      <c r="X165" s="52"/>
      <c r="Y165" s="52"/>
      <c r="Z165" s="52"/>
    </row>
    <row r="166" spans="1:26" s="213" customFormat="1">
      <c r="A166" s="208" t="s">
        <v>131</v>
      </c>
      <c r="B166" s="209">
        <f>COUNTA($B$1:B165)</f>
        <v>158</v>
      </c>
      <c r="C166" s="210" t="s">
        <v>895</v>
      </c>
      <c r="D166" s="210"/>
      <c r="E166" s="210"/>
      <c r="F166" s="209"/>
      <c r="G166" s="210" t="s">
        <v>133</v>
      </c>
      <c r="H166" s="210"/>
      <c r="I166" s="210" t="s">
        <v>55</v>
      </c>
      <c r="J166" s="210" t="s">
        <v>896</v>
      </c>
      <c r="K166" s="209">
        <v>0</v>
      </c>
      <c r="L166" s="210" t="s">
        <v>147</v>
      </c>
      <c r="M166" s="214"/>
      <c r="N166" s="210"/>
      <c r="O166" s="210"/>
      <c r="P166" s="210"/>
      <c r="Q166" s="210"/>
      <c r="R166" s="210"/>
      <c r="S166" s="210"/>
      <c r="T166" s="210"/>
      <c r="U166" s="210"/>
      <c r="V166" s="210"/>
      <c r="W166" s="210"/>
      <c r="X166" s="210"/>
      <c r="Y166" s="210"/>
      <c r="Z166" s="210"/>
    </row>
    <row r="167" spans="1:26" s="213" customFormat="1">
      <c r="A167" s="208" t="s">
        <v>131</v>
      </c>
      <c r="B167" s="209">
        <f>COUNTA($B$1:B166)</f>
        <v>159</v>
      </c>
      <c r="C167" s="210" t="s">
        <v>897</v>
      </c>
      <c r="D167" s="211"/>
      <c r="E167" s="212"/>
      <c r="F167" s="209"/>
      <c r="G167" s="210" t="s">
        <v>133</v>
      </c>
      <c r="H167" s="210"/>
      <c r="I167" s="210" t="s">
        <v>55</v>
      </c>
      <c r="J167" s="210" t="s">
        <v>898</v>
      </c>
      <c r="K167" s="209">
        <v>0</v>
      </c>
      <c r="L167" s="210" t="s">
        <v>98</v>
      </c>
      <c r="M167" s="210"/>
      <c r="N167" s="210" t="s">
        <v>99</v>
      </c>
      <c r="O167" s="210"/>
      <c r="P167" s="210"/>
      <c r="Q167" s="210"/>
      <c r="R167" s="210">
        <f>S144</f>
        <v>0</v>
      </c>
      <c r="S167" s="212"/>
      <c r="T167" s="210" t="s">
        <v>2</v>
      </c>
      <c r="U167" s="210"/>
      <c r="V167" s="210"/>
      <c r="W167" s="210"/>
      <c r="X167" s="212"/>
      <c r="Y167" s="212"/>
      <c r="Z167" s="212"/>
    </row>
    <row r="168" spans="1:26" s="213" customFormat="1">
      <c r="A168" s="208" t="s">
        <v>131</v>
      </c>
      <c r="B168" s="209">
        <f>COUNTA($B$1:B167)</f>
        <v>160</v>
      </c>
      <c r="C168" s="210" t="s">
        <v>297</v>
      </c>
      <c r="D168" s="215"/>
      <c r="E168" s="212"/>
      <c r="F168" s="209"/>
      <c r="G168" s="210" t="s">
        <v>133</v>
      </c>
      <c r="H168" s="210"/>
      <c r="I168" s="210" t="s">
        <v>55</v>
      </c>
      <c r="J168" s="210" t="s">
        <v>298</v>
      </c>
      <c r="K168" s="209">
        <v>0</v>
      </c>
      <c r="L168" s="210" t="s">
        <v>98</v>
      </c>
      <c r="M168" s="214"/>
      <c r="N168" s="210" t="s">
        <v>99</v>
      </c>
      <c r="O168" s="210"/>
      <c r="P168" s="210"/>
      <c r="Q168" s="210"/>
      <c r="R168" s="210">
        <f>S145</f>
        <v>0</v>
      </c>
      <c r="S168" s="210"/>
      <c r="T168" s="210" t="s">
        <v>2</v>
      </c>
      <c r="U168" s="210"/>
      <c r="V168" s="210"/>
      <c r="W168" s="210"/>
      <c r="X168" s="210"/>
      <c r="Y168" s="210"/>
      <c r="Z168" s="210"/>
    </row>
    <row r="169" spans="1:26" s="213" customFormat="1">
      <c r="A169" s="208" t="s">
        <v>131</v>
      </c>
      <c r="B169" s="209">
        <f>COUNTA($B$1:B168)</f>
        <v>161</v>
      </c>
      <c r="C169" s="210" t="s">
        <v>299</v>
      </c>
      <c r="D169" s="215"/>
      <c r="E169" s="212"/>
      <c r="F169" s="209"/>
      <c r="G169" s="210" t="s">
        <v>133</v>
      </c>
      <c r="H169" s="210"/>
      <c r="I169" s="210" t="s">
        <v>55</v>
      </c>
      <c r="J169" s="210" t="s">
        <v>300</v>
      </c>
      <c r="K169" s="209">
        <v>0</v>
      </c>
      <c r="L169" s="210" t="s">
        <v>98</v>
      </c>
      <c r="M169" s="214"/>
      <c r="N169" s="210" t="s">
        <v>99</v>
      </c>
      <c r="O169" s="210"/>
      <c r="P169" s="210"/>
      <c r="Q169" s="210"/>
      <c r="R169" s="210">
        <f>S146</f>
        <v>0</v>
      </c>
      <c r="S169" s="210"/>
      <c r="T169" s="210" t="s">
        <v>2</v>
      </c>
      <c r="U169" s="210"/>
      <c r="V169" s="210"/>
      <c r="W169" s="210"/>
      <c r="X169" s="210"/>
      <c r="Y169" s="210"/>
      <c r="Z169" s="210"/>
    </row>
    <row r="170" spans="1:26" s="213" customFormat="1">
      <c r="A170" s="208" t="s">
        <v>131</v>
      </c>
      <c r="B170" s="209">
        <f>COUNTA($B$1:B169)</f>
        <v>162</v>
      </c>
      <c r="C170" s="210" t="s">
        <v>903</v>
      </c>
      <c r="D170" s="215"/>
      <c r="E170" s="212"/>
      <c r="F170" s="209"/>
      <c r="G170" s="210" t="s">
        <v>133</v>
      </c>
      <c r="H170" s="210"/>
      <c r="I170" s="210" t="s">
        <v>55</v>
      </c>
      <c r="J170" s="210" t="s">
        <v>899</v>
      </c>
      <c r="K170" s="209">
        <v>0</v>
      </c>
      <c r="L170" s="210" t="s">
        <v>98</v>
      </c>
      <c r="M170" s="214"/>
      <c r="N170" s="210" t="s">
        <v>99</v>
      </c>
      <c r="O170" s="210"/>
      <c r="P170" s="210"/>
      <c r="Q170" s="210"/>
      <c r="R170" s="210">
        <f t="shared" ref="R170:R171" si="0">S147</f>
        <v>0</v>
      </c>
      <c r="S170" s="210"/>
      <c r="T170" s="210" t="s">
        <v>2</v>
      </c>
      <c r="U170" s="210"/>
      <c r="V170" s="210"/>
      <c r="W170" s="210"/>
      <c r="X170" s="210"/>
      <c r="Y170" s="210"/>
      <c r="Z170" s="210"/>
    </row>
    <row r="171" spans="1:26" s="213" customFormat="1">
      <c r="A171" s="208" t="s">
        <v>131</v>
      </c>
      <c r="B171" s="209">
        <f>COUNTA($B$1:B170)</f>
        <v>163</v>
      </c>
      <c r="C171" s="210" t="s">
        <v>904</v>
      </c>
      <c r="D171" s="215"/>
      <c r="E171" s="212"/>
      <c r="F171" s="209"/>
      <c r="G171" s="210" t="s">
        <v>133</v>
      </c>
      <c r="H171" s="210"/>
      <c r="I171" s="210" t="s">
        <v>55</v>
      </c>
      <c r="J171" s="210" t="s">
        <v>901</v>
      </c>
      <c r="K171" s="209">
        <v>0</v>
      </c>
      <c r="L171" s="210" t="s">
        <v>98</v>
      </c>
      <c r="M171" s="214"/>
      <c r="N171" s="210" t="s">
        <v>99</v>
      </c>
      <c r="O171" s="210"/>
      <c r="P171" s="210"/>
      <c r="Q171" s="210"/>
      <c r="R171" s="210">
        <f t="shared" si="0"/>
        <v>0</v>
      </c>
      <c r="S171" s="210"/>
      <c r="T171" s="210" t="s">
        <v>2</v>
      </c>
      <c r="U171" s="210"/>
      <c r="V171" s="210"/>
      <c r="W171" s="210"/>
      <c r="X171" s="210"/>
      <c r="Y171" s="210"/>
      <c r="Z171" s="210"/>
    </row>
    <row r="172" spans="1:26" s="213" customFormat="1">
      <c r="A172" s="208" t="s">
        <v>131</v>
      </c>
      <c r="B172" s="209">
        <f>COUNTA($B$1:B171)</f>
        <v>164</v>
      </c>
      <c r="C172" s="210" t="s">
        <v>905</v>
      </c>
      <c r="D172" s="215"/>
      <c r="E172" s="212"/>
      <c r="F172" s="209"/>
      <c r="G172" s="210" t="s">
        <v>133</v>
      </c>
      <c r="H172" s="210"/>
      <c r="I172" s="210" t="s">
        <v>55</v>
      </c>
      <c r="J172" s="210" t="s">
        <v>107</v>
      </c>
      <c r="K172" s="209">
        <v>0</v>
      </c>
      <c r="L172" s="210" t="s">
        <v>98</v>
      </c>
      <c r="M172" s="214"/>
      <c r="N172" s="210" t="s">
        <v>99</v>
      </c>
      <c r="O172" s="210"/>
      <c r="P172" s="210"/>
      <c r="Q172" s="210"/>
      <c r="R172" s="210"/>
      <c r="S172" s="210"/>
      <c r="T172" s="210"/>
      <c r="U172" s="210"/>
      <c r="V172" s="210"/>
      <c r="W172" s="210"/>
      <c r="X172" s="210"/>
      <c r="Y172" s="210"/>
      <c r="Z172" s="210"/>
    </row>
    <row r="173" spans="1:26" s="213" customFormat="1">
      <c r="A173" s="208" t="s">
        <v>131</v>
      </c>
      <c r="B173" s="209">
        <f>COUNTA($B$1:B172)</f>
        <v>165</v>
      </c>
      <c r="C173" s="210" t="s">
        <v>906</v>
      </c>
      <c r="D173" s="215"/>
      <c r="E173" s="212"/>
      <c r="F173" s="209"/>
      <c r="G173" s="210" t="s">
        <v>133</v>
      </c>
      <c r="H173" s="210"/>
      <c r="I173" s="210" t="s">
        <v>55</v>
      </c>
      <c r="J173" s="210" t="s">
        <v>838</v>
      </c>
      <c r="K173" s="209">
        <v>0</v>
      </c>
      <c r="L173" s="210" t="s">
        <v>98</v>
      </c>
      <c r="M173" s="214"/>
      <c r="N173" s="210" t="s">
        <v>99</v>
      </c>
      <c r="O173" s="210"/>
      <c r="P173" s="210"/>
      <c r="Q173" s="210"/>
      <c r="R173" s="210"/>
      <c r="S173" s="210"/>
      <c r="T173" s="210"/>
      <c r="U173" s="210"/>
      <c r="V173" s="210"/>
      <c r="W173" s="210"/>
      <c r="X173" s="210"/>
      <c r="Y173" s="210"/>
      <c r="Z173" s="210"/>
    </row>
    <row r="174" spans="1:26" s="213" customFormat="1">
      <c r="A174" s="208" t="s">
        <v>131</v>
      </c>
      <c r="B174" s="209">
        <f>COUNTA($B$1:B173)</f>
        <v>166</v>
      </c>
      <c r="C174" s="210" t="s">
        <v>902</v>
      </c>
      <c r="D174" s="215"/>
      <c r="E174" s="212"/>
      <c r="F174" s="209"/>
      <c r="G174" s="210" t="s">
        <v>133</v>
      </c>
      <c r="H174" s="210"/>
      <c r="I174" s="210" t="s">
        <v>55</v>
      </c>
      <c r="J174" s="210" t="s">
        <v>574</v>
      </c>
      <c r="K174" s="209">
        <v>0</v>
      </c>
      <c r="L174" s="210" t="s">
        <v>98</v>
      </c>
      <c r="M174" s="214"/>
      <c r="N174" s="210" t="s">
        <v>99</v>
      </c>
      <c r="O174" s="210"/>
      <c r="P174" s="210"/>
      <c r="Q174" s="210"/>
      <c r="R174" s="210"/>
      <c r="S174" s="210"/>
      <c r="T174" s="210"/>
      <c r="U174" s="210"/>
      <c r="V174" s="210"/>
      <c r="W174" s="210"/>
      <c r="X174" s="210"/>
      <c r="Y174" s="210"/>
      <c r="Z174" s="210"/>
    </row>
    <row r="175" spans="1:26">
      <c r="A175" s="33" t="s">
        <v>131</v>
      </c>
      <c r="B175" s="34">
        <f>COUNTA($B$1:B174)</f>
        <v>167</v>
      </c>
      <c r="C175" s="35" t="s">
        <v>190</v>
      </c>
      <c r="D175" s="35"/>
      <c r="E175" s="35"/>
      <c r="F175" s="34"/>
      <c r="G175" s="35" t="s">
        <v>133</v>
      </c>
      <c r="H175" s="35"/>
      <c r="I175" s="35" t="s">
        <v>55</v>
      </c>
      <c r="J175" s="35" t="s">
        <v>87</v>
      </c>
      <c r="K175" s="34">
        <v>0</v>
      </c>
      <c r="L175" s="35" t="s">
        <v>147</v>
      </c>
      <c r="M175" s="36"/>
      <c r="N175" s="35"/>
      <c r="O175" s="35"/>
      <c r="P175" s="35"/>
      <c r="Q175" s="35"/>
      <c r="R175" s="35"/>
      <c r="S175" s="35"/>
      <c r="T175" s="35"/>
      <c r="U175" s="35"/>
      <c r="V175" s="35"/>
      <c r="W175" s="35"/>
      <c r="X175" s="35"/>
      <c r="Y175" s="35"/>
      <c r="Z175" s="35"/>
    </row>
    <row r="176" spans="1:26">
      <c r="A176" s="33" t="s">
        <v>131</v>
      </c>
      <c r="B176" s="34">
        <f>COUNTA($B$1:B175)</f>
        <v>168</v>
      </c>
      <c r="C176" s="35" t="s">
        <v>67</v>
      </c>
      <c r="D176" s="35"/>
      <c r="E176" s="35"/>
      <c r="F176" s="34"/>
      <c r="G176" s="35" t="s">
        <v>133</v>
      </c>
      <c r="H176" s="35"/>
      <c r="I176" s="35"/>
      <c r="J176" s="35"/>
      <c r="K176" s="34"/>
      <c r="L176" s="35" t="s">
        <v>67</v>
      </c>
      <c r="M176" s="36">
        <v>10</v>
      </c>
      <c r="N176" s="35"/>
      <c r="O176" s="35"/>
      <c r="P176" s="35"/>
      <c r="Q176" s="35"/>
      <c r="R176" s="36"/>
      <c r="S176" s="35"/>
      <c r="T176" s="35"/>
      <c r="U176" s="35"/>
      <c r="V176" s="35"/>
      <c r="W176" s="35"/>
      <c r="X176" s="35"/>
      <c r="Y176" s="35"/>
      <c r="Z176" s="35"/>
    </row>
    <row r="177" spans="1:26">
      <c r="A177" s="30" t="s">
        <v>280</v>
      </c>
      <c r="B177" s="31"/>
      <c r="C177" s="31"/>
      <c r="D177" s="32"/>
      <c r="E177" s="32"/>
      <c r="F177" s="31"/>
      <c r="G177" s="32"/>
      <c r="H177" s="32"/>
      <c r="I177" s="32"/>
      <c r="J177" s="32"/>
      <c r="K177" s="31"/>
      <c r="L177" s="32"/>
      <c r="M177" s="32"/>
      <c r="N177" s="32"/>
      <c r="O177" s="32"/>
      <c r="P177" s="32"/>
      <c r="Q177" s="32"/>
      <c r="R177" s="32"/>
      <c r="S177" s="32"/>
      <c r="T177" s="32"/>
      <c r="U177" s="32"/>
      <c r="V177" s="32"/>
      <c r="W177" s="32"/>
      <c r="X177" s="32"/>
      <c r="Y177" s="32"/>
      <c r="Z177" s="32"/>
    </row>
    <row r="178" spans="1:26">
      <c r="A178" s="45" t="s">
        <v>131</v>
      </c>
      <c r="B178" s="34">
        <f>COUNTA($B$1:B177)</f>
        <v>169</v>
      </c>
      <c r="C178" s="46" t="s">
        <v>140</v>
      </c>
      <c r="D178" s="46"/>
      <c r="E178" s="46"/>
      <c r="F178" s="47"/>
      <c r="G178" s="46" t="s">
        <v>133</v>
      </c>
      <c r="H178" s="46"/>
      <c r="I178" s="46" t="s">
        <v>55</v>
      </c>
      <c r="J178" s="46" t="s">
        <v>141</v>
      </c>
      <c r="K178" s="47"/>
      <c r="L178" s="46" t="s">
        <v>142</v>
      </c>
      <c r="M178" s="48"/>
      <c r="N178" s="46"/>
      <c r="O178" s="46" t="s">
        <v>2</v>
      </c>
      <c r="P178" s="46"/>
      <c r="Q178" s="46"/>
      <c r="R178" s="49"/>
      <c r="S178" s="46"/>
      <c r="T178" s="46"/>
      <c r="U178" s="46"/>
      <c r="V178" s="46"/>
      <c r="W178" s="46"/>
      <c r="X178" s="46"/>
      <c r="Y178" s="46"/>
      <c r="Z178" s="46"/>
    </row>
    <row r="179" spans="1:26">
      <c r="A179" s="45" t="s">
        <v>131</v>
      </c>
      <c r="B179" s="34">
        <f>COUNTA($B$1:B178)</f>
        <v>170</v>
      </c>
      <c r="C179" s="46" t="s">
        <v>143</v>
      </c>
      <c r="D179" s="46"/>
      <c r="E179" s="46"/>
      <c r="F179" s="47"/>
      <c r="G179" s="46" t="s">
        <v>133</v>
      </c>
      <c r="H179" s="46"/>
      <c r="I179" s="46" t="s">
        <v>55</v>
      </c>
      <c r="J179" s="46" t="s">
        <v>141</v>
      </c>
      <c r="K179" s="47"/>
      <c r="L179" s="46" t="s">
        <v>98</v>
      </c>
      <c r="M179" s="48"/>
      <c r="N179" s="46" t="s">
        <v>99</v>
      </c>
      <c r="O179" s="46" t="s">
        <v>2</v>
      </c>
      <c r="P179" s="46"/>
      <c r="Q179" s="46"/>
      <c r="R179" s="49" t="s">
        <v>144</v>
      </c>
      <c r="S179" s="46"/>
      <c r="T179" s="46"/>
      <c r="U179" s="46"/>
      <c r="V179" s="46"/>
      <c r="W179" s="46"/>
      <c r="X179" s="46"/>
      <c r="Y179" s="46"/>
      <c r="Z179" s="46"/>
    </row>
    <row r="180" spans="1:26">
      <c r="A180" s="45" t="s">
        <v>131</v>
      </c>
      <c r="B180" s="34">
        <f>COUNTA($B$1:B179)</f>
        <v>171</v>
      </c>
      <c r="C180" s="46" t="s">
        <v>145</v>
      </c>
      <c r="D180" s="46"/>
      <c r="E180" s="46"/>
      <c r="F180" s="47"/>
      <c r="G180" s="46" t="s">
        <v>133</v>
      </c>
      <c r="H180" s="46"/>
      <c r="I180" s="46" t="s">
        <v>55</v>
      </c>
      <c r="J180" s="46" t="s">
        <v>146</v>
      </c>
      <c r="K180" s="47"/>
      <c r="L180" s="46" t="s">
        <v>147</v>
      </c>
      <c r="M180" s="48"/>
      <c r="N180" s="46"/>
      <c r="O180" s="46" t="s">
        <v>2</v>
      </c>
      <c r="P180" s="46"/>
      <c r="Q180" s="46"/>
      <c r="R180" s="48"/>
      <c r="S180" s="46"/>
      <c r="T180" s="46"/>
      <c r="U180" s="46"/>
      <c r="V180" s="46"/>
      <c r="W180" s="46"/>
      <c r="X180" s="46"/>
      <c r="Y180" s="46"/>
      <c r="Z180" s="46"/>
    </row>
    <row r="181" spans="1:26" s="213" customFormat="1">
      <c r="A181" s="208" t="s">
        <v>131</v>
      </c>
      <c r="B181" s="209">
        <f>COUNTA($B$1:B180)</f>
        <v>172</v>
      </c>
      <c r="C181" s="210" t="s">
        <v>895</v>
      </c>
      <c r="D181" s="210"/>
      <c r="E181" s="210"/>
      <c r="F181" s="209"/>
      <c r="G181" s="210" t="s">
        <v>133</v>
      </c>
      <c r="H181" s="210"/>
      <c r="I181" s="210" t="s">
        <v>55</v>
      </c>
      <c r="J181" s="210" t="s">
        <v>907</v>
      </c>
      <c r="K181" s="209">
        <v>0</v>
      </c>
      <c r="L181" s="210" t="s">
        <v>147</v>
      </c>
      <c r="M181" s="214"/>
      <c r="N181" s="210"/>
      <c r="O181" s="210"/>
      <c r="P181" s="210"/>
      <c r="Q181" s="210"/>
      <c r="R181" s="210"/>
      <c r="S181" s="210"/>
      <c r="T181" s="210"/>
      <c r="U181" s="210"/>
      <c r="V181" s="210"/>
      <c r="W181" s="210"/>
      <c r="X181" s="210"/>
      <c r="Y181" s="210"/>
      <c r="Z181" s="210"/>
    </row>
    <row r="182" spans="1:26" s="213" customFormat="1">
      <c r="A182" s="208" t="s">
        <v>131</v>
      </c>
      <c r="B182" s="209">
        <f>COUNTA($B$1:B181)</f>
        <v>173</v>
      </c>
      <c r="C182" s="210" t="s">
        <v>897</v>
      </c>
      <c r="D182" s="211"/>
      <c r="E182" s="212"/>
      <c r="F182" s="209"/>
      <c r="G182" s="210" t="s">
        <v>133</v>
      </c>
      <c r="H182" s="210"/>
      <c r="I182" s="210" t="s">
        <v>55</v>
      </c>
      <c r="J182" s="210" t="s">
        <v>898</v>
      </c>
      <c r="K182" s="209">
        <v>0</v>
      </c>
      <c r="L182" s="210" t="s">
        <v>98</v>
      </c>
      <c r="M182" s="210"/>
      <c r="N182" s="210" t="s">
        <v>99</v>
      </c>
      <c r="O182" s="210"/>
      <c r="P182" s="210"/>
      <c r="Q182" s="210"/>
      <c r="R182" s="210">
        <f>S167</f>
        <v>0</v>
      </c>
      <c r="S182" s="212"/>
      <c r="T182" s="210" t="s">
        <v>2</v>
      </c>
      <c r="U182" s="210"/>
      <c r="V182" s="210"/>
      <c r="W182" s="210"/>
      <c r="X182" s="212"/>
      <c r="Y182" s="212"/>
      <c r="Z182" s="212"/>
    </row>
    <row r="183" spans="1:26" s="213" customFormat="1">
      <c r="A183" s="208" t="s">
        <v>131</v>
      </c>
      <c r="B183" s="209">
        <f>COUNTA($B$1:B182)</f>
        <v>174</v>
      </c>
      <c r="C183" s="210" t="s">
        <v>297</v>
      </c>
      <c r="D183" s="215"/>
      <c r="E183" s="212"/>
      <c r="F183" s="209"/>
      <c r="G183" s="210" t="s">
        <v>133</v>
      </c>
      <c r="H183" s="210"/>
      <c r="I183" s="210" t="s">
        <v>55</v>
      </c>
      <c r="J183" s="210" t="s">
        <v>298</v>
      </c>
      <c r="K183" s="209">
        <v>0</v>
      </c>
      <c r="L183" s="210" t="s">
        <v>98</v>
      </c>
      <c r="M183" s="214"/>
      <c r="N183" s="210" t="s">
        <v>99</v>
      </c>
      <c r="O183" s="210"/>
      <c r="P183" s="210"/>
      <c r="Q183" s="210"/>
      <c r="R183" s="210">
        <f t="shared" ref="R183:R188" si="1">S168</f>
        <v>0</v>
      </c>
      <c r="S183" s="210"/>
      <c r="T183" s="210" t="s">
        <v>2</v>
      </c>
      <c r="U183" s="210"/>
      <c r="V183" s="210"/>
      <c r="W183" s="210"/>
      <c r="X183" s="210"/>
      <c r="Y183" s="210"/>
      <c r="Z183" s="210"/>
    </row>
    <row r="184" spans="1:26" s="213" customFormat="1">
      <c r="A184" s="208" t="s">
        <v>131</v>
      </c>
      <c r="B184" s="209">
        <f>COUNTA($B$1:B183)</f>
        <v>175</v>
      </c>
      <c r="C184" s="210" t="s">
        <v>299</v>
      </c>
      <c r="D184" s="215"/>
      <c r="E184" s="212"/>
      <c r="F184" s="209"/>
      <c r="G184" s="210" t="s">
        <v>133</v>
      </c>
      <c r="H184" s="210"/>
      <c r="I184" s="210" t="s">
        <v>55</v>
      </c>
      <c r="J184" s="210" t="s">
        <v>300</v>
      </c>
      <c r="K184" s="209">
        <v>0</v>
      </c>
      <c r="L184" s="210" t="s">
        <v>98</v>
      </c>
      <c r="M184" s="214"/>
      <c r="N184" s="210" t="s">
        <v>99</v>
      </c>
      <c r="O184" s="210"/>
      <c r="P184" s="210"/>
      <c r="Q184" s="210"/>
      <c r="R184" s="210">
        <f t="shared" si="1"/>
        <v>0</v>
      </c>
      <c r="S184" s="210"/>
      <c r="T184" s="210" t="s">
        <v>2</v>
      </c>
      <c r="U184" s="210"/>
      <c r="V184" s="210"/>
      <c r="W184" s="210"/>
      <c r="X184" s="210"/>
      <c r="Y184" s="210"/>
      <c r="Z184" s="210"/>
    </row>
    <row r="185" spans="1:26" s="213" customFormat="1">
      <c r="A185" s="208" t="s">
        <v>131</v>
      </c>
      <c r="B185" s="209">
        <f>COUNTA($B$1:B184)</f>
        <v>176</v>
      </c>
      <c r="C185" s="210" t="s">
        <v>903</v>
      </c>
      <c r="D185" s="215"/>
      <c r="E185" s="212"/>
      <c r="F185" s="209"/>
      <c r="G185" s="210" t="s">
        <v>133</v>
      </c>
      <c r="H185" s="210"/>
      <c r="I185" s="210" t="s">
        <v>55</v>
      </c>
      <c r="J185" s="210" t="s">
        <v>899</v>
      </c>
      <c r="K185" s="209">
        <v>0</v>
      </c>
      <c r="L185" s="210" t="s">
        <v>98</v>
      </c>
      <c r="M185" s="214"/>
      <c r="N185" s="210" t="s">
        <v>99</v>
      </c>
      <c r="O185" s="210"/>
      <c r="P185" s="210"/>
      <c r="Q185" s="210"/>
      <c r="R185" s="210">
        <f t="shared" si="1"/>
        <v>0</v>
      </c>
      <c r="S185" s="210"/>
      <c r="T185" s="210" t="s">
        <v>2</v>
      </c>
      <c r="U185" s="210"/>
      <c r="V185" s="210"/>
      <c r="W185" s="210"/>
      <c r="X185" s="210"/>
      <c r="Y185" s="210"/>
      <c r="Z185" s="210"/>
    </row>
    <row r="186" spans="1:26" s="213" customFormat="1">
      <c r="A186" s="208" t="s">
        <v>131</v>
      </c>
      <c r="B186" s="209">
        <f>COUNTA($B$1:B185)</f>
        <v>177</v>
      </c>
      <c r="C186" s="210" t="s">
        <v>904</v>
      </c>
      <c r="D186" s="215"/>
      <c r="E186" s="212"/>
      <c r="F186" s="209"/>
      <c r="G186" s="210" t="s">
        <v>133</v>
      </c>
      <c r="H186" s="210"/>
      <c r="I186" s="210" t="s">
        <v>55</v>
      </c>
      <c r="J186" s="210" t="s">
        <v>901</v>
      </c>
      <c r="K186" s="209">
        <v>0</v>
      </c>
      <c r="L186" s="210" t="s">
        <v>98</v>
      </c>
      <c r="M186" s="214"/>
      <c r="N186" s="210" t="s">
        <v>99</v>
      </c>
      <c r="O186" s="210"/>
      <c r="P186" s="210"/>
      <c r="Q186" s="210"/>
      <c r="R186" s="210">
        <f t="shared" si="1"/>
        <v>0</v>
      </c>
      <c r="S186" s="210"/>
      <c r="T186" s="210" t="s">
        <v>2</v>
      </c>
      <c r="U186" s="210"/>
      <c r="V186" s="210"/>
      <c r="W186" s="210"/>
      <c r="X186" s="210"/>
      <c r="Y186" s="210"/>
      <c r="Z186" s="210"/>
    </row>
    <row r="187" spans="1:26" s="213" customFormat="1">
      <c r="A187" s="208" t="s">
        <v>131</v>
      </c>
      <c r="B187" s="209">
        <f>COUNTA($B$1:B186)</f>
        <v>178</v>
      </c>
      <c r="C187" s="210" t="s">
        <v>905</v>
      </c>
      <c r="D187" s="215"/>
      <c r="E187" s="212"/>
      <c r="F187" s="209"/>
      <c r="G187" s="210" t="s">
        <v>133</v>
      </c>
      <c r="H187" s="210"/>
      <c r="I187" s="210" t="s">
        <v>55</v>
      </c>
      <c r="J187" s="210" t="s">
        <v>107</v>
      </c>
      <c r="K187" s="209">
        <v>0</v>
      </c>
      <c r="L187" s="210" t="s">
        <v>98</v>
      </c>
      <c r="M187" s="214"/>
      <c r="N187" s="210" t="s">
        <v>99</v>
      </c>
      <c r="O187" s="210"/>
      <c r="P187" s="210"/>
      <c r="Q187" s="210"/>
      <c r="R187" s="210">
        <f t="shared" si="1"/>
        <v>0</v>
      </c>
      <c r="S187" s="210"/>
      <c r="T187" s="210" t="s">
        <v>2</v>
      </c>
      <c r="U187" s="210"/>
      <c r="V187" s="210"/>
      <c r="W187" s="210"/>
      <c r="X187" s="210"/>
      <c r="Y187" s="210"/>
      <c r="Z187" s="210"/>
    </row>
    <row r="188" spans="1:26" s="213" customFormat="1">
      <c r="A188" s="208" t="s">
        <v>131</v>
      </c>
      <c r="B188" s="209">
        <f>COUNTA($B$1:B187)</f>
        <v>179</v>
      </c>
      <c r="C188" s="210" t="s">
        <v>906</v>
      </c>
      <c r="D188" s="215"/>
      <c r="E188" s="212"/>
      <c r="F188" s="209"/>
      <c r="G188" s="210" t="s">
        <v>133</v>
      </c>
      <c r="H188" s="210"/>
      <c r="I188" s="210" t="s">
        <v>55</v>
      </c>
      <c r="J188" s="210" t="s">
        <v>838</v>
      </c>
      <c r="K188" s="209">
        <v>0</v>
      </c>
      <c r="L188" s="210" t="s">
        <v>98</v>
      </c>
      <c r="M188" s="214"/>
      <c r="N188" s="210" t="s">
        <v>99</v>
      </c>
      <c r="O188" s="210"/>
      <c r="P188" s="210"/>
      <c r="Q188" s="210"/>
      <c r="R188" s="210">
        <f t="shared" si="1"/>
        <v>0</v>
      </c>
      <c r="S188" s="210"/>
      <c r="T188" s="210" t="s">
        <v>2</v>
      </c>
      <c r="U188" s="210"/>
      <c r="V188" s="210"/>
      <c r="W188" s="210"/>
      <c r="X188" s="210"/>
      <c r="Y188" s="210"/>
      <c r="Z188" s="210"/>
    </row>
    <row r="189" spans="1:26" s="213" customFormat="1">
      <c r="A189" s="208" t="s">
        <v>131</v>
      </c>
      <c r="B189" s="209">
        <f>COUNTA($B$1:B188)</f>
        <v>180</v>
      </c>
      <c r="C189" s="210" t="s">
        <v>908</v>
      </c>
      <c r="D189" s="211"/>
      <c r="E189" s="212" t="s">
        <v>154</v>
      </c>
      <c r="F189" s="209"/>
      <c r="G189" s="210" t="s">
        <v>133</v>
      </c>
      <c r="H189" s="210"/>
      <c r="I189" s="210" t="s">
        <v>55</v>
      </c>
      <c r="J189" s="210" t="s">
        <v>911</v>
      </c>
      <c r="K189" s="209">
        <v>0</v>
      </c>
      <c r="L189" s="210" t="s">
        <v>98</v>
      </c>
      <c r="M189" s="214"/>
      <c r="N189" s="210" t="s">
        <v>99</v>
      </c>
      <c r="O189" s="210"/>
      <c r="P189" s="210"/>
      <c r="Q189" s="210"/>
      <c r="R189" s="216"/>
      <c r="S189" s="212"/>
      <c r="T189" s="210"/>
      <c r="U189" s="210"/>
      <c r="V189" s="210"/>
      <c r="W189" s="210"/>
      <c r="X189" s="210"/>
      <c r="Y189" s="210"/>
      <c r="Z189" s="210"/>
    </row>
    <row r="190" spans="1:26" s="213" customFormat="1">
      <c r="A190" s="208" t="s">
        <v>131</v>
      </c>
      <c r="B190" s="209">
        <f>COUNTA($B$1:B189)</f>
        <v>181</v>
      </c>
      <c r="C190" s="210" t="s">
        <v>909</v>
      </c>
      <c r="D190" s="211"/>
      <c r="E190" s="212" t="s">
        <v>154</v>
      </c>
      <c r="F190" s="209"/>
      <c r="G190" s="210" t="s">
        <v>133</v>
      </c>
      <c r="H190" s="210"/>
      <c r="I190" s="210" t="s">
        <v>55</v>
      </c>
      <c r="J190" s="210" t="s">
        <v>911</v>
      </c>
      <c r="K190" s="209">
        <v>1</v>
      </c>
      <c r="L190" s="210" t="s">
        <v>98</v>
      </c>
      <c r="M190" s="214"/>
      <c r="N190" s="210" t="s">
        <v>99</v>
      </c>
      <c r="O190" s="210"/>
      <c r="P190" s="210"/>
      <c r="Q190" s="210"/>
      <c r="R190" s="214"/>
      <c r="S190" s="212"/>
      <c r="T190" s="210"/>
      <c r="U190" s="210"/>
      <c r="V190" s="210"/>
      <c r="W190" s="210"/>
      <c r="X190" s="210"/>
      <c r="Y190" s="210"/>
      <c r="Z190" s="210"/>
    </row>
    <row r="191" spans="1:26" s="213" customFormat="1">
      <c r="A191" s="208" t="s">
        <v>131</v>
      </c>
      <c r="B191" s="209">
        <f>COUNTA($B$1:B190)</f>
        <v>182</v>
      </c>
      <c r="C191" s="210" t="s">
        <v>910</v>
      </c>
      <c r="D191" s="211"/>
      <c r="E191" s="212" t="s">
        <v>154</v>
      </c>
      <c r="F191" s="209"/>
      <c r="G191" s="210" t="s">
        <v>133</v>
      </c>
      <c r="H191" s="210"/>
      <c r="I191" s="210" t="s">
        <v>55</v>
      </c>
      <c r="J191" s="210" t="s">
        <v>911</v>
      </c>
      <c r="K191" s="209">
        <v>2</v>
      </c>
      <c r="L191" s="210" t="s">
        <v>98</v>
      </c>
      <c r="M191" s="214"/>
      <c r="N191" s="210" t="s">
        <v>99</v>
      </c>
      <c r="O191" s="210"/>
      <c r="P191" s="210"/>
      <c r="Q191" s="210"/>
      <c r="R191" s="214"/>
      <c r="S191" s="212"/>
      <c r="T191" s="210"/>
      <c r="U191" s="210"/>
      <c r="V191" s="210"/>
      <c r="W191" s="210"/>
      <c r="X191" s="210"/>
      <c r="Y191" s="210"/>
      <c r="Z191" s="210"/>
    </row>
    <row r="192" spans="1:26" s="213" customFormat="1">
      <c r="A192" s="208" t="s">
        <v>131</v>
      </c>
      <c r="B192" s="209">
        <f>COUNTA($B$1:B191)</f>
        <v>183</v>
      </c>
      <c r="C192" s="210" t="s">
        <v>902</v>
      </c>
      <c r="D192" s="215"/>
      <c r="E192" s="212"/>
      <c r="F192" s="209"/>
      <c r="G192" s="210" t="s">
        <v>133</v>
      </c>
      <c r="H192" s="210"/>
      <c r="I192" s="210" t="s">
        <v>55</v>
      </c>
      <c r="J192" s="210" t="s">
        <v>574</v>
      </c>
      <c r="K192" s="209">
        <v>0</v>
      </c>
      <c r="L192" s="210" t="s">
        <v>98</v>
      </c>
      <c r="M192" s="214"/>
      <c r="N192" s="210" t="s">
        <v>99</v>
      </c>
      <c r="O192" s="210"/>
      <c r="P192" s="210"/>
      <c r="Q192" s="210"/>
      <c r="R192" s="210">
        <f>S174</f>
        <v>0</v>
      </c>
      <c r="S192" s="210"/>
      <c r="T192" s="210" t="s">
        <v>2</v>
      </c>
      <c r="U192" s="210"/>
      <c r="V192" s="210"/>
      <c r="W192" s="210"/>
      <c r="X192" s="210"/>
      <c r="Y192" s="210"/>
      <c r="Z192" s="210"/>
    </row>
    <row r="193" spans="1:26" s="16" customFormat="1" outlineLevel="1">
      <c r="A193" s="33" t="s">
        <v>131</v>
      </c>
      <c r="B193" s="34">
        <f>COUNTA($B$1:B192)</f>
        <v>184</v>
      </c>
      <c r="C193" s="35" t="s">
        <v>284</v>
      </c>
      <c r="D193" s="35"/>
      <c r="E193" s="35"/>
      <c r="F193" s="34"/>
      <c r="G193" s="35" t="s">
        <v>133</v>
      </c>
      <c r="H193" s="35"/>
      <c r="I193" s="35" t="s">
        <v>55</v>
      </c>
      <c r="J193" s="35" t="s">
        <v>285</v>
      </c>
      <c r="K193" s="34">
        <v>0</v>
      </c>
      <c r="L193" s="35" t="s">
        <v>142</v>
      </c>
      <c r="M193" s="35"/>
      <c r="N193" s="35"/>
      <c r="O193" s="35"/>
      <c r="P193" s="35"/>
      <c r="Q193" s="35"/>
      <c r="R193" s="52"/>
      <c r="S193" s="35"/>
      <c r="T193" s="35"/>
      <c r="U193" s="35"/>
      <c r="V193" s="35"/>
      <c r="W193" s="35"/>
      <c r="X193" s="35"/>
      <c r="Y193" s="35"/>
      <c r="Z193" s="35"/>
    </row>
    <row r="194" spans="1:26" s="16" customFormat="1" outlineLevel="1">
      <c r="A194" s="33" t="s">
        <v>131</v>
      </c>
      <c r="B194" s="34">
        <f>COUNTA($B$1:B193)</f>
        <v>185</v>
      </c>
      <c r="C194" s="35" t="s">
        <v>67</v>
      </c>
      <c r="D194" s="35"/>
      <c r="E194" s="35"/>
      <c r="F194" s="34"/>
      <c r="G194" s="35" t="s">
        <v>133</v>
      </c>
      <c r="H194" s="35"/>
      <c r="I194" s="35"/>
      <c r="J194" s="35"/>
      <c r="K194" s="34"/>
      <c r="L194" s="35" t="s">
        <v>67</v>
      </c>
      <c r="M194" s="36">
        <v>2</v>
      </c>
      <c r="N194" s="35"/>
      <c r="O194" s="35"/>
      <c r="P194" s="35"/>
      <c r="Q194" s="35"/>
      <c r="R194" s="36"/>
      <c r="S194" s="35"/>
      <c r="T194" s="35"/>
      <c r="U194" s="35"/>
      <c r="V194" s="35"/>
      <c r="W194" s="35"/>
      <c r="X194" s="35"/>
      <c r="Y194" s="35"/>
      <c r="Z194" s="35"/>
    </row>
    <row r="195" spans="1:26">
      <c r="A195" s="33" t="s">
        <v>131</v>
      </c>
      <c r="B195" s="34">
        <f>COUNTA($B$1:B194)</f>
        <v>186</v>
      </c>
      <c r="C195" s="35" t="s">
        <v>286</v>
      </c>
      <c r="D195" s="35"/>
      <c r="E195" s="35"/>
      <c r="F195" s="34"/>
      <c r="G195" s="35" t="s">
        <v>133</v>
      </c>
      <c r="H195" s="35"/>
      <c r="I195" s="35" t="s">
        <v>55</v>
      </c>
      <c r="J195" s="35" t="s">
        <v>287</v>
      </c>
      <c r="K195" s="34">
        <v>0</v>
      </c>
      <c r="L195" s="35" t="s">
        <v>0</v>
      </c>
      <c r="M195" s="50" t="s">
        <v>288</v>
      </c>
      <c r="N195" s="35"/>
      <c r="O195" s="35"/>
      <c r="P195" s="35"/>
      <c r="Q195" s="35"/>
      <c r="R195" s="52"/>
      <c r="S195" s="35"/>
      <c r="T195" s="35"/>
      <c r="U195" s="35"/>
      <c r="V195" s="35"/>
      <c r="W195" s="35"/>
      <c r="X195" s="35"/>
      <c r="Y195" s="35"/>
      <c r="Z195" s="35"/>
    </row>
    <row r="196" spans="1:26">
      <c r="A196" s="33" t="s">
        <v>131</v>
      </c>
      <c r="B196" s="34">
        <f>COUNTA($B$1:B195)</f>
        <v>187</v>
      </c>
      <c r="C196" s="35" t="s">
        <v>289</v>
      </c>
      <c r="D196" s="35"/>
      <c r="E196" s="35"/>
      <c r="F196" s="34"/>
      <c r="G196" s="35" t="s">
        <v>133</v>
      </c>
      <c r="H196" s="35"/>
      <c r="I196" s="35" t="s">
        <v>55</v>
      </c>
      <c r="J196" s="35" t="s">
        <v>290</v>
      </c>
      <c r="K196" s="34">
        <v>0</v>
      </c>
      <c r="L196" s="35" t="s">
        <v>0</v>
      </c>
      <c r="M196" s="50" t="s">
        <v>291</v>
      </c>
      <c r="N196" s="35"/>
      <c r="O196" s="35"/>
      <c r="P196" s="35"/>
      <c r="Q196" s="35"/>
      <c r="R196" s="52"/>
      <c r="S196" s="35"/>
      <c r="T196" s="35"/>
      <c r="U196" s="35"/>
      <c r="V196" s="35"/>
      <c r="W196" s="35"/>
      <c r="X196" s="35"/>
      <c r="Y196" s="35"/>
      <c r="Z196" s="35"/>
    </row>
    <row r="197" spans="1:26">
      <c r="A197" s="33" t="s">
        <v>131</v>
      </c>
      <c r="B197" s="34">
        <f>COUNTA($B$1:B196)</f>
        <v>188</v>
      </c>
      <c r="C197" s="35" t="s">
        <v>292</v>
      </c>
      <c r="D197" s="35"/>
      <c r="E197" s="35"/>
      <c r="F197" s="34"/>
      <c r="G197" s="35" t="s">
        <v>133</v>
      </c>
      <c r="H197" s="35"/>
      <c r="I197" s="35" t="s">
        <v>55</v>
      </c>
      <c r="J197" s="35" t="s">
        <v>293</v>
      </c>
      <c r="K197" s="34">
        <v>0</v>
      </c>
      <c r="L197" s="35" t="s">
        <v>0</v>
      </c>
      <c r="M197" s="50" t="s">
        <v>294</v>
      </c>
      <c r="N197" s="35"/>
      <c r="O197" s="35"/>
      <c r="P197" s="35"/>
      <c r="Q197" s="35"/>
      <c r="R197" s="52"/>
      <c r="S197" s="35"/>
      <c r="T197" s="35"/>
      <c r="U197" s="35"/>
      <c r="V197" s="35"/>
      <c r="W197" s="35"/>
      <c r="X197" s="35"/>
      <c r="Y197" s="35"/>
      <c r="Z197" s="35"/>
    </row>
    <row r="198" spans="1:26" s="11" customFormat="1">
      <c r="A198" s="33" t="s">
        <v>131</v>
      </c>
      <c r="B198" s="34">
        <f>COUNTA($B$1:B197)</f>
        <v>189</v>
      </c>
      <c r="C198" s="35" t="s">
        <v>190</v>
      </c>
      <c r="D198" s="35"/>
      <c r="E198" s="35"/>
      <c r="F198" s="34"/>
      <c r="G198" s="35" t="s">
        <v>133</v>
      </c>
      <c r="H198" s="35"/>
      <c r="I198" s="35" t="s">
        <v>55</v>
      </c>
      <c r="J198" s="35" t="s">
        <v>87</v>
      </c>
      <c r="K198" s="34">
        <v>0</v>
      </c>
      <c r="L198" s="35" t="s">
        <v>147</v>
      </c>
      <c r="M198" s="36"/>
      <c r="N198" s="35"/>
      <c r="O198" s="35"/>
      <c r="P198" s="35"/>
      <c r="Q198" s="35"/>
      <c r="R198" s="35"/>
      <c r="S198" s="35"/>
      <c r="T198" s="35"/>
      <c r="U198" s="35"/>
      <c r="V198" s="35"/>
      <c r="W198" s="35"/>
      <c r="X198" s="35"/>
      <c r="Y198" s="35"/>
      <c r="Z198" s="35"/>
    </row>
    <row r="199" spans="1:26">
      <c r="A199" s="33" t="s">
        <v>131</v>
      </c>
      <c r="B199" s="34">
        <f>COUNTA($B$1:B198)</f>
        <v>190</v>
      </c>
      <c r="C199" s="35" t="s">
        <v>67</v>
      </c>
      <c r="D199" s="35"/>
      <c r="E199" s="35"/>
      <c r="F199" s="34"/>
      <c r="G199" s="35" t="s">
        <v>133</v>
      </c>
      <c r="H199" s="35"/>
      <c r="I199" s="35"/>
      <c r="J199" s="35"/>
      <c r="K199" s="34"/>
      <c r="L199" s="35" t="s">
        <v>67</v>
      </c>
      <c r="M199" s="36">
        <v>10</v>
      </c>
      <c r="N199" s="35"/>
      <c r="O199" s="35"/>
      <c r="P199" s="35"/>
      <c r="Q199" s="35"/>
      <c r="R199" s="36"/>
      <c r="S199" s="35"/>
      <c r="T199" s="35"/>
      <c r="U199" s="35"/>
      <c r="V199" s="35"/>
      <c r="W199" s="35"/>
      <c r="X199" s="35"/>
      <c r="Y199" s="35"/>
      <c r="Z199" s="35"/>
    </row>
    <row r="200" spans="1:26">
      <c r="A200" s="33" t="s">
        <v>131</v>
      </c>
      <c r="B200" s="34">
        <f>COUNTA($B$1:B199)</f>
        <v>191</v>
      </c>
      <c r="C200" s="35" t="s">
        <v>805</v>
      </c>
      <c r="D200" s="35"/>
      <c r="E200" s="35"/>
      <c r="F200" s="34"/>
      <c r="G200" s="35" t="s">
        <v>133</v>
      </c>
      <c r="H200" s="35"/>
      <c r="I200" s="35" t="s">
        <v>55</v>
      </c>
      <c r="J200" s="35" t="s">
        <v>807</v>
      </c>
      <c r="K200" s="34"/>
      <c r="L200" s="35" t="s">
        <v>98</v>
      </c>
      <c r="M200" s="36"/>
      <c r="N200" s="35" t="s">
        <v>99</v>
      </c>
      <c r="O200" s="35"/>
      <c r="P200" s="35"/>
      <c r="Q200" s="35"/>
      <c r="R200" s="36" t="s">
        <v>806</v>
      </c>
      <c r="S200" s="35"/>
      <c r="T200" s="35" t="s">
        <v>2</v>
      </c>
      <c r="U200" s="35"/>
      <c r="V200" s="35"/>
      <c r="W200" s="35"/>
      <c r="X200" s="35"/>
      <c r="Y200" s="35"/>
      <c r="Z200" s="35"/>
    </row>
    <row r="201" spans="1:26" s="20" customFormat="1" ht="12.75" customHeight="1">
      <c r="A201" s="33" t="s">
        <v>131</v>
      </c>
      <c r="B201" s="34">
        <f>COUNTA($B$1:B200)</f>
        <v>192</v>
      </c>
      <c r="C201" s="35" t="s">
        <v>228</v>
      </c>
      <c r="D201" s="35"/>
      <c r="E201" s="35"/>
      <c r="F201" s="34"/>
      <c r="G201" s="35" t="s">
        <v>133</v>
      </c>
      <c r="H201" s="35"/>
      <c r="I201" s="35" t="s">
        <v>55</v>
      </c>
      <c r="J201" s="35" t="s">
        <v>229</v>
      </c>
      <c r="K201" s="34">
        <v>0</v>
      </c>
      <c r="L201" s="35" t="s">
        <v>0</v>
      </c>
      <c r="M201" s="50" t="s">
        <v>230</v>
      </c>
      <c r="N201" s="35"/>
      <c r="O201" s="35"/>
      <c r="P201" s="35"/>
      <c r="Q201" s="35"/>
      <c r="R201" s="52"/>
      <c r="S201" s="35"/>
      <c r="T201" s="35"/>
      <c r="U201" s="35"/>
      <c r="V201" s="35"/>
      <c r="W201" s="35"/>
      <c r="X201" s="35"/>
      <c r="Y201" s="35"/>
      <c r="Z201" s="35"/>
    </row>
    <row r="202" spans="1:26" s="16" customFormat="1" outlineLevel="1">
      <c r="A202" s="33" t="s">
        <v>131</v>
      </c>
      <c r="B202" s="34">
        <f>COUNTA($B$1:B201)</f>
        <v>193</v>
      </c>
      <c r="C202" s="35" t="s">
        <v>89</v>
      </c>
      <c r="D202" s="35"/>
      <c r="E202" s="35"/>
      <c r="F202" s="34"/>
      <c r="G202" s="35" t="s">
        <v>133</v>
      </c>
      <c r="H202" s="35"/>
      <c r="I202" s="35" t="s">
        <v>55</v>
      </c>
      <c r="J202" s="35" t="s">
        <v>231</v>
      </c>
      <c r="K202" s="34">
        <v>0</v>
      </c>
      <c r="L202" s="35" t="s">
        <v>0</v>
      </c>
      <c r="M202" s="50" t="s">
        <v>816</v>
      </c>
      <c r="N202" s="35"/>
      <c r="O202" s="35"/>
      <c r="P202" s="35"/>
      <c r="Q202" s="35"/>
      <c r="R202" s="52"/>
      <c r="S202" s="35"/>
      <c r="T202" s="35"/>
      <c r="U202" s="35"/>
      <c r="V202" s="35"/>
      <c r="W202" s="35"/>
      <c r="X202" s="35"/>
      <c r="Y202" s="35"/>
      <c r="Z202" s="35"/>
    </row>
    <row r="203" spans="1:26" s="16" customFormat="1" outlineLevel="1">
      <c r="A203" s="33" t="s">
        <v>131</v>
      </c>
      <c r="B203" s="34">
        <f>COUNTA($B$1:B202)</f>
        <v>194</v>
      </c>
      <c r="C203" s="35" t="s">
        <v>232</v>
      </c>
      <c r="D203" s="35"/>
      <c r="E203" s="35"/>
      <c r="F203" s="34"/>
      <c r="G203" s="35" t="s">
        <v>133</v>
      </c>
      <c r="H203" s="35"/>
      <c r="I203" s="35" t="s">
        <v>55</v>
      </c>
      <c r="J203" s="35" t="s">
        <v>233</v>
      </c>
      <c r="K203" s="34">
        <v>0</v>
      </c>
      <c r="L203" s="35" t="s">
        <v>0</v>
      </c>
      <c r="M203" s="50" t="s">
        <v>818</v>
      </c>
      <c r="N203" s="35"/>
      <c r="O203" s="35"/>
      <c r="P203" s="35"/>
      <c r="Q203" s="35"/>
      <c r="R203" s="52"/>
      <c r="S203" s="35"/>
      <c r="T203" s="35"/>
      <c r="U203" s="35"/>
      <c r="V203" s="35"/>
      <c r="W203" s="35"/>
      <c r="X203" s="35"/>
      <c r="Y203" s="35"/>
      <c r="Z203" s="35"/>
    </row>
    <row r="204" spans="1:26" s="16" customFormat="1" outlineLevel="1">
      <c r="A204" s="33" t="s">
        <v>131</v>
      </c>
      <c r="B204" s="34">
        <f>COUNTA($B$1:B203)</f>
        <v>195</v>
      </c>
      <c r="C204" s="35" t="s">
        <v>235</v>
      </c>
      <c r="D204" s="35"/>
      <c r="E204" s="35"/>
      <c r="F204" s="34"/>
      <c r="G204" s="35" t="s">
        <v>133</v>
      </c>
      <c r="H204" s="35"/>
      <c r="I204" s="35" t="s">
        <v>55</v>
      </c>
      <c r="J204" s="35" t="s">
        <v>236</v>
      </c>
      <c r="K204" s="34">
        <v>0</v>
      </c>
      <c r="L204" s="35" t="s">
        <v>0</v>
      </c>
      <c r="M204" s="50" t="s">
        <v>282</v>
      </c>
      <c r="N204" s="35"/>
      <c r="O204" s="35"/>
      <c r="P204" s="35"/>
      <c r="Q204" s="35"/>
      <c r="R204" s="52"/>
      <c r="S204" s="35"/>
      <c r="T204" s="35"/>
      <c r="U204" s="35"/>
      <c r="V204" s="35"/>
      <c r="W204" s="35"/>
      <c r="X204" s="35"/>
      <c r="Y204" s="35"/>
      <c r="Z204" s="35"/>
    </row>
    <row r="205" spans="1:26" s="16" customFormat="1" outlineLevel="1">
      <c r="A205" s="33" t="s">
        <v>131</v>
      </c>
      <c r="B205" s="34">
        <f>COUNTA($B$1:B204)</f>
        <v>196</v>
      </c>
      <c r="C205" s="35" t="s">
        <v>238</v>
      </c>
      <c r="D205" s="35"/>
      <c r="E205" s="35"/>
      <c r="F205" s="34"/>
      <c r="G205" s="35" t="s">
        <v>133</v>
      </c>
      <c r="H205" s="35"/>
      <c r="I205" s="35" t="s">
        <v>55</v>
      </c>
      <c r="J205" s="35" t="s">
        <v>90</v>
      </c>
      <c r="K205" s="34">
        <v>0</v>
      </c>
      <c r="L205" s="35" t="s">
        <v>0</v>
      </c>
      <c r="M205" s="50" t="s">
        <v>283</v>
      </c>
      <c r="N205" s="35"/>
      <c r="O205" s="35"/>
      <c r="P205" s="35"/>
      <c r="Q205" s="35"/>
      <c r="R205" s="52"/>
      <c r="S205" s="35"/>
      <c r="T205" s="35"/>
      <c r="U205" s="35"/>
      <c r="V205" s="35"/>
      <c r="W205" s="35"/>
      <c r="X205" s="35"/>
      <c r="Y205" s="35"/>
      <c r="Z205" s="35"/>
    </row>
    <row r="206" spans="1:26" s="16" customFormat="1" outlineLevel="1">
      <c r="A206" s="33" t="s">
        <v>131</v>
      </c>
      <c r="B206" s="34">
        <f>COUNTA($B$1:B205)</f>
        <v>197</v>
      </c>
      <c r="C206" s="35" t="s">
        <v>240</v>
      </c>
      <c r="D206" s="35"/>
      <c r="E206" s="35"/>
      <c r="F206" s="34"/>
      <c r="G206" s="35" t="s">
        <v>133</v>
      </c>
      <c r="H206" s="35"/>
      <c r="I206" s="35" t="s">
        <v>55</v>
      </c>
      <c r="J206" s="35" t="s">
        <v>241</v>
      </c>
      <c r="K206" s="34">
        <v>0</v>
      </c>
      <c r="L206" s="35" t="s">
        <v>0</v>
      </c>
      <c r="M206" s="50" t="s">
        <v>242</v>
      </c>
      <c r="N206" s="35"/>
      <c r="O206" s="35"/>
      <c r="P206" s="35"/>
      <c r="Q206" s="35"/>
      <c r="R206" s="52"/>
      <c r="S206" s="35"/>
      <c r="T206" s="35"/>
      <c r="U206" s="35"/>
      <c r="V206" s="35"/>
      <c r="W206" s="35"/>
      <c r="X206" s="35"/>
      <c r="Y206" s="35"/>
      <c r="Z206" s="35"/>
    </row>
    <row r="207" spans="1:26" s="11" customFormat="1">
      <c r="A207" s="33" t="s">
        <v>131</v>
      </c>
      <c r="B207" s="34">
        <f>COUNTA($B$1:B206)</f>
        <v>198</v>
      </c>
      <c r="C207" s="35" t="s">
        <v>190</v>
      </c>
      <c r="D207" s="35"/>
      <c r="E207" s="35"/>
      <c r="F207" s="34"/>
      <c r="G207" s="35" t="s">
        <v>133</v>
      </c>
      <c r="H207" s="35"/>
      <c r="I207" s="35" t="s">
        <v>55</v>
      </c>
      <c r="J207" s="35" t="s">
        <v>87</v>
      </c>
      <c r="K207" s="34">
        <v>0</v>
      </c>
      <c r="L207" s="35" t="s">
        <v>147</v>
      </c>
      <c r="M207" s="36"/>
      <c r="N207" s="35"/>
      <c r="O207" s="35"/>
      <c r="P207" s="35"/>
      <c r="Q207" s="35"/>
      <c r="R207" s="35"/>
      <c r="S207" s="35"/>
      <c r="T207" s="35"/>
      <c r="U207" s="35"/>
      <c r="V207" s="35"/>
      <c r="W207" s="35"/>
      <c r="X207" s="35"/>
      <c r="Y207" s="35"/>
      <c r="Z207" s="35"/>
    </row>
    <row r="208" spans="1:26">
      <c r="A208" s="33" t="s">
        <v>131</v>
      </c>
      <c r="B208" s="34">
        <f>COUNTA($B$1:B207)</f>
        <v>199</v>
      </c>
      <c r="C208" s="35" t="s">
        <v>67</v>
      </c>
      <c r="D208" s="35"/>
      <c r="E208" s="35"/>
      <c r="F208" s="34"/>
      <c r="G208" s="35" t="s">
        <v>133</v>
      </c>
      <c r="H208" s="35"/>
      <c r="I208" s="35"/>
      <c r="J208" s="35"/>
      <c r="K208" s="34"/>
      <c r="L208" s="35" t="s">
        <v>67</v>
      </c>
      <c r="M208" s="36">
        <v>10</v>
      </c>
      <c r="N208" s="35"/>
      <c r="O208" s="35"/>
      <c r="P208" s="35"/>
      <c r="Q208" s="35"/>
      <c r="R208" s="36"/>
      <c r="S208" s="35"/>
      <c r="T208" s="35"/>
      <c r="U208" s="35"/>
      <c r="V208" s="35"/>
      <c r="W208" s="35"/>
      <c r="X208" s="35"/>
      <c r="Y208" s="35"/>
      <c r="Z208" s="35"/>
    </row>
    <row r="209" spans="1:26">
      <c r="A209" s="33" t="s">
        <v>131</v>
      </c>
      <c r="B209" s="34">
        <f>COUNTA($B$1:B208)</f>
        <v>200</v>
      </c>
      <c r="C209" s="35" t="s">
        <v>810</v>
      </c>
      <c r="D209" s="35"/>
      <c r="E209" s="35"/>
      <c r="F209" s="34"/>
      <c r="G209" s="35" t="s">
        <v>133</v>
      </c>
      <c r="H209" s="35"/>
      <c r="I209" s="35" t="s">
        <v>55</v>
      </c>
      <c r="J209" s="35" t="s">
        <v>807</v>
      </c>
      <c r="K209" s="34"/>
      <c r="L209" s="35" t="s">
        <v>98</v>
      </c>
      <c r="M209" s="36"/>
      <c r="N209" s="35" t="s">
        <v>99</v>
      </c>
      <c r="O209" s="35"/>
      <c r="P209" s="35"/>
      <c r="Q209" s="35"/>
      <c r="R209" s="36" t="s">
        <v>808</v>
      </c>
      <c r="S209" s="35"/>
      <c r="T209" s="35" t="s">
        <v>2</v>
      </c>
      <c r="U209" s="35"/>
      <c r="V209" s="35"/>
      <c r="W209" s="35"/>
      <c r="X209" s="35"/>
      <c r="Y209" s="35"/>
      <c r="Z209" s="35"/>
    </row>
    <row r="210" spans="1:26" s="16" customFormat="1" outlineLevel="1">
      <c r="A210" s="33" t="s">
        <v>131</v>
      </c>
      <c r="B210" s="34">
        <f>COUNTA($B$1:B209)</f>
        <v>201</v>
      </c>
      <c r="C210" s="35" t="s">
        <v>809</v>
      </c>
      <c r="D210" s="35"/>
      <c r="E210" s="35"/>
      <c r="F210" s="34"/>
      <c r="G210" s="35" t="s">
        <v>133</v>
      </c>
      <c r="H210" s="35"/>
      <c r="I210" s="35" t="s">
        <v>55</v>
      </c>
      <c r="J210" s="35" t="s">
        <v>233</v>
      </c>
      <c r="K210" s="34">
        <v>0</v>
      </c>
      <c r="L210" s="35" t="s">
        <v>0</v>
      </c>
      <c r="M210" s="50" t="s">
        <v>281</v>
      </c>
      <c r="N210" s="35"/>
      <c r="O210" s="35"/>
      <c r="P210" s="35"/>
      <c r="Q210" s="35"/>
      <c r="R210" s="52"/>
      <c r="S210" s="35"/>
      <c r="T210" s="35"/>
      <c r="U210" s="35"/>
      <c r="V210" s="35"/>
      <c r="W210" s="35"/>
      <c r="X210" s="35"/>
      <c r="Y210" s="35"/>
      <c r="Z210" s="35"/>
    </row>
    <row r="211" spans="1:26" s="11" customFormat="1">
      <c r="A211" s="33" t="s">
        <v>131</v>
      </c>
      <c r="B211" s="34">
        <f>COUNTA($B$1:B210)</f>
        <v>202</v>
      </c>
      <c r="C211" s="35" t="s">
        <v>190</v>
      </c>
      <c r="D211" s="35"/>
      <c r="E211" s="35"/>
      <c r="F211" s="34"/>
      <c r="G211" s="35" t="s">
        <v>133</v>
      </c>
      <c r="H211" s="35"/>
      <c r="I211" s="35" t="s">
        <v>55</v>
      </c>
      <c r="J211" s="35" t="s">
        <v>87</v>
      </c>
      <c r="K211" s="34">
        <v>0</v>
      </c>
      <c r="L211" s="35" t="s">
        <v>147</v>
      </c>
      <c r="M211" s="36"/>
      <c r="N211" s="35"/>
      <c r="O211" s="35"/>
      <c r="P211" s="35"/>
      <c r="Q211" s="35"/>
      <c r="R211" s="35"/>
      <c r="S211" s="35"/>
      <c r="T211" s="35"/>
      <c r="U211" s="35"/>
      <c r="V211" s="35"/>
      <c r="W211" s="35"/>
      <c r="X211" s="35"/>
      <c r="Y211" s="35"/>
      <c r="Z211" s="35"/>
    </row>
    <row r="212" spans="1:26">
      <c r="A212" s="33" t="s">
        <v>131</v>
      </c>
      <c r="B212" s="34">
        <f>COUNTA($B$1:B211)</f>
        <v>203</v>
      </c>
      <c r="C212" s="35" t="s">
        <v>67</v>
      </c>
      <c r="D212" s="35"/>
      <c r="E212" s="35"/>
      <c r="F212" s="34"/>
      <c r="G212" s="35" t="s">
        <v>133</v>
      </c>
      <c r="H212" s="35"/>
      <c r="I212" s="35"/>
      <c r="J212" s="35"/>
      <c r="K212" s="34"/>
      <c r="L212" s="35" t="s">
        <v>67</v>
      </c>
      <c r="M212" s="36">
        <v>10</v>
      </c>
      <c r="N212" s="35"/>
      <c r="O212" s="35"/>
      <c r="P212" s="35"/>
      <c r="Q212" s="35"/>
      <c r="R212" s="36"/>
      <c r="S212" s="35"/>
      <c r="T212" s="35"/>
      <c r="U212" s="35"/>
      <c r="V212" s="35"/>
      <c r="W212" s="35"/>
      <c r="X212" s="35"/>
      <c r="Y212" s="35"/>
      <c r="Z212" s="35"/>
    </row>
    <row r="213" spans="1:26">
      <c r="A213" s="30" t="s">
        <v>91</v>
      </c>
      <c r="B213" s="31"/>
      <c r="C213" s="31"/>
      <c r="D213" s="32"/>
      <c r="E213" s="32"/>
      <c r="F213" s="31"/>
      <c r="G213" s="32"/>
      <c r="H213" s="32"/>
      <c r="I213" s="32"/>
      <c r="J213" s="32"/>
      <c r="K213" s="31"/>
      <c r="L213" s="32"/>
      <c r="M213" s="32"/>
      <c r="N213" s="32"/>
      <c r="O213" s="32"/>
      <c r="P213" s="32"/>
      <c r="Q213" s="32"/>
      <c r="R213" s="32"/>
      <c r="S213" s="32"/>
      <c r="T213" s="32"/>
      <c r="U213" s="32"/>
      <c r="V213" s="32"/>
      <c r="W213" s="32"/>
      <c r="X213" s="32"/>
      <c r="Y213" s="32"/>
      <c r="Z213" s="32"/>
    </row>
    <row r="214" spans="1:26">
      <c r="A214" s="45" t="s">
        <v>131</v>
      </c>
      <c r="B214" s="34">
        <f>COUNTA($B$1:B213)</f>
        <v>204</v>
      </c>
      <c r="C214" s="46" t="s">
        <v>140</v>
      </c>
      <c r="D214" s="46"/>
      <c r="E214" s="46"/>
      <c r="F214" s="47"/>
      <c r="G214" s="46" t="s">
        <v>133</v>
      </c>
      <c r="H214" s="46"/>
      <c r="I214" s="46" t="s">
        <v>55</v>
      </c>
      <c r="J214" s="46" t="s">
        <v>141</v>
      </c>
      <c r="K214" s="47"/>
      <c r="L214" s="46" t="s">
        <v>142</v>
      </c>
      <c r="M214" s="48"/>
      <c r="N214" s="46"/>
      <c r="O214" s="46" t="s">
        <v>2</v>
      </c>
      <c r="P214" s="46"/>
      <c r="Q214" s="46"/>
      <c r="R214" s="49"/>
      <c r="S214" s="46"/>
      <c r="T214" s="46"/>
      <c r="U214" s="46"/>
      <c r="V214" s="46"/>
      <c r="W214" s="46"/>
      <c r="X214" s="46"/>
      <c r="Y214" s="46"/>
      <c r="Z214" s="46"/>
    </row>
    <row r="215" spans="1:26">
      <c r="A215" s="45" t="s">
        <v>131</v>
      </c>
      <c r="B215" s="34">
        <f>COUNTA($B$1:B214)</f>
        <v>205</v>
      </c>
      <c r="C215" s="46" t="s">
        <v>143</v>
      </c>
      <c r="D215" s="46"/>
      <c r="E215" s="46"/>
      <c r="F215" s="47"/>
      <c r="G215" s="46" t="s">
        <v>133</v>
      </c>
      <c r="H215" s="46"/>
      <c r="I215" s="46" t="s">
        <v>55</v>
      </c>
      <c r="J215" s="46" t="s">
        <v>141</v>
      </c>
      <c r="K215" s="47"/>
      <c r="L215" s="46" t="s">
        <v>98</v>
      </c>
      <c r="M215" s="48"/>
      <c r="N215" s="46" t="s">
        <v>99</v>
      </c>
      <c r="O215" s="46" t="s">
        <v>2</v>
      </c>
      <c r="P215" s="46"/>
      <c r="Q215" s="46"/>
      <c r="R215" s="49" t="s">
        <v>144</v>
      </c>
      <c r="S215" s="46"/>
      <c r="T215" s="46"/>
      <c r="U215" s="46"/>
      <c r="V215" s="46"/>
      <c r="W215" s="46"/>
      <c r="X215" s="46"/>
      <c r="Y215" s="46"/>
      <c r="Z215" s="46"/>
    </row>
    <row r="216" spans="1:26">
      <c r="A216" s="45" t="s">
        <v>131</v>
      </c>
      <c r="B216" s="34">
        <f>COUNTA($B$1:B215)</f>
        <v>206</v>
      </c>
      <c r="C216" s="46" t="s">
        <v>145</v>
      </c>
      <c r="D216" s="46"/>
      <c r="E216" s="46"/>
      <c r="F216" s="47"/>
      <c r="G216" s="46" t="s">
        <v>133</v>
      </c>
      <c r="H216" s="46"/>
      <c r="I216" s="46" t="s">
        <v>55</v>
      </c>
      <c r="J216" s="46" t="s">
        <v>146</v>
      </c>
      <c r="K216" s="47"/>
      <c r="L216" s="46" t="s">
        <v>147</v>
      </c>
      <c r="M216" s="48"/>
      <c r="N216" s="46"/>
      <c r="O216" s="46" t="s">
        <v>2</v>
      </c>
      <c r="P216" s="46"/>
      <c r="Q216" s="46"/>
      <c r="R216" s="48"/>
      <c r="S216" s="46"/>
      <c r="T216" s="46"/>
      <c r="U216" s="46"/>
      <c r="V216" s="46"/>
      <c r="W216" s="46"/>
      <c r="X216" s="46"/>
      <c r="Y216" s="46"/>
      <c r="Z216" s="46"/>
    </row>
    <row r="217" spans="1:26">
      <c r="A217" s="33" t="s">
        <v>131</v>
      </c>
      <c r="B217" s="34">
        <f>COUNTA($B$1:B216)</f>
        <v>207</v>
      </c>
      <c r="C217" s="35" t="s">
        <v>295</v>
      </c>
      <c r="D217" s="54"/>
      <c r="E217" s="52"/>
      <c r="F217" s="34"/>
      <c r="G217" s="35" t="s">
        <v>133</v>
      </c>
      <c r="H217" s="35"/>
      <c r="I217" s="35" t="s">
        <v>55</v>
      </c>
      <c r="J217" s="35" t="s">
        <v>296</v>
      </c>
      <c r="K217" s="34">
        <v>0</v>
      </c>
      <c r="L217" s="35" t="s">
        <v>98</v>
      </c>
      <c r="M217" s="36"/>
      <c r="N217" s="35" t="s">
        <v>99</v>
      </c>
      <c r="O217" s="35"/>
      <c r="P217" s="35"/>
      <c r="Q217" s="35"/>
      <c r="R217" s="35" t="str">
        <f>TEXT(M119,"")</f>
        <v>Destination1</v>
      </c>
      <c r="S217" s="35"/>
      <c r="T217" s="35" t="s">
        <v>2</v>
      </c>
      <c r="U217" s="35"/>
      <c r="V217" s="35"/>
      <c r="W217" s="35"/>
      <c r="X217" s="35"/>
      <c r="Y217" s="35"/>
      <c r="Z217" s="35"/>
    </row>
    <row r="218" spans="1:26">
      <c r="A218" s="33" t="str">
        <f>IF(Global!B2="QA","Y","N")</f>
        <v>N</v>
      </c>
      <c r="B218" s="34">
        <f>COUNTA($B$1:B217)</f>
        <v>208</v>
      </c>
      <c r="C218" s="35" t="s">
        <v>297</v>
      </c>
      <c r="D218" s="54"/>
      <c r="E218" s="52"/>
      <c r="F218" s="34"/>
      <c r="G218" s="35" t="s">
        <v>133</v>
      </c>
      <c r="H218" s="35"/>
      <c r="I218" s="35" t="s">
        <v>55</v>
      </c>
      <c r="J218" s="35" t="s">
        <v>298</v>
      </c>
      <c r="K218" s="34">
        <v>2</v>
      </c>
      <c r="L218" s="35" t="s">
        <v>98</v>
      </c>
      <c r="M218" s="36"/>
      <c r="N218" s="35" t="s">
        <v>99</v>
      </c>
      <c r="O218" s="35"/>
      <c r="P218" s="35"/>
      <c r="Q218" s="35"/>
      <c r="R218" s="35" t="str">
        <f>TEXT(M122,"mm/dd/yyyy")</f>
        <v>DepDateValid</v>
      </c>
      <c r="S218" s="35"/>
      <c r="T218" s="35" t="s">
        <v>2</v>
      </c>
      <c r="U218" s="35"/>
      <c r="V218" s="35"/>
      <c r="W218" s="35"/>
      <c r="X218" s="35"/>
      <c r="Y218" s="35"/>
      <c r="Z218" s="35"/>
    </row>
    <row r="219" spans="1:26">
      <c r="A219" s="33" t="str">
        <f>A218</f>
        <v>N</v>
      </c>
      <c r="B219" s="34">
        <f>COUNTA($B$1:B218)</f>
        <v>209</v>
      </c>
      <c r="C219" s="35" t="s">
        <v>299</v>
      </c>
      <c r="D219" s="54"/>
      <c r="E219" s="52"/>
      <c r="F219" s="34"/>
      <c r="G219" s="35" t="s">
        <v>133</v>
      </c>
      <c r="H219" s="35"/>
      <c r="I219" s="35" t="s">
        <v>55</v>
      </c>
      <c r="J219" s="35" t="s">
        <v>300</v>
      </c>
      <c r="K219" s="34">
        <v>2</v>
      </c>
      <c r="L219" s="35" t="s">
        <v>98</v>
      </c>
      <c r="M219" s="36"/>
      <c r="N219" s="35" t="s">
        <v>99</v>
      </c>
      <c r="O219" s="35"/>
      <c r="P219" s="35"/>
      <c r="Q219" s="35"/>
      <c r="R219" s="35" t="str">
        <f>TEXT(M123,"mm/dd/yyyy")</f>
        <v>RetDateValid</v>
      </c>
      <c r="S219" s="35"/>
      <c r="T219" s="35" t="s">
        <v>2</v>
      </c>
      <c r="U219" s="35"/>
      <c r="V219" s="35"/>
      <c r="W219" s="35"/>
      <c r="X219" s="35"/>
      <c r="Y219" s="35"/>
      <c r="Z219" s="35"/>
    </row>
    <row r="220" spans="1:26">
      <c r="A220" s="33" t="str">
        <f>A219</f>
        <v>N</v>
      </c>
      <c r="B220" s="34">
        <f>COUNTA($B$1:B219)</f>
        <v>210</v>
      </c>
      <c r="C220" s="35" t="s">
        <v>301</v>
      </c>
      <c r="D220" s="54"/>
      <c r="E220" s="52"/>
      <c r="F220" s="34"/>
      <c r="G220" s="35" t="s">
        <v>133</v>
      </c>
      <c r="H220" s="35"/>
      <c r="I220" s="35" t="s">
        <v>55</v>
      </c>
      <c r="J220" s="35" t="s">
        <v>107</v>
      </c>
      <c r="K220" s="34">
        <v>2</v>
      </c>
      <c r="L220" s="35" t="s">
        <v>98</v>
      </c>
      <c r="M220" s="36"/>
      <c r="N220" s="35" t="s">
        <v>99</v>
      </c>
      <c r="O220" s="35"/>
      <c r="P220" s="35"/>
      <c r="Q220" s="35"/>
      <c r="R220" s="35" t="s">
        <v>302</v>
      </c>
      <c r="S220" s="35"/>
      <c r="T220" s="35" t="s">
        <v>2</v>
      </c>
      <c r="U220" s="35"/>
      <c r="V220" s="35"/>
      <c r="W220" s="35"/>
      <c r="X220" s="35"/>
      <c r="Y220" s="35"/>
      <c r="Z220" s="35"/>
    </row>
    <row r="221" spans="1:26">
      <c r="A221" s="33" t="str">
        <f>IF(OR(Global!B2="UAT",Global!B2="PROD"),"Y","N")</f>
        <v>Y</v>
      </c>
      <c r="B221" s="34">
        <f>COUNTA($B$1:B220)</f>
        <v>211</v>
      </c>
      <c r="C221" s="35" t="s">
        <v>297</v>
      </c>
      <c r="D221" s="54"/>
      <c r="E221" s="52"/>
      <c r="F221" s="34"/>
      <c r="G221" s="35" t="s">
        <v>133</v>
      </c>
      <c r="H221" s="35"/>
      <c r="I221" s="35" t="s">
        <v>55</v>
      </c>
      <c r="J221" s="35" t="s">
        <v>824</v>
      </c>
      <c r="K221" s="34">
        <v>0</v>
      </c>
      <c r="L221" s="35" t="s">
        <v>98</v>
      </c>
      <c r="M221" s="36"/>
      <c r="N221" s="35" t="s">
        <v>99</v>
      </c>
      <c r="O221" s="35"/>
      <c r="P221" s="35"/>
      <c r="Q221" s="35"/>
      <c r="R221" s="35" t="str">
        <f>TEXT(M122,"mm/dd/yyyy")</f>
        <v>DepDateValid</v>
      </c>
      <c r="S221" s="35"/>
      <c r="T221" s="35" t="s">
        <v>2</v>
      </c>
      <c r="U221" s="35"/>
      <c r="V221" s="35"/>
      <c r="W221" s="35"/>
      <c r="X221" s="35"/>
      <c r="Y221" s="35"/>
      <c r="Z221" s="35"/>
    </row>
    <row r="222" spans="1:26">
      <c r="A222" s="33" t="str">
        <f>A221</f>
        <v>Y</v>
      </c>
      <c r="B222" s="34">
        <f>COUNTA($B$1:B221)</f>
        <v>212</v>
      </c>
      <c r="C222" s="35" t="s">
        <v>299</v>
      </c>
      <c r="D222" s="54"/>
      <c r="E222" s="52"/>
      <c r="F222" s="34"/>
      <c r="G222" s="35" t="s">
        <v>133</v>
      </c>
      <c r="H222" s="35"/>
      <c r="I222" s="35" t="s">
        <v>55</v>
      </c>
      <c r="J222" s="35" t="s">
        <v>825</v>
      </c>
      <c r="K222" s="34">
        <v>0</v>
      </c>
      <c r="L222" s="35" t="s">
        <v>98</v>
      </c>
      <c r="M222" s="36"/>
      <c r="N222" s="35" t="s">
        <v>99</v>
      </c>
      <c r="O222" s="35"/>
      <c r="P222" s="35"/>
      <c r="Q222" s="35"/>
      <c r="R222" s="35" t="str">
        <f>TEXT(M123,"mm/dd/yyyy")</f>
        <v>RetDateValid</v>
      </c>
      <c r="S222" s="35"/>
      <c r="T222" s="35" t="s">
        <v>2</v>
      </c>
      <c r="U222" s="35"/>
      <c r="V222" s="35"/>
      <c r="W222" s="35"/>
      <c r="X222" s="35"/>
      <c r="Y222" s="35"/>
      <c r="Z222" s="35"/>
    </row>
    <row r="223" spans="1:26">
      <c r="A223" s="33" t="str">
        <f>A222</f>
        <v>Y</v>
      </c>
      <c r="B223" s="34">
        <f>COUNTA($B$1:B222)</f>
        <v>213</v>
      </c>
      <c r="C223" s="35" t="s">
        <v>301</v>
      </c>
      <c r="D223" s="54"/>
      <c r="E223" s="52"/>
      <c r="F223" s="34"/>
      <c r="G223" s="35" t="s">
        <v>133</v>
      </c>
      <c r="H223" s="35"/>
      <c r="I223" s="35" t="s">
        <v>55</v>
      </c>
      <c r="J223" s="35" t="s">
        <v>826</v>
      </c>
      <c r="K223" s="34">
        <v>0</v>
      </c>
      <c r="L223" s="35" t="s">
        <v>98</v>
      </c>
      <c r="M223" s="36"/>
      <c r="N223" s="35" t="s">
        <v>99</v>
      </c>
      <c r="O223" s="35"/>
      <c r="P223" s="35"/>
      <c r="Q223" s="35"/>
      <c r="R223" s="35" t="s">
        <v>302</v>
      </c>
      <c r="S223" s="35"/>
      <c r="T223" s="35" t="s">
        <v>2</v>
      </c>
      <c r="U223" s="35"/>
      <c r="V223" s="35"/>
      <c r="W223" s="35"/>
      <c r="X223" s="35"/>
      <c r="Y223" s="35"/>
      <c r="Z223" s="35"/>
    </row>
    <row r="224" spans="1:26">
      <c r="A224" s="217" t="s">
        <v>21</v>
      </c>
      <c r="B224" s="218">
        <f>COUNTA($B$1:B223)</f>
        <v>214</v>
      </c>
      <c r="C224" s="219" t="s">
        <v>303</v>
      </c>
      <c r="D224" s="51"/>
      <c r="E224" s="52" t="s">
        <v>154</v>
      </c>
      <c r="F224" s="34"/>
      <c r="G224" s="35" t="s">
        <v>133</v>
      </c>
      <c r="H224" s="35"/>
      <c r="I224" s="35" t="s">
        <v>55</v>
      </c>
      <c r="J224" s="35" t="s">
        <v>304</v>
      </c>
      <c r="K224" s="34">
        <v>0</v>
      </c>
      <c r="L224" s="35" t="s">
        <v>98</v>
      </c>
      <c r="M224" s="36"/>
      <c r="N224" s="35" t="s">
        <v>99</v>
      </c>
      <c r="O224" s="35"/>
      <c r="P224" s="35"/>
      <c r="Q224" s="35"/>
      <c r="R224" s="55" t="s">
        <v>197</v>
      </c>
      <c r="S224" s="52"/>
      <c r="T224" s="35" t="s">
        <v>2</v>
      </c>
      <c r="U224" s="35"/>
      <c r="V224" s="35"/>
      <c r="W224" s="35"/>
      <c r="X224" s="35"/>
      <c r="Y224" s="35"/>
      <c r="Z224" s="35"/>
    </row>
    <row r="225" spans="1:26">
      <c r="A225" s="217" t="s">
        <v>21</v>
      </c>
      <c r="B225" s="218">
        <f>COUNTA($B$1:B224)</f>
        <v>215</v>
      </c>
      <c r="C225" s="219" t="s">
        <v>305</v>
      </c>
      <c r="D225" s="51"/>
      <c r="E225" s="52" t="s">
        <v>154</v>
      </c>
      <c r="F225" s="34"/>
      <c r="G225" s="35" t="s">
        <v>133</v>
      </c>
      <c r="H225" s="35"/>
      <c r="I225" s="35" t="s">
        <v>55</v>
      </c>
      <c r="J225" s="35" t="s">
        <v>306</v>
      </c>
      <c r="K225" s="34">
        <v>0</v>
      </c>
      <c r="L225" s="35" t="s">
        <v>98</v>
      </c>
      <c r="M225" s="36"/>
      <c r="N225" s="35" t="s">
        <v>99</v>
      </c>
      <c r="O225" s="35"/>
      <c r="P225" s="35"/>
      <c r="Q225" s="35"/>
      <c r="R225" s="36" t="s">
        <v>199</v>
      </c>
      <c r="S225" s="52"/>
      <c r="T225" s="35" t="s">
        <v>2</v>
      </c>
      <c r="U225" s="35"/>
      <c r="V225" s="35"/>
      <c r="W225" s="35"/>
      <c r="X225" s="35"/>
      <c r="Y225" s="35"/>
      <c r="Z225" s="35"/>
    </row>
    <row r="226" spans="1:26">
      <c r="A226" s="217" t="s">
        <v>21</v>
      </c>
      <c r="B226" s="218">
        <f>COUNTA($B$1:B225)</f>
        <v>216</v>
      </c>
      <c r="C226" s="219" t="s">
        <v>307</v>
      </c>
      <c r="D226" s="51"/>
      <c r="E226" s="52" t="s">
        <v>154</v>
      </c>
      <c r="F226" s="34"/>
      <c r="G226" s="35" t="s">
        <v>133</v>
      </c>
      <c r="H226" s="35"/>
      <c r="I226" s="35" t="s">
        <v>55</v>
      </c>
      <c r="J226" s="35" t="s">
        <v>308</v>
      </c>
      <c r="K226" s="34">
        <v>0</v>
      </c>
      <c r="L226" s="35" t="s">
        <v>98</v>
      </c>
      <c r="M226" s="36"/>
      <c r="N226" s="35" t="s">
        <v>99</v>
      </c>
      <c r="O226" s="35"/>
      <c r="P226" s="35"/>
      <c r="Q226" s="35"/>
      <c r="R226" s="36" t="s">
        <v>309</v>
      </c>
      <c r="S226" s="52"/>
      <c r="T226" s="35" t="s">
        <v>2</v>
      </c>
      <c r="U226" s="35"/>
      <c r="V226" s="35"/>
      <c r="W226" s="35"/>
      <c r="X226" s="35"/>
      <c r="Y226" s="35"/>
      <c r="Z226" s="35"/>
    </row>
    <row r="227" spans="1:26">
      <c r="A227" s="33" t="s">
        <v>131</v>
      </c>
      <c r="B227" s="34">
        <f>COUNTA($B$1:B226)</f>
        <v>217</v>
      </c>
      <c r="C227" s="35" t="s">
        <v>303</v>
      </c>
      <c r="D227" s="51"/>
      <c r="E227" s="52" t="s">
        <v>154</v>
      </c>
      <c r="F227" s="34"/>
      <c r="G227" s="35" t="s">
        <v>133</v>
      </c>
      <c r="H227" s="35"/>
      <c r="I227" s="35" t="s">
        <v>55</v>
      </c>
      <c r="J227" s="35" t="s">
        <v>912</v>
      </c>
      <c r="K227" s="34">
        <v>0</v>
      </c>
      <c r="L227" s="35" t="s">
        <v>98</v>
      </c>
      <c r="M227" s="36"/>
      <c r="N227" s="35" t="s">
        <v>99</v>
      </c>
      <c r="O227" s="35"/>
      <c r="P227" s="35"/>
      <c r="Q227" s="35"/>
      <c r="R227" s="55">
        <f>S189</f>
        <v>0</v>
      </c>
      <c r="S227" s="52"/>
      <c r="T227" s="35" t="s">
        <v>2</v>
      </c>
      <c r="U227" s="35"/>
      <c r="V227" s="35"/>
      <c r="W227" s="35"/>
      <c r="X227" s="35"/>
      <c r="Y227" s="35"/>
      <c r="Z227" s="35"/>
    </row>
    <row r="228" spans="1:26">
      <c r="A228" s="33" t="s">
        <v>131</v>
      </c>
      <c r="B228" s="34">
        <f>COUNTA($B$1:B227)</f>
        <v>218</v>
      </c>
      <c r="C228" s="35" t="s">
        <v>305</v>
      </c>
      <c r="D228" s="51"/>
      <c r="E228" s="52" t="s">
        <v>154</v>
      </c>
      <c r="F228" s="34"/>
      <c r="G228" s="35" t="s">
        <v>133</v>
      </c>
      <c r="H228" s="35"/>
      <c r="I228" s="35" t="s">
        <v>55</v>
      </c>
      <c r="J228" s="35" t="s">
        <v>912</v>
      </c>
      <c r="K228" s="34">
        <v>1</v>
      </c>
      <c r="L228" s="35" t="s">
        <v>98</v>
      </c>
      <c r="M228" s="36"/>
      <c r="N228" s="35" t="s">
        <v>99</v>
      </c>
      <c r="O228" s="35"/>
      <c r="P228" s="35"/>
      <c r="Q228" s="35"/>
      <c r="R228" s="55">
        <f t="shared" ref="R228:R229" si="2">S190</f>
        <v>0</v>
      </c>
      <c r="S228" s="52"/>
      <c r="T228" s="35" t="s">
        <v>2</v>
      </c>
      <c r="U228" s="35"/>
      <c r="V228" s="35"/>
      <c r="W228" s="35"/>
      <c r="X228" s="35"/>
      <c r="Y228" s="35"/>
      <c r="Z228" s="35"/>
    </row>
    <row r="229" spans="1:26">
      <c r="A229" s="33" t="s">
        <v>131</v>
      </c>
      <c r="B229" s="34">
        <f>COUNTA($B$1:B228)</f>
        <v>219</v>
      </c>
      <c r="C229" s="35" t="s">
        <v>307</v>
      </c>
      <c r="D229" s="51"/>
      <c r="E229" s="52" t="s">
        <v>154</v>
      </c>
      <c r="F229" s="34"/>
      <c r="G229" s="35" t="s">
        <v>133</v>
      </c>
      <c r="H229" s="35"/>
      <c r="I229" s="35" t="s">
        <v>55</v>
      </c>
      <c r="J229" s="35" t="s">
        <v>912</v>
      </c>
      <c r="K229" s="34">
        <v>2</v>
      </c>
      <c r="L229" s="35" t="s">
        <v>98</v>
      </c>
      <c r="M229" s="36"/>
      <c r="N229" s="35" t="s">
        <v>99</v>
      </c>
      <c r="O229" s="35"/>
      <c r="P229" s="35"/>
      <c r="Q229" s="35"/>
      <c r="R229" s="55">
        <f t="shared" si="2"/>
        <v>0</v>
      </c>
      <c r="S229" s="52"/>
      <c r="T229" s="35" t="s">
        <v>2</v>
      </c>
      <c r="U229" s="35"/>
      <c r="V229" s="35"/>
      <c r="W229" s="35"/>
      <c r="X229" s="35"/>
      <c r="Y229" s="35"/>
      <c r="Z229" s="35"/>
    </row>
    <row r="230" spans="1:26">
      <c r="A230" s="33" t="s">
        <v>131</v>
      </c>
      <c r="B230" s="34">
        <f>COUNTA($B$1:B229)</f>
        <v>220</v>
      </c>
      <c r="C230" s="35" t="s">
        <v>310</v>
      </c>
      <c r="D230" s="51"/>
      <c r="E230" s="52"/>
      <c r="F230" s="34"/>
      <c r="G230" s="35" t="s">
        <v>133</v>
      </c>
      <c r="H230" s="35"/>
      <c r="I230" s="35" t="s">
        <v>55</v>
      </c>
      <c r="J230" s="35" t="s">
        <v>311</v>
      </c>
      <c r="K230" s="34">
        <v>0</v>
      </c>
      <c r="L230" s="35" t="s">
        <v>98</v>
      </c>
      <c r="M230" s="36"/>
      <c r="N230" s="35" t="s">
        <v>99</v>
      </c>
      <c r="O230" s="35"/>
      <c r="P230" s="35"/>
      <c r="Q230" s="35"/>
      <c r="R230" s="36"/>
      <c r="S230" s="35"/>
      <c r="T230" s="35"/>
      <c r="U230" s="35"/>
      <c r="V230" s="35"/>
      <c r="W230" s="35"/>
      <c r="X230" s="35"/>
      <c r="Y230" s="35"/>
      <c r="Z230" s="35"/>
    </row>
    <row r="231" spans="1:26">
      <c r="A231" s="33" t="s">
        <v>131</v>
      </c>
      <c r="B231" s="34">
        <f>COUNTA($B$1:B230)</f>
        <v>221</v>
      </c>
      <c r="C231" s="35" t="s">
        <v>67</v>
      </c>
      <c r="D231" s="35"/>
      <c r="E231" s="35"/>
      <c r="F231" s="34"/>
      <c r="G231" s="35" t="s">
        <v>133</v>
      </c>
      <c r="H231" s="35"/>
      <c r="I231" s="35"/>
      <c r="J231" s="35"/>
      <c r="K231" s="34"/>
      <c r="L231" s="35" t="s">
        <v>67</v>
      </c>
      <c r="M231" s="36">
        <v>2</v>
      </c>
      <c r="N231" s="35"/>
      <c r="O231" s="35"/>
      <c r="P231" s="35"/>
      <c r="Q231" s="35"/>
      <c r="R231" s="36"/>
      <c r="S231" s="35"/>
      <c r="T231" s="35"/>
      <c r="U231" s="35"/>
      <c r="V231" s="35"/>
      <c r="W231" s="35"/>
      <c r="X231" s="35"/>
      <c r="Y231" s="35"/>
      <c r="Z231" s="35"/>
    </row>
    <row r="232" spans="1:26">
      <c r="A232" s="33" t="s">
        <v>131</v>
      </c>
      <c r="B232" s="34">
        <f>COUNTA($B$1:B231)</f>
        <v>222</v>
      </c>
      <c r="C232" s="35" t="s">
        <v>93</v>
      </c>
      <c r="D232" s="35"/>
      <c r="E232" s="35"/>
      <c r="F232" s="34"/>
      <c r="G232" s="35" t="s">
        <v>133</v>
      </c>
      <c r="H232" s="35"/>
      <c r="I232" s="35" t="s">
        <v>55</v>
      </c>
      <c r="J232" s="35" t="s">
        <v>92</v>
      </c>
      <c r="K232" s="34">
        <v>0</v>
      </c>
      <c r="L232" s="35" t="s">
        <v>0</v>
      </c>
      <c r="M232" s="50" t="s">
        <v>261</v>
      </c>
      <c r="N232" s="35"/>
      <c r="O232" s="35"/>
      <c r="P232" s="35"/>
      <c r="Q232" s="35"/>
      <c r="R232" s="52"/>
      <c r="S232" s="35"/>
      <c r="T232" s="35"/>
      <c r="U232" s="35"/>
      <c r="V232" s="35"/>
      <c r="W232" s="35"/>
      <c r="X232" s="35"/>
      <c r="Y232" s="35"/>
      <c r="Z232" s="35"/>
    </row>
    <row r="233" spans="1:26">
      <c r="A233" s="33" t="s">
        <v>131</v>
      </c>
      <c r="B233" s="34">
        <f>COUNTA($B$1:B232)</f>
        <v>223</v>
      </c>
      <c r="C233" s="35" t="s">
        <v>262</v>
      </c>
      <c r="D233" s="35"/>
      <c r="E233" s="35"/>
      <c r="F233" s="34"/>
      <c r="G233" s="35" t="s">
        <v>133</v>
      </c>
      <c r="H233" s="35"/>
      <c r="I233" s="35"/>
      <c r="J233" s="35"/>
      <c r="K233" s="34">
        <v>2</v>
      </c>
      <c r="L233" s="35" t="s">
        <v>95</v>
      </c>
      <c r="M233" s="35"/>
      <c r="N233" s="35"/>
      <c r="O233" s="35"/>
      <c r="P233" s="35"/>
      <c r="Q233" s="35"/>
      <c r="R233" s="52"/>
      <c r="S233" s="35"/>
      <c r="T233" s="35"/>
      <c r="U233" s="35"/>
      <c r="V233" s="35"/>
      <c r="W233" s="35"/>
      <c r="X233" s="35"/>
      <c r="Y233" s="35"/>
      <c r="Z233" s="35"/>
    </row>
    <row r="234" spans="1:26">
      <c r="A234" s="33" t="s">
        <v>131</v>
      </c>
      <c r="B234" s="34">
        <f>COUNTA($B$1:B233)</f>
        <v>224</v>
      </c>
      <c r="C234" s="35" t="s">
        <v>94</v>
      </c>
      <c r="D234" s="35"/>
      <c r="E234" s="35"/>
      <c r="F234" s="34"/>
      <c r="G234" s="35" t="s">
        <v>133</v>
      </c>
      <c r="H234" s="35"/>
      <c r="I234" s="35" t="s">
        <v>55</v>
      </c>
      <c r="J234" s="35" t="s">
        <v>263</v>
      </c>
      <c r="K234" s="34">
        <v>0</v>
      </c>
      <c r="L234" s="35" t="s">
        <v>0</v>
      </c>
      <c r="M234" s="50" t="s">
        <v>264</v>
      </c>
      <c r="N234" s="35"/>
      <c r="O234" s="35"/>
      <c r="P234" s="35"/>
      <c r="Q234" s="35"/>
      <c r="R234" s="52"/>
      <c r="S234" s="35"/>
      <c r="T234" s="35"/>
      <c r="U234" s="35"/>
      <c r="V234" s="35"/>
      <c r="W234" s="35"/>
      <c r="X234" s="35"/>
      <c r="Y234" s="35"/>
      <c r="Z234" s="35"/>
    </row>
    <row r="235" spans="1:26">
      <c r="A235" s="33" t="s">
        <v>131</v>
      </c>
      <c r="B235" s="34">
        <f>COUNTA($B$1:B234)</f>
        <v>225</v>
      </c>
      <c r="C235" s="35" t="s">
        <v>262</v>
      </c>
      <c r="D235" s="35"/>
      <c r="E235" s="35"/>
      <c r="F235" s="34"/>
      <c r="G235" s="35" t="s">
        <v>133</v>
      </c>
      <c r="H235" s="35"/>
      <c r="I235" s="35"/>
      <c r="J235" s="35"/>
      <c r="K235" s="34">
        <v>0</v>
      </c>
      <c r="L235" s="35" t="s">
        <v>96</v>
      </c>
      <c r="M235" s="35"/>
      <c r="N235" s="35"/>
      <c r="O235" s="35"/>
      <c r="P235" s="35"/>
      <c r="Q235" s="35"/>
      <c r="R235" s="52"/>
      <c r="S235" s="35"/>
      <c r="T235" s="35"/>
      <c r="U235" s="35"/>
      <c r="V235" s="35"/>
      <c r="W235" s="35"/>
      <c r="X235" s="35"/>
      <c r="Y235" s="35"/>
      <c r="Z235" s="35"/>
    </row>
    <row r="236" spans="1:26">
      <c r="A236" s="33" t="s">
        <v>131</v>
      </c>
      <c r="B236" s="34">
        <f>COUNTA($B$1:B235)</f>
        <v>226</v>
      </c>
      <c r="C236" s="35" t="s">
        <v>262</v>
      </c>
      <c r="D236" s="35"/>
      <c r="E236" s="35"/>
      <c r="F236" s="34"/>
      <c r="G236" s="35" t="s">
        <v>133</v>
      </c>
      <c r="H236" s="35"/>
      <c r="I236" s="35"/>
      <c r="J236" s="35"/>
      <c r="K236" s="34">
        <v>2</v>
      </c>
      <c r="L236" s="35" t="s">
        <v>95</v>
      </c>
      <c r="M236" s="35"/>
      <c r="N236" s="35"/>
      <c r="O236" s="35"/>
      <c r="P236" s="35"/>
      <c r="Q236" s="35"/>
      <c r="R236" s="52"/>
      <c r="S236" s="35"/>
      <c r="T236" s="35"/>
      <c r="U236" s="35"/>
      <c r="V236" s="35"/>
      <c r="W236" s="35"/>
      <c r="X236" s="35"/>
      <c r="Y236" s="35"/>
      <c r="Z236" s="35"/>
    </row>
    <row r="237" spans="1:26">
      <c r="A237" s="217" t="s">
        <v>21</v>
      </c>
      <c r="B237" s="218">
        <f>COUNTA($B$1:B236)</f>
        <v>227</v>
      </c>
      <c r="C237" s="219" t="s">
        <v>226</v>
      </c>
      <c r="D237" s="51"/>
      <c r="E237" s="52"/>
      <c r="F237" s="34"/>
      <c r="G237" s="35" t="s">
        <v>133</v>
      </c>
      <c r="H237" s="35"/>
      <c r="I237" s="35"/>
      <c r="J237" s="35"/>
      <c r="K237" s="34"/>
      <c r="L237" s="35" t="s">
        <v>227</v>
      </c>
      <c r="M237" s="36" t="s">
        <v>79</v>
      </c>
      <c r="N237" s="35"/>
      <c r="O237" s="35"/>
      <c r="P237" s="35"/>
      <c r="Q237" s="35"/>
      <c r="R237" s="35"/>
      <c r="S237" s="52"/>
      <c r="T237" s="35"/>
      <c r="U237" s="35"/>
      <c r="V237" s="35"/>
      <c r="W237" s="35"/>
      <c r="X237" s="52"/>
      <c r="Y237" s="52"/>
      <c r="Z237" s="52"/>
    </row>
    <row r="238" spans="1:26">
      <c r="A238" s="217" t="s">
        <v>21</v>
      </c>
      <c r="B238" s="218">
        <f>COUNTA($B$1:B237)</f>
        <v>228</v>
      </c>
      <c r="C238" s="219" t="s">
        <v>265</v>
      </c>
      <c r="D238" s="35"/>
      <c r="E238" s="35"/>
      <c r="F238" s="34"/>
      <c r="G238" s="35" t="s">
        <v>133</v>
      </c>
      <c r="H238" s="35"/>
      <c r="I238" s="35"/>
      <c r="J238" s="35"/>
      <c r="K238" s="34"/>
      <c r="L238" s="35" t="s">
        <v>227</v>
      </c>
      <c r="M238" s="50" t="s">
        <v>266</v>
      </c>
      <c r="N238" s="35"/>
      <c r="O238" s="35"/>
      <c r="P238" s="35"/>
      <c r="Q238" s="35"/>
      <c r="R238" s="52"/>
      <c r="S238" s="35"/>
      <c r="T238" s="35"/>
      <c r="U238" s="35"/>
      <c r="V238" s="35"/>
      <c r="W238" s="35"/>
      <c r="X238" s="35"/>
      <c r="Y238" s="35"/>
      <c r="Z238" s="35"/>
    </row>
    <row r="239" spans="1:26">
      <c r="A239" s="217" t="s">
        <v>21</v>
      </c>
      <c r="B239" s="218">
        <f>COUNTA($B$1:B238)</f>
        <v>229</v>
      </c>
      <c r="C239" s="219" t="s">
        <v>267</v>
      </c>
      <c r="D239" s="35"/>
      <c r="E239" s="35"/>
      <c r="F239" s="34"/>
      <c r="G239" s="35" t="s">
        <v>133</v>
      </c>
      <c r="H239" s="35"/>
      <c r="I239" s="35"/>
      <c r="J239" s="35"/>
      <c r="K239" s="34"/>
      <c r="L239" s="35" t="s">
        <v>227</v>
      </c>
      <c r="M239" s="50" t="s">
        <v>268</v>
      </c>
      <c r="N239" s="35"/>
      <c r="O239" s="35"/>
      <c r="P239" s="35"/>
      <c r="Q239" s="35"/>
      <c r="R239" s="52"/>
      <c r="S239" s="35"/>
      <c r="T239" s="35"/>
      <c r="U239" s="35"/>
      <c r="V239" s="35"/>
      <c r="W239" s="35"/>
      <c r="X239" s="35"/>
      <c r="Y239" s="35"/>
      <c r="Z239" s="35"/>
    </row>
    <row r="240" spans="1:26">
      <c r="A240" s="217" t="s">
        <v>21</v>
      </c>
      <c r="B240" s="218">
        <f>COUNTA($B$1:B239)</f>
        <v>230</v>
      </c>
      <c r="C240" s="219" t="s">
        <v>226</v>
      </c>
      <c r="D240" s="51"/>
      <c r="E240" s="52"/>
      <c r="F240" s="34"/>
      <c r="G240" s="35" t="s">
        <v>133</v>
      </c>
      <c r="H240" s="35"/>
      <c r="I240" s="35"/>
      <c r="J240" s="35"/>
      <c r="K240" s="34"/>
      <c r="L240" s="35" t="s">
        <v>227</v>
      </c>
      <c r="M240" s="36" t="s">
        <v>79</v>
      </c>
      <c r="N240" s="35"/>
      <c r="O240" s="35"/>
      <c r="P240" s="35"/>
      <c r="Q240" s="35"/>
      <c r="R240" s="35"/>
      <c r="S240" s="52"/>
      <c r="T240" s="35"/>
      <c r="U240" s="35"/>
      <c r="V240" s="35"/>
      <c r="W240" s="35"/>
      <c r="X240" s="52"/>
      <c r="Y240" s="52"/>
      <c r="Z240" s="52"/>
    </row>
    <row r="241" spans="1:26" s="19" customFormat="1" outlineLevel="1">
      <c r="A241" s="33" t="s">
        <v>131</v>
      </c>
      <c r="B241" s="34">
        <f>COUNTA($B$1:B240)</f>
        <v>231</v>
      </c>
      <c r="C241" s="35" t="s">
        <v>948</v>
      </c>
      <c r="D241" s="35"/>
      <c r="E241" s="35"/>
      <c r="F241" s="34"/>
      <c r="G241" s="35" t="s">
        <v>133</v>
      </c>
      <c r="H241" s="35"/>
      <c r="I241" s="35" t="s">
        <v>55</v>
      </c>
      <c r="J241" s="35" t="s">
        <v>949</v>
      </c>
      <c r="K241" s="34">
        <v>0</v>
      </c>
      <c r="L241" s="35" t="s">
        <v>34</v>
      </c>
      <c r="M241" s="35"/>
      <c r="N241" s="35"/>
      <c r="O241" s="35"/>
      <c r="P241" s="35"/>
      <c r="Q241" s="35"/>
      <c r="R241" s="35"/>
      <c r="S241" s="35"/>
      <c r="T241" s="35"/>
      <c r="U241" s="35"/>
      <c r="V241" s="35"/>
      <c r="W241" s="35"/>
      <c r="X241" s="35"/>
      <c r="Y241" s="35"/>
      <c r="Z241" s="35"/>
    </row>
    <row r="242" spans="1:26" s="19" customFormat="1" outlineLevel="1">
      <c r="A242" s="33" t="s">
        <v>131</v>
      </c>
      <c r="B242" s="34">
        <f>COUNTA($B$1:B241)</f>
        <v>232</v>
      </c>
      <c r="C242" s="35" t="s">
        <v>67</v>
      </c>
      <c r="D242" s="35"/>
      <c r="E242" s="35"/>
      <c r="F242" s="34"/>
      <c r="G242" s="35" t="s">
        <v>133</v>
      </c>
      <c r="H242" s="35"/>
      <c r="I242" s="35"/>
      <c r="J242" s="35"/>
      <c r="K242" s="34"/>
      <c r="L242" s="35" t="s">
        <v>67</v>
      </c>
      <c r="M242" s="36">
        <v>2</v>
      </c>
      <c r="N242" s="35"/>
      <c r="O242" s="35"/>
      <c r="P242" s="35"/>
      <c r="Q242" s="35"/>
      <c r="R242" s="35"/>
      <c r="S242" s="35"/>
      <c r="T242" s="35"/>
      <c r="U242" s="35"/>
      <c r="V242" s="35"/>
      <c r="W242" s="35"/>
      <c r="X242" s="35"/>
      <c r="Y242" s="35"/>
      <c r="Z242" s="35"/>
    </row>
    <row r="243" spans="1:26" s="19" customFormat="1" outlineLevel="1">
      <c r="A243" s="33" t="s">
        <v>131</v>
      </c>
      <c r="B243" s="34">
        <f>COUNTA($B$1:B242)</f>
        <v>233</v>
      </c>
      <c r="C243" s="35" t="s">
        <v>952</v>
      </c>
      <c r="D243" s="35"/>
      <c r="E243" s="35"/>
      <c r="F243" s="34"/>
      <c r="G243" s="35" t="s">
        <v>133</v>
      </c>
      <c r="H243" s="35"/>
      <c r="I243" s="35" t="s">
        <v>55</v>
      </c>
      <c r="J243" s="35" t="s">
        <v>949</v>
      </c>
      <c r="K243" s="34">
        <v>0</v>
      </c>
      <c r="L243" s="35" t="s">
        <v>951</v>
      </c>
      <c r="M243" s="50" t="s">
        <v>266</v>
      </c>
      <c r="N243" s="35"/>
      <c r="O243" s="35"/>
      <c r="P243" s="35"/>
      <c r="Q243" s="35"/>
      <c r="R243" s="35"/>
      <c r="S243" s="35"/>
      <c r="T243" s="35"/>
      <c r="U243" s="35"/>
      <c r="V243" s="35"/>
      <c r="W243" s="35"/>
      <c r="X243" s="35"/>
      <c r="Y243" s="35"/>
      <c r="Z243" s="35"/>
    </row>
    <row r="244" spans="1:26" s="19" customFormat="1" outlineLevel="1">
      <c r="A244" s="33" t="s">
        <v>131</v>
      </c>
      <c r="B244" s="34">
        <f>COUNTA($B$1:B243)</f>
        <v>234</v>
      </c>
      <c r="C244" s="35" t="s">
        <v>953</v>
      </c>
      <c r="D244" s="35"/>
      <c r="E244" s="35"/>
      <c r="F244" s="34"/>
      <c r="G244" s="35" t="s">
        <v>133</v>
      </c>
      <c r="H244" s="35"/>
      <c r="I244" s="35" t="s">
        <v>55</v>
      </c>
      <c r="J244" s="35" t="s">
        <v>949</v>
      </c>
      <c r="K244" s="34">
        <v>0</v>
      </c>
      <c r="L244" s="35" t="s">
        <v>951</v>
      </c>
      <c r="M244" s="50" t="s">
        <v>268</v>
      </c>
      <c r="N244" s="35"/>
      <c r="O244" s="35"/>
      <c r="P244" s="35"/>
      <c r="Q244" s="35"/>
      <c r="R244" s="35"/>
      <c r="S244" s="35"/>
      <c r="T244" s="35"/>
      <c r="U244" s="35"/>
      <c r="V244" s="35"/>
      <c r="W244" s="35"/>
      <c r="X244" s="35"/>
      <c r="Y244" s="35"/>
      <c r="Z244" s="35"/>
    </row>
    <row r="245" spans="1:26">
      <c r="A245" s="33" t="s">
        <v>131</v>
      </c>
      <c r="B245" s="34">
        <f>COUNTA($B$1:B244)</f>
        <v>235</v>
      </c>
      <c r="C245" s="247" t="s">
        <v>226</v>
      </c>
      <c r="D245" s="51"/>
      <c r="E245" s="52"/>
      <c r="F245" s="34"/>
      <c r="G245" s="35" t="s">
        <v>133</v>
      </c>
      <c r="H245" s="35"/>
      <c r="I245" s="35"/>
      <c r="J245" s="35"/>
      <c r="K245" s="34"/>
      <c r="L245" s="35" t="s">
        <v>227</v>
      </c>
      <c r="M245" s="36" t="s">
        <v>79</v>
      </c>
      <c r="N245" s="35"/>
      <c r="O245" s="35"/>
      <c r="P245" s="35"/>
      <c r="Q245" s="35"/>
      <c r="R245" s="35"/>
      <c r="S245" s="52"/>
      <c r="T245" s="35"/>
      <c r="U245" s="35"/>
      <c r="V245" s="35"/>
      <c r="W245" s="35"/>
      <c r="X245" s="52"/>
      <c r="Y245" s="52"/>
      <c r="Z245" s="52"/>
    </row>
    <row r="246" spans="1:26" s="19" customFormat="1" outlineLevel="1">
      <c r="A246" s="33" t="s">
        <v>131</v>
      </c>
      <c r="B246" s="34">
        <f>COUNTA($B$1:B245)</f>
        <v>236</v>
      </c>
      <c r="C246" s="35" t="s">
        <v>67</v>
      </c>
      <c r="D246" s="35"/>
      <c r="E246" s="35"/>
      <c r="F246" s="34"/>
      <c r="G246" s="35" t="s">
        <v>133</v>
      </c>
      <c r="H246" s="35"/>
      <c r="I246" s="35"/>
      <c r="J246" s="35"/>
      <c r="K246" s="34"/>
      <c r="L246" s="35" t="s">
        <v>67</v>
      </c>
      <c r="M246" s="36">
        <v>2</v>
      </c>
      <c r="N246" s="35"/>
      <c r="O246" s="35"/>
      <c r="P246" s="35"/>
      <c r="Q246" s="35"/>
      <c r="R246" s="35"/>
      <c r="S246" s="35"/>
      <c r="T246" s="35"/>
      <c r="U246" s="35"/>
      <c r="V246" s="35"/>
      <c r="W246" s="35"/>
      <c r="X246" s="35"/>
      <c r="Y246" s="35"/>
      <c r="Z246" s="35"/>
    </row>
    <row r="247" spans="1:26">
      <c r="A247" s="33" t="s">
        <v>131</v>
      </c>
      <c r="B247" s="34">
        <f>COUNTA($B$1:B246)</f>
        <v>237</v>
      </c>
      <c r="C247" s="35" t="s">
        <v>262</v>
      </c>
      <c r="D247" s="35"/>
      <c r="E247" s="35"/>
      <c r="F247" s="34"/>
      <c r="G247" s="35" t="s">
        <v>133</v>
      </c>
      <c r="H247" s="35"/>
      <c r="I247" s="35"/>
      <c r="J247" s="35"/>
      <c r="K247" s="34">
        <v>0</v>
      </c>
      <c r="L247" s="35" t="s">
        <v>96</v>
      </c>
      <c r="M247" s="35"/>
      <c r="N247" s="35"/>
      <c r="O247" s="35"/>
      <c r="P247" s="35"/>
      <c r="Q247" s="35"/>
      <c r="R247" s="52"/>
      <c r="S247" s="35"/>
      <c r="T247" s="35"/>
      <c r="U247" s="35"/>
      <c r="V247" s="35"/>
      <c r="W247" s="35"/>
      <c r="X247" s="35"/>
      <c r="Y247" s="35"/>
      <c r="Z247" s="35"/>
    </row>
    <row r="248" spans="1:26">
      <c r="A248" s="33" t="s">
        <v>131</v>
      </c>
      <c r="B248" s="34">
        <f>COUNTA($B$1:B247)</f>
        <v>238</v>
      </c>
      <c r="C248" s="35" t="s">
        <v>67</v>
      </c>
      <c r="D248" s="35"/>
      <c r="E248" s="35"/>
      <c r="F248" s="34"/>
      <c r="G248" s="35" t="s">
        <v>133</v>
      </c>
      <c r="H248" s="35"/>
      <c r="I248" s="35"/>
      <c r="J248" s="35"/>
      <c r="K248" s="34"/>
      <c r="L248" s="35" t="s">
        <v>67</v>
      </c>
      <c r="M248" s="36">
        <v>2</v>
      </c>
      <c r="N248" s="35"/>
      <c r="O248" s="35"/>
      <c r="P248" s="35"/>
      <c r="Q248" s="35"/>
      <c r="R248" s="36"/>
      <c r="S248" s="35"/>
      <c r="T248" s="35"/>
      <c r="U248" s="35"/>
      <c r="V248" s="35"/>
      <c r="W248" s="35"/>
      <c r="X248" s="35"/>
      <c r="Y248" s="35"/>
      <c r="Z248" s="35"/>
    </row>
    <row r="249" spans="1:26">
      <c r="A249" s="33" t="s">
        <v>131</v>
      </c>
      <c r="B249" s="34">
        <f>COUNTA($B$1:B248)</f>
        <v>239</v>
      </c>
      <c r="C249" s="35" t="s">
        <v>312</v>
      </c>
      <c r="D249" s="51"/>
      <c r="E249" s="52" t="s">
        <v>154</v>
      </c>
      <c r="F249" s="34"/>
      <c r="G249" s="35" t="s">
        <v>133</v>
      </c>
      <c r="H249" s="35"/>
      <c r="I249" s="35" t="s">
        <v>55</v>
      </c>
      <c r="J249" s="35" t="s">
        <v>313</v>
      </c>
      <c r="K249" s="34">
        <v>0</v>
      </c>
      <c r="L249" s="35" t="s">
        <v>147</v>
      </c>
      <c r="M249" s="36"/>
      <c r="N249" s="35"/>
      <c r="O249" s="35"/>
      <c r="P249" s="35"/>
      <c r="Q249" s="35"/>
      <c r="R249" s="35"/>
      <c r="S249" s="52"/>
      <c r="T249" s="35"/>
      <c r="U249" s="35"/>
      <c r="V249" s="35"/>
      <c r="W249" s="35"/>
      <c r="X249" s="52"/>
      <c r="Y249" s="52"/>
      <c r="Z249" s="52"/>
    </row>
    <row r="250" spans="1:26">
      <c r="A250" s="33" t="s">
        <v>131</v>
      </c>
      <c r="B250" s="34">
        <f>COUNTA($B$1:B249)</f>
        <v>240</v>
      </c>
      <c r="C250" s="35" t="s">
        <v>67</v>
      </c>
      <c r="D250" s="35"/>
      <c r="E250" s="35"/>
      <c r="F250" s="34"/>
      <c r="G250" s="35" t="s">
        <v>133</v>
      </c>
      <c r="H250" s="35"/>
      <c r="I250" s="35"/>
      <c r="J250" s="35"/>
      <c r="K250" s="34"/>
      <c r="L250" s="35" t="s">
        <v>67</v>
      </c>
      <c r="M250" s="36">
        <v>2</v>
      </c>
      <c r="N250" s="35"/>
      <c r="O250" s="35"/>
      <c r="P250" s="35"/>
      <c r="Q250" s="35"/>
      <c r="R250" s="36"/>
      <c r="S250" s="35"/>
      <c r="T250" s="35"/>
      <c r="U250" s="35"/>
      <c r="V250" s="35"/>
      <c r="W250" s="35"/>
      <c r="X250" s="35"/>
      <c r="Y250" s="35"/>
      <c r="Z250" s="35"/>
    </row>
    <row r="251" spans="1:26">
      <c r="A251" s="33" t="str">
        <f>IF(OR(Global!B2="QA",Global!B2="UAT"),"bln677971","N")</f>
        <v>bln677971</v>
      </c>
      <c r="B251" s="34">
        <f>COUNTA($B$1:B250)</f>
        <v>241</v>
      </c>
      <c r="C251" s="35" t="s">
        <v>190</v>
      </c>
      <c r="D251" s="35"/>
      <c r="E251" s="35"/>
      <c r="F251" s="34"/>
      <c r="G251" s="35" t="s">
        <v>133</v>
      </c>
      <c r="H251" s="35"/>
      <c r="I251" s="35" t="s">
        <v>55</v>
      </c>
      <c r="J251" s="35" t="s">
        <v>87</v>
      </c>
      <c r="K251" s="34">
        <v>0</v>
      </c>
      <c r="L251" s="35" t="s">
        <v>147</v>
      </c>
      <c r="M251" s="36"/>
      <c r="N251" s="35"/>
      <c r="O251" s="35"/>
      <c r="P251" s="35"/>
      <c r="Q251" s="35"/>
      <c r="R251" s="35"/>
      <c r="S251" s="35"/>
      <c r="T251" s="35"/>
      <c r="U251" s="35"/>
      <c r="V251" s="35"/>
      <c r="W251" s="35"/>
      <c r="X251" s="35"/>
      <c r="Y251" s="35"/>
      <c r="Z251" s="35"/>
    </row>
    <row r="252" spans="1:26">
      <c r="A252" s="33" t="str">
        <f>A251</f>
        <v>bln677971</v>
      </c>
      <c r="B252" s="34">
        <f>COUNTA($B$1:B251)</f>
        <v>242</v>
      </c>
      <c r="C252" s="35" t="s">
        <v>67</v>
      </c>
      <c r="D252" s="35"/>
      <c r="E252" s="35"/>
      <c r="F252" s="34"/>
      <c r="G252" s="35" t="s">
        <v>133</v>
      </c>
      <c r="H252" s="35"/>
      <c r="I252" s="35"/>
      <c r="J252" s="35"/>
      <c r="K252" s="34"/>
      <c r="L252" s="35" t="s">
        <v>67</v>
      </c>
      <c r="M252" s="36">
        <v>10</v>
      </c>
      <c r="N252" s="35"/>
      <c r="O252" s="35"/>
      <c r="P252" s="35"/>
      <c r="Q252" s="35"/>
      <c r="R252" s="36"/>
      <c r="S252" s="35"/>
      <c r="T252" s="35"/>
      <c r="U252" s="35"/>
      <c r="V252" s="35"/>
      <c r="W252" s="35"/>
      <c r="X252" s="35"/>
      <c r="Y252" s="35"/>
      <c r="Z252" s="35"/>
    </row>
    <row r="253" spans="1:26">
      <c r="A253" s="30" t="s">
        <v>100</v>
      </c>
      <c r="B253" s="31"/>
      <c r="C253" s="31"/>
      <c r="D253" s="32"/>
      <c r="E253" s="32"/>
      <c r="F253" s="31"/>
      <c r="G253" s="32"/>
      <c r="H253" s="32"/>
      <c r="I253" s="32"/>
      <c r="J253" s="32"/>
      <c r="K253" s="31"/>
      <c r="L253" s="32"/>
      <c r="M253" s="32"/>
      <c r="N253" s="32"/>
      <c r="O253" s="32"/>
      <c r="P253" s="32"/>
      <c r="Q253" s="32"/>
      <c r="R253" s="32"/>
      <c r="S253" s="32"/>
      <c r="T253" s="32"/>
      <c r="U253" s="32"/>
      <c r="V253" s="32"/>
      <c r="W253" s="32"/>
      <c r="X253" s="32"/>
      <c r="Y253" s="32"/>
      <c r="Z253" s="32"/>
    </row>
    <row r="254" spans="1:26">
      <c r="A254" s="45" t="str">
        <f>A251</f>
        <v>bln677971</v>
      </c>
      <c r="B254" s="34">
        <f>COUNTA($B$1:B253)</f>
        <v>243</v>
      </c>
      <c r="C254" s="46" t="s">
        <v>140</v>
      </c>
      <c r="D254" s="46"/>
      <c r="E254" s="46"/>
      <c r="F254" s="47"/>
      <c r="G254" s="46" t="s">
        <v>133</v>
      </c>
      <c r="H254" s="46"/>
      <c r="I254" s="46" t="s">
        <v>55</v>
      </c>
      <c r="J254" s="46" t="s">
        <v>141</v>
      </c>
      <c r="K254" s="47"/>
      <c r="L254" s="46" t="s">
        <v>142</v>
      </c>
      <c r="M254" s="48"/>
      <c r="N254" s="46"/>
      <c r="O254" s="46" t="s">
        <v>2</v>
      </c>
      <c r="P254" s="46"/>
      <c r="Q254" s="46"/>
      <c r="R254" s="49"/>
      <c r="S254" s="46"/>
      <c r="T254" s="46"/>
      <c r="U254" s="46"/>
      <c r="V254" s="46"/>
      <c r="W254" s="46"/>
      <c r="X254" s="46"/>
      <c r="Y254" s="46"/>
      <c r="Z254" s="46"/>
    </row>
    <row r="255" spans="1:26">
      <c r="A255" s="45" t="str">
        <f>A254</f>
        <v>bln677971</v>
      </c>
      <c r="B255" s="34">
        <f>COUNTA($B$1:B254)</f>
        <v>244</v>
      </c>
      <c r="C255" s="46" t="s">
        <v>143</v>
      </c>
      <c r="D255" s="46"/>
      <c r="E255" s="46"/>
      <c r="F255" s="47"/>
      <c r="G255" s="46" t="s">
        <v>133</v>
      </c>
      <c r="H255" s="46"/>
      <c r="I255" s="46" t="s">
        <v>55</v>
      </c>
      <c r="J255" s="46" t="s">
        <v>141</v>
      </c>
      <c r="K255" s="47"/>
      <c r="L255" s="46" t="s">
        <v>98</v>
      </c>
      <c r="M255" s="48"/>
      <c r="N255" s="46" t="s">
        <v>99</v>
      </c>
      <c r="O255" s="46" t="s">
        <v>2</v>
      </c>
      <c r="P255" s="46"/>
      <c r="Q255" s="46"/>
      <c r="R255" s="49" t="s">
        <v>144</v>
      </c>
      <c r="S255" s="46"/>
      <c r="T255" s="46"/>
      <c r="U255" s="46"/>
      <c r="V255" s="46"/>
      <c r="W255" s="46"/>
      <c r="X255" s="46"/>
      <c r="Y255" s="46"/>
      <c r="Z255" s="46"/>
    </row>
    <row r="256" spans="1:26">
      <c r="A256" s="45" t="str">
        <f>A255</f>
        <v>bln677971</v>
      </c>
      <c r="B256" s="34">
        <f>COUNTA($B$1:B255)</f>
        <v>245</v>
      </c>
      <c r="C256" s="46" t="s">
        <v>145</v>
      </c>
      <c r="D256" s="46"/>
      <c r="E256" s="46"/>
      <c r="F256" s="47"/>
      <c r="G256" s="46" t="s">
        <v>133</v>
      </c>
      <c r="H256" s="46"/>
      <c r="I256" s="46" t="s">
        <v>55</v>
      </c>
      <c r="J256" s="46" t="s">
        <v>146</v>
      </c>
      <c r="K256" s="47"/>
      <c r="L256" s="46" t="s">
        <v>147</v>
      </c>
      <c r="M256" s="48"/>
      <c r="N256" s="46"/>
      <c r="O256" s="46" t="s">
        <v>2</v>
      </c>
      <c r="P256" s="46"/>
      <c r="Q256" s="46"/>
      <c r="R256" s="48"/>
      <c r="S256" s="46"/>
      <c r="T256" s="46"/>
      <c r="U256" s="46"/>
      <c r="V256" s="46"/>
      <c r="W256" s="46"/>
      <c r="X256" s="46"/>
      <c r="Y256" s="46"/>
      <c r="Z256" s="46"/>
    </row>
    <row r="257" spans="1:26">
      <c r="A257" s="33" t="str">
        <f>A251</f>
        <v>bln677971</v>
      </c>
      <c r="B257" s="34">
        <f>COUNTA($B$1:B256)</f>
        <v>246</v>
      </c>
      <c r="C257" s="35" t="s">
        <v>67</v>
      </c>
      <c r="D257" s="35"/>
      <c r="E257" s="35"/>
      <c r="F257" s="34"/>
      <c r="G257" s="35" t="s">
        <v>133</v>
      </c>
      <c r="H257" s="35"/>
      <c r="I257" s="35"/>
      <c r="J257" s="35"/>
      <c r="K257" s="34"/>
      <c r="L257" s="35" t="s">
        <v>67</v>
      </c>
      <c r="M257" s="36">
        <v>3</v>
      </c>
      <c r="N257" s="35"/>
      <c r="O257" s="35"/>
      <c r="P257" s="35"/>
      <c r="Q257" s="35"/>
      <c r="R257" s="36"/>
      <c r="S257" s="35"/>
      <c r="T257" s="35"/>
      <c r="U257" s="35"/>
      <c r="V257" s="35"/>
      <c r="W257" s="35"/>
      <c r="X257" s="35"/>
      <c r="Y257" s="35"/>
      <c r="Z257" s="35"/>
    </row>
    <row r="258" spans="1:26">
      <c r="A258" s="33" t="str">
        <f t="shared" ref="A258:A264" si="3">A257</f>
        <v>bln677971</v>
      </c>
      <c r="B258" s="34">
        <f>COUNTA($B$1:B257)</f>
        <v>247</v>
      </c>
      <c r="C258" s="35" t="s">
        <v>314</v>
      </c>
      <c r="D258" s="35"/>
      <c r="E258" s="35"/>
      <c r="F258" s="34"/>
      <c r="G258" s="35" t="s">
        <v>133</v>
      </c>
      <c r="H258" s="35"/>
      <c r="I258" s="35" t="s">
        <v>55</v>
      </c>
      <c r="J258" s="35" t="s">
        <v>315</v>
      </c>
      <c r="K258" s="34">
        <v>0</v>
      </c>
      <c r="L258" s="35" t="s">
        <v>98</v>
      </c>
      <c r="M258" s="35"/>
      <c r="N258" s="35" t="s">
        <v>99</v>
      </c>
      <c r="O258" s="35"/>
      <c r="P258" s="35"/>
      <c r="Q258" s="35"/>
      <c r="R258" s="55" t="s">
        <v>316</v>
      </c>
      <c r="S258" s="35"/>
      <c r="T258" s="35" t="s">
        <v>2</v>
      </c>
      <c r="U258" s="35"/>
      <c r="V258" s="35"/>
      <c r="W258" s="35"/>
      <c r="X258" s="35"/>
      <c r="Y258" s="35"/>
      <c r="Z258" s="35"/>
    </row>
    <row r="259" spans="1:26">
      <c r="A259" s="33" t="str">
        <f t="shared" si="3"/>
        <v>bln677971</v>
      </c>
      <c r="B259" s="34">
        <f>COUNTA($B$1:B258)</f>
        <v>248</v>
      </c>
      <c r="C259" s="56" t="s">
        <v>317</v>
      </c>
      <c r="D259" s="57"/>
      <c r="E259" s="58" t="s">
        <v>154</v>
      </c>
      <c r="F259" s="59"/>
      <c r="G259" s="35" t="s">
        <v>133</v>
      </c>
      <c r="H259" s="56"/>
      <c r="I259" s="56" t="s">
        <v>55</v>
      </c>
      <c r="J259" s="56" t="s">
        <v>318</v>
      </c>
      <c r="K259" s="59"/>
      <c r="L259" s="56" t="s">
        <v>98</v>
      </c>
      <c r="M259" s="56"/>
      <c r="N259" s="56" t="s">
        <v>99</v>
      </c>
      <c r="O259" s="56"/>
      <c r="P259" s="56"/>
      <c r="Q259" s="56"/>
      <c r="R259" s="58" t="s">
        <v>319</v>
      </c>
      <c r="S259" s="58" t="s">
        <v>319</v>
      </c>
      <c r="T259" s="56" t="s">
        <v>2</v>
      </c>
      <c r="U259" s="56"/>
      <c r="V259" s="56"/>
      <c r="W259" s="35"/>
      <c r="X259" s="35"/>
      <c r="Y259" s="35"/>
      <c r="Z259" s="35"/>
    </row>
    <row r="260" spans="1:26">
      <c r="A260" s="33" t="str">
        <f t="shared" si="3"/>
        <v>bln677971</v>
      </c>
      <c r="B260" s="34">
        <f>COUNTA($B$1:B259)</f>
        <v>249</v>
      </c>
      <c r="C260" s="56" t="s">
        <v>320</v>
      </c>
      <c r="D260" s="57"/>
      <c r="E260" s="58" t="s">
        <v>154</v>
      </c>
      <c r="F260" s="59"/>
      <c r="G260" s="35" t="s">
        <v>133</v>
      </c>
      <c r="H260" s="56"/>
      <c r="I260" s="56" t="s">
        <v>55</v>
      </c>
      <c r="J260" s="56" t="s">
        <v>321</v>
      </c>
      <c r="K260" s="59"/>
      <c r="L260" s="56" t="s">
        <v>98</v>
      </c>
      <c r="M260" s="56"/>
      <c r="N260" s="56" t="s">
        <v>99</v>
      </c>
      <c r="O260" s="56"/>
      <c r="P260" s="56"/>
      <c r="Q260" s="56"/>
      <c r="R260" s="58" t="s">
        <v>322</v>
      </c>
      <c r="S260" s="58" t="s">
        <v>322</v>
      </c>
      <c r="T260" s="56" t="s">
        <v>2</v>
      </c>
      <c r="U260" s="56"/>
      <c r="V260" s="56"/>
      <c r="W260" s="35"/>
      <c r="X260" s="35"/>
      <c r="Y260" s="35"/>
      <c r="Z260" s="35"/>
    </row>
    <row r="261" spans="1:26">
      <c r="A261" s="33" t="str">
        <f t="shared" si="3"/>
        <v>bln677971</v>
      </c>
      <c r="B261" s="34">
        <f>COUNTA($B$1:B260)</f>
        <v>250</v>
      </c>
      <c r="C261" s="56" t="s">
        <v>323</v>
      </c>
      <c r="D261" s="57"/>
      <c r="E261" s="58"/>
      <c r="F261" s="59"/>
      <c r="G261" s="35" t="s">
        <v>133</v>
      </c>
      <c r="H261" s="56"/>
      <c r="I261" s="56" t="s">
        <v>55</v>
      </c>
      <c r="J261" s="56" t="s">
        <v>324</v>
      </c>
      <c r="K261" s="59"/>
      <c r="L261" s="56" t="s">
        <v>98</v>
      </c>
      <c r="M261" s="56"/>
      <c r="N261" s="56" t="s">
        <v>99</v>
      </c>
      <c r="O261" s="56"/>
      <c r="P261" s="56"/>
      <c r="Q261" s="56"/>
      <c r="R261" s="58" t="s">
        <v>101</v>
      </c>
      <c r="S261" s="56"/>
      <c r="T261" s="56" t="s">
        <v>2</v>
      </c>
      <c r="U261" s="56"/>
      <c r="V261" s="56"/>
      <c r="W261" s="35"/>
      <c r="X261" s="35"/>
      <c r="Y261" s="35"/>
      <c r="Z261" s="35"/>
    </row>
    <row r="262" spans="1:26">
      <c r="A262" s="33" t="str">
        <f t="shared" si="3"/>
        <v>bln677971</v>
      </c>
      <c r="B262" s="34">
        <f>COUNTA($B$1:B261)</f>
        <v>251</v>
      </c>
      <c r="C262" s="56" t="s">
        <v>325</v>
      </c>
      <c r="D262" s="57"/>
      <c r="E262" s="58"/>
      <c r="F262" s="59"/>
      <c r="G262" s="35" t="s">
        <v>133</v>
      </c>
      <c r="H262" s="56"/>
      <c r="I262" s="56" t="s">
        <v>55</v>
      </c>
      <c r="J262" s="56" t="s">
        <v>326</v>
      </c>
      <c r="K262" s="59"/>
      <c r="L262" s="56" t="s">
        <v>98</v>
      </c>
      <c r="M262" s="56"/>
      <c r="N262" s="56" t="s">
        <v>99</v>
      </c>
      <c r="O262" s="56"/>
      <c r="P262" s="56"/>
      <c r="Q262" s="56"/>
      <c r="R262" s="58" t="s">
        <v>322</v>
      </c>
      <c r="S262" s="56"/>
      <c r="T262" s="56" t="s">
        <v>2</v>
      </c>
      <c r="U262" s="56"/>
      <c r="V262" s="56"/>
      <c r="W262" s="35"/>
      <c r="X262" s="52"/>
      <c r="Y262" s="52"/>
      <c r="Z262" s="52"/>
    </row>
    <row r="263" spans="1:26">
      <c r="A263" s="33" t="str">
        <f t="shared" si="3"/>
        <v>bln677971</v>
      </c>
      <c r="B263" s="34">
        <f>COUNTA($B$1:B262)</f>
        <v>252</v>
      </c>
      <c r="C263" s="35" t="s">
        <v>327</v>
      </c>
      <c r="D263" s="51"/>
      <c r="E263" s="52"/>
      <c r="F263" s="34"/>
      <c r="G263" s="35" t="s">
        <v>133</v>
      </c>
      <c r="H263" s="35"/>
      <c r="I263" s="35" t="s">
        <v>55</v>
      </c>
      <c r="J263" s="35" t="s">
        <v>328</v>
      </c>
      <c r="K263" s="34">
        <v>0</v>
      </c>
      <c r="L263" s="35" t="s">
        <v>98</v>
      </c>
      <c r="M263" s="35"/>
      <c r="N263" s="35" t="s">
        <v>99</v>
      </c>
      <c r="O263" s="35"/>
      <c r="P263" s="35"/>
      <c r="Q263" s="35"/>
      <c r="R263" s="35"/>
      <c r="S263" s="35" t="s">
        <v>329</v>
      </c>
      <c r="T263" s="35"/>
      <c r="U263" s="35"/>
      <c r="V263" s="35"/>
      <c r="W263" s="35"/>
      <c r="X263" s="35"/>
      <c r="Y263" s="35"/>
      <c r="Z263" s="35"/>
    </row>
    <row r="264" spans="1:26">
      <c r="A264" s="33" t="str">
        <f t="shared" si="3"/>
        <v>bln677971</v>
      </c>
      <c r="B264" s="34">
        <f>COUNTA($B$1:B263)</f>
        <v>253</v>
      </c>
      <c r="C264" s="35" t="s">
        <v>330</v>
      </c>
      <c r="D264" s="35"/>
      <c r="E264" s="35"/>
      <c r="F264" s="34"/>
      <c r="G264" s="35" t="s">
        <v>133</v>
      </c>
      <c r="H264" s="35"/>
      <c r="I264" s="35" t="s">
        <v>55</v>
      </c>
      <c r="J264" s="35" t="s">
        <v>107</v>
      </c>
      <c r="K264" s="34">
        <v>0</v>
      </c>
      <c r="L264" s="35" t="s">
        <v>98</v>
      </c>
      <c r="M264" s="36"/>
      <c r="N264" s="35" t="s">
        <v>99</v>
      </c>
      <c r="O264" s="35"/>
      <c r="P264" s="35"/>
      <c r="Q264" s="35"/>
      <c r="R264" s="36" t="s">
        <v>302</v>
      </c>
      <c r="S264" s="35"/>
      <c r="T264" s="35" t="s">
        <v>2</v>
      </c>
      <c r="U264" s="35"/>
      <c r="V264" s="35"/>
      <c r="W264" s="35"/>
      <c r="X264" s="52"/>
      <c r="Y264" s="52"/>
      <c r="Z264" s="52"/>
    </row>
    <row r="265" spans="1:26">
      <c r="A265" s="33" t="s">
        <v>21</v>
      </c>
      <c r="B265" s="34">
        <f>COUNTA($B$1:B264)</f>
        <v>254</v>
      </c>
      <c r="C265" s="35" t="s">
        <v>331</v>
      </c>
      <c r="D265" s="35"/>
      <c r="E265" s="35"/>
      <c r="F265" s="34"/>
      <c r="G265" s="35" t="s">
        <v>133</v>
      </c>
      <c r="H265" s="35"/>
      <c r="I265" s="35" t="s">
        <v>55</v>
      </c>
      <c r="J265" s="35" t="s">
        <v>332</v>
      </c>
      <c r="K265" s="34"/>
      <c r="L265" s="35" t="s">
        <v>98</v>
      </c>
      <c r="M265" s="36"/>
      <c r="N265" s="35" t="s">
        <v>99</v>
      </c>
      <c r="O265" s="35"/>
      <c r="P265" s="35"/>
      <c r="Q265" s="35"/>
      <c r="R265" s="52" t="s">
        <v>333</v>
      </c>
      <c r="S265" s="35"/>
      <c r="T265" s="35" t="s">
        <v>2</v>
      </c>
      <c r="U265" s="35"/>
      <c r="V265" s="35"/>
      <c r="W265" s="35"/>
      <c r="X265" s="35"/>
      <c r="Y265" s="35"/>
      <c r="Z265" s="35"/>
    </row>
    <row r="266" spans="1:26">
      <c r="A266" s="33" t="s">
        <v>21</v>
      </c>
      <c r="B266" s="34">
        <f>COUNTA($B$1:B265)</f>
        <v>255</v>
      </c>
      <c r="C266" s="35" t="s">
        <v>334</v>
      </c>
      <c r="D266" s="35"/>
      <c r="E266" s="35"/>
      <c r="F266" s="34"/>
      <c r="G266" s="35" t="s">
        <v>133</v>
      </c>
      <c r="H266" s="35"/>
      <c r="I266" s="35" t="s">
        <v>55</v>
      </c>
      <c r="J266" s="35" t="s">
        <v>335</v>
      </c>
      <c r="K266" s="34"/>
      <c r="L266" s="35" t="s">
        <v>98</v>
      </c>
      <c r="M266" s="36"/>
      <c r="N266" s="35" t="s">
        <v>99</v>
      </c>
      <c r="O266" s="35"/>
      <c r="P266" s="35"/>
      <c r="Q266" s="35"/>
      <c r="R266" s="52" t="s">
        <v>336</v>
      </c>
      <c r="S266" s="35"/>
      <c r="T266" s="35" t="s">
        <v>2</v>
      </c>
      <c r="U266" s="35"/>
      <c r="V266" s="35"/>
      <c r="W266" s="35"/>
      <c r="X266" s="52"/>
      <c r="Y266" s="52"/>
      <c r="Z266" s="52"/>
    </row>
    <row r="267" spans="1:26">
      <c r="A267" s="33" t="s">
        <v>21</v>
      </c>
      <c r="B267" s="34">
        <f>COUNTA($B$1:B266)</f>
        <v>256</v>
      </c>
      <c r="C267" s="35" t="s">
        <v>337</v>
      </c>
      <c r="D267" s="35"/>
      <c r="E267" s="35"/>
      <c r="F267" s="34"/>
      <c r="G267" s="35" t="s">
        <v>133</v>
      </c>
      <c r="H267" s="35"/>
      <c r="I267" s="35" t="s">
        <v>55</v>
      </c>
      <c r="J267" s="35" t="s">
        <v>338</v>
      </c>
      <c r="K267" s="34"/>
      <c r="L267" s="35" t="s">
        <v>98</v>
      </c>
      <c r="M267" s="36"/>
      <c r="N267" s="35" t="s">
        <v>99</v>
      </c>
      <c r="O267" s="35"/>
      <c r="P267" s="35"/>
      <c r="Q267" s="35"/>
      <c r="R267" s="52" t="s">
        <v>339</v>
      </c>
      <c r="S267" s="35"/>
      <c r="T267" s="35" t="s">
        <v>2</v>
      </c>
      <c r="U267" s="35"/>
      <c r="V267" s="35"/>
      <c r="W267" s="35"/>
      <c r="X267" s="35"/>
      <c r="Y267" s="35"/>
      <c r="Z267" s="35"/>
    </row>
    <row r="268" spans="1:26">
      <c r="A268" s="33" t="s">
        <v>21</v>
      </c>
      <c r="B268" s="34">
        <f>COUNTA($B$1:B267)</f>
        <v>257</v>
      </c>
      <c r="C268" s="35" t="s">
        <v>340</v>
      </c>
      <c r="D268" s="35"/>
      <c r="E268" s="35"/>
      <c r="F268" s="34"/>
      <c r="G268" s="35" t="s">
        <v>133</v>
      </c>
      <c r="H268" s="35"/>
      <c r="I268" s="35" t="s">
        <v>55</v>
      </c>
      <c r="J268" s="35" t="s">
        <v>341</v>
      </c>
      <c r="K268" s="34"/>
      <c r="L268" s="35" t="s">
        <v>98</v>
      </c>
      <c r="M268" s="36"/>
      <c r="N268" s="35" t="s">
        <v>99</v>
      </c>
      <c r="O268" s="35"/>
      <c r="P268" s="35"/>
      <c r="Q268" s="35"/>
      <c r="R268" s="52" t="s">
        <v>342</v>
      </c>
      <c r="S268" s="35"/>
      <c r="T268" s="35" t="s">
        <v>2</v>
      </c>
      <c r="U268" s="35"/>
      <c r="V268" s="35"/>
      <c r="W268" s="35"/>
      <c r="X268" s="52"/>
      <c r="Y268" s="52"/>
      <c r="Z268" s="52"/>
    </row>
    <row r="269" spans="1:26">
      <c r="A269" s="33" t="s">
        <v>21</v>
      </c>
      <c r="B269" s="34">
        <f>COUNTA($B$1:B268)</f>
        <v>258</v>
      </c>
      <c r="C269" s="35" t="s">
        <v>343</v>
      </c>
      <c r="D269" s="35"/>
      <c r="E269" s="35"/>
      <c r="F269" s="34"/>
      <c r="G269" s="35" t="s">
        <v>133</v>
      </c>
      <c r="H269" s="35"/>
      <c r="I269" s="35" t="s">
        <v>55</v>
      </c>
      <c r="J269" s="35" t="s">
        <v>344</v>
      </c>
      <c r="K269" s="34"/>
      <c r="L269" s="35" t="s">
        <v>98</v>
      </c>
      <c r="M269" s="36"/>
      <c r="N269" s="35" t="s">
        <v>99</v>
      </c>
      <c r="O269" s="35"/>
      <c r="P269" s="35"/>
      <c r="Q269" s="35"/>
      <c r="R269" s="52" t="s">
        <v>345</v>
      </c>
      <c r="S269" s="35"/>
      <c r="T269" s="35" t="s">
        <v>2</v>
      </c>
      <c r="U269" s="35"/>
      <c r="V269" s="35"/>
      <c r="W269" s="35"/>
      <c r="X269" s="35"/>
      <c r="Y269" s="35"/>
      <c r="Z269" s="35"/>
    </row>
    <row r="270" spans="1:26">
      <c r="A270" s="33" t="s">
        <v>21</v>
      </c>
      <c r="B270" s="34">
        <f>COUNTA($B$1:B269)</f>
        <v>259</v>
      </c>
      <c r="C270" s="35" t="s">
        <v>346</v>
      </c>
      <c r="D270" s="35"/>
      <c r="E270" s="35"/>
      <c r="F270" s="34"/>
      <c r="G270" s="35" t="s">
        <v>133</v>
      </c>
      <c r="H270" s="35"/>
      <c r="I270" s="35" t="s">
        <v>55</v>
      </c>
      <c r="J270" s="35" t="s">
        <v>347</v>
      </c>
      <c r="K270" s="34"/>
      <c r="L270" s="35" t="s">
        <v>98</v>
      </c>
      <c r="M270" s="36"/>
      <c r="N270" s="35" t="s">
        <v>99</v>
      </c>
      <c r="O270" s="35"/>
      <c r="P270" s="35"/>
      <c r="Q270" s="35"/>
      <c r="R270" s="52" t="s">
        <v>348</v>
      </c>
      <c r="S270" s="35"/>
      <c r="T270" s="35" t="s">
        <v>2</v>
      </c>
      <c r="U270" s="35"/>
      <c r="V270" s="35"/>
      <c r="W270" s="35"/>
      <c r="X270" s="52"/>
      <c r="Y270" s="52"/>
      <c r="Z270" s="52"/>
    </row>
    <row r="271" spans="1:26">
      <c r="A271" s="33" t="str">
        <f>A264</f>
        <v>bln677971</v>
      </c>
      <c r="B271" s="34">
        <f>COUNTA($B$1:B270)</f>
        <v>260</v>
      </c>
      <c r="C271" s="35" t="s">
        <v>349</v>
      </c>
      <c r="D271" s="35"/>
      <c r="E271" s="35"/>
      <c r="F271" s="34"/>
      <c r="G271" s="35" t="s">
        <v>133</v>
      </c>
      <c r="H271" s="35"/>
      <c r="I271" s="35" t="s">
        <v>55</v>
      </c>
      <c r="J271" s="35" t="s">
        <v>350</v>
      </c>
      <c r="K271" s="34"/>
      <c r="L271" s="35" t="s">
        <v>98</v>
      </c>
      <c r="M271" s="36"/>
      <c r="N271" s="35" t="s">
        <v>99</v>
      </c>
      <c r="O271" s="35"/>
      <c r="P271" s="35"/>
      <c r="Q271" s="35"/>
      <c r="R271" s="52" t="s">
        <v>351</v>
      </c>
      <c r="S271" s="35"/>
      <c r="T271" s="35" t="s">
        <v>2</v>
      </c>
      <c r="U271" s="35"/>
      <c r="V271" s="35"/>
      <c r="W271" s="35"/>
      <c r="X271" s="35"/>
      <c r="Y271" s="35"/>
      <c r="Z271" s="35"/>
    </row>
    <row r="272" spans="1:26">
      <c r="A272" s="33" t="str">
        <f>A271</f>
        <v>bln677971</v>
      </c>
      <c r="B272" s="34">
        <f>COUNTA($B$1:B271)</f>
        <v>261</v>
      </c>
      <c r="C272" s="35" t="s">
        <v>352</v>
      </c>
      <c r="D272" s="35"/>
      <c r="E272" s="35"/>
      <c r="F272" s="34"/>
      <c r="G272" s="35" t="s">
        <v>133</v>
      </c>
      <c r="H272" s="35"/>
      <c r="I272" s="35" t="s">
        <v>55</v>
      </c>
      <c r="J272" s="35" t="s">
        <v>353</v>
      </c>
      <c r="K272" s="34"/>
      <c r="L272" s="35" t="s">
        <v>98</v>
      </c>
      <c r="M272" s="36"/>
      <c r="N272" s="35" t="s">
        <v>99</v>
      </c>
      <c r="O272" s="35"/>
      <c r="P272" s="35"/>
      <c r="Q272" s="35"/>
      <c r="R272" s="36" t="str">
        <f>TEXT(M119,"0")</f>
        <v>Destination1</v>
      </c>
      <c r="S272" s="35"/>
      <c r="T272" s="35" t="s">
        <v>2</v>
      </c>
      <c r="U272" s="35"/>
      <c r="V272" s="35"/>
      <c r="W272" s="35"/>
      <c r="X272" s="35"/>
      <c r="Y272" s="35"/>
      <c r="Z272" s="35"/>
    </row>
    <row r="273" spans="1:26">
      <c r="A273" s="33" t="str">
        <f t="shared" ref="A273:A281" si="4">A272</f>
        <v>bln677971</v>
      </c>
      <c r="B273" s="34">
        <f>COUNTA($B$1:B272)</f>
        <v>262</v>
      </c>
      <c r="C273" s="35" t="s">
        <v>354</v>
      </c>
      <c r="D273" s="35"/>
      <c r="E273" s="35"/>
      <c r="F273" s="34"/>
      <c r="G273" s="35" t="s">
        <v>133</v>
      </c>
      <c r="H273" s="35"/>
      <c r="I273" s="35" t="s">
        <v>55</v>
      </c>
      <c r="J273" s="35" t="s">
        <v>355</v>
      </c>
      <c r="K273" s="34"/>
      <c r="L273" s="35" t="s">
        <v>98</v>
      </c>
      <c r="M273" s="36"/>
      <c r="N273" s="35" t="s">
        <v>99</v>
      </c>
      <c r="O273" s="35"/>
      <c r="P273" s="35"/>
      <c r="Q273" s="35"/>
      <c r="R273" s="36" t="str">
        <f>TEXT(M122,"mm/dd/yyyy")</f>
        <v>DepDateValid</v>
      </c>
      <c r="S273" s="35"/>
      <c r="T273" s="35" t="s">
        <v>2</v>
      </c>
      <c r="U273" s="35"/>
      <c r="V273" s="35"/>
      <c r="W273" s="35"/>
      <c r="X273" s="35"/>
      <c r="Y273" s="35"/>
      <c r="Z273" s="35"/>
    </row>
    <row r="274" spans="1:26">
      <c r="A274" s="33" t="str">
        <f t="shared" si="4"/>
        <v>bln677971</v>
      </c>
      <c r="B274" s="34">
        <f>COUNTA($B$1:B273)</f>
        <v>263</v>
      </c>
      <c r="C274" s="35" t="s">
        <v>356</v>
      </c>
      <c r="D274" s="35"/>
      <c r="E274" s="35"/>
      <c r="F274" s="34"/>
      <c r="G274" s="35" t="s">
        <v>133</v>
      </c>
      <c r="H274" s="35"/>
      <c r="I274" s="35" t="s">
        <v>55</v>
      </c>
      <c r="J274" s="35" t="s">
        <v>357</v>
      </c>
      <c r="K274" s="34"/>
      <c r="L274" s="35" t="s">
        <v>98</v>
      </c>
      <c r="M274" s="36"/>
      <c r="N274" s="35" t="s">
        <v>99</v>
      </c>
      <c r="O274" s="35"/>
      <c r="P274" s="35"/>
      <c r="Q274" s="35"/>
      <c r="R274" s="36" t="str">
        <f>TEXT(M123,"mm/dd/yyyy")</f>
        <v>RetDateValid</v>
      </c>
      <c r="S274" s="35"/>
      <c r="T274" s="35" t="s">
        <v>2</v>
      </c>
      <c r="U274" s="35"/>
      <c r="V274" s="35"/>
      <c r="W274" s="35"/>
      <c r="X274" s="35"/>
      <c r="Y274" s="35"/>
      <c r="Z274" s="35"/>
    </row>
    <row r="275" spans="1:26">
      <c r="A275" s="33" t="str">
        <f t="shared" si="4"/>
        <v>bln677971</v>
      </c>
      <c r="B275" s="34">
        <f>COUNTA($B$1:B274)</f>
        <v>264</v>
      </c>
      <c r="C275" s="35" t="s">
        <v>358</v>
      </c>
      <c r="D275" s="35"/>
      <c r="E275" s="35"/>
      <c r="F275" s="34"/>
      <c r="G275" s="35" t="s">
        <v>133</v>
      </c>
      <c r="H275" s="35"/>
      <c r="I275" s="35" t="s">
        <v>55</v>
      </c>
      <c r="J275" s="35" t="s">
        <v>359</v>
      </c>
      <c r="K275" s="34"/>
      <c r="L275" s="35" t="s">
        <v>98</v>
      </c>
      <c r="M275" s="36"/>
      <c r="N275" s="35" t="s">
        <v>99</v>
      </c>
      <c r="O275" s="35"/>
      <c r="P275" s="35"/>
      <c r="Q275" s="35"/>
      <c r="R275" s="36" t="s">
        <v>302</v>
      </c>
      <c r="S275" s="52"/>
      <c r="T275" s="35" t="s">
        <v>2</v>
      </c>
      <c r="U275" s="35"/>
      <c r="V275" s="35"/>
      <c r="W275" s="35"/>
      <c r="X275" s="35"/>
      <c r="Y275" s="35"/>
      <c r="Z275" s="35"/>
    </row>
    <row r="276" spans="1:26">
      <c r="A276" s="33" t="str">
        <f t="shared" si="4"/>
        <v>bln677971</v>
      </c>
      <c r="B276" s="34">
        <f>COUNTA($B$1:B275)</f>
        <v>265</v>
      </c>
      <c r="C276" s="35" t="s">
        <v>360</v>
      </c>
      <c r="D276" s="35"/>
      <c r="E276" s="35"/>
      <c r="F276" s="34"/>
      <c r="G276" s="35" t="s">
        <v>133</v>
      </c>
      <c r="H276" s="35"/>
      <c r="I276" s="35" t="s">
        <v>55</v>
      </c>
      <c r="J276" s="35" t="s">
        <v>361</v>
      </c>
      <c r="K276" s="34"/>
      <c r="L276" s="35" t="s">
        <v>98</v>
      </c>
      <c r="M276" s="36"/>
      <c r="N276" s="35" t="s">
        <v>99</v>
      </c>
      <c r="O276" s="35"/>
      <c r="P276" s="35"/>
      <c r="Q276" s="35"/>
      <c r="R276" s="36"/>
      <c r="S276" s="35"/>
      <c r="T276" s="35"/>
      <c r="U276" s="35"/>
      <c r="V276" s="35"/>
      <c r="W276" s="35"/>
      <c r="X276" s="35"/>
      <c r="Y276" s="35"/>
      <c r="Z276" s="35"/>
    </row>
    <row r="277" spans="1:26">
      <c r="A277" s="33" t="str">
        <f t="shared" si="4"/>
        <v>bln677971</v>
      </c>
      <c r="B277" s="34">
        <f>COUNTA($B$1:B276)</f>
        <v>266</v>
      </c>
      <c r="C277" s="35" t="s">
        <v>362</v>
      </c>
      <c r="D277" s="35"/>
      <c r="E277" s="35"/>
      <c r="F277" s="34"/>
      <c r="G277" s="35" t="s">
        <v>133</v>
      </c>
      <c r="H277" s="35"/>
      <c r="I277" s="35" t="s">
        <v>55</v>
      </c>
      <c r="J277" s="35" t="s">
        <v>363</v>
      </c>
      <c r="K277" s="34"/>
      <c r="L277" s="35" t="s">
        <v>98</v>
      </c>
      <c r="M277" s="36"/>
      <c r="N277" s="35" t="s">
        <v>99</v>
      </c>
      <c r="O277" s="35"/>
      <c r="P277" s="35"/>
      <c r="Q277" s="35"/>
      <c r="R277" s="36"/>
      <c r="S277" s="35"/>
      <c r="T277" s="35"/>
      <c r="U277" s="35"/>
      <c r="V277" s="35"/>
      <c r="W277" s="35"/>
      <c r="X277" s="35"/>
      <c r="Y277" s="35"/>
      <c r="Z277" s="35"/>
    </row>
    <row r="278" spans="1:26">
      <c r="A278" s="33" t="str">
        <f t="shared" si="4"/>
        <v>bln677971</v>
      </c>
      <c r="B278" s="34">
        <f>COUNTA($B$1:B277)</f>
        <v>267</v>
      </c>
      <c r="C278" s="35" t="s">
        <v>364</v>
      </c>
      <c r="D278" s="35"/>
      <c r="E278" s="35"/>
      <c r="F278" s="34"/>
      <c r="G278" s="35" t="s">
        <v>133</v>
      </c>
      <c r="H278" s="35"/>
      <c r="I278" s="35" t="s">
        <v>55</v>
      </c>
      <c r="J278" s="35" t="s">
        <v>365</v>
      </c>
      <c r="K278" s="34"/>
      <c r="L278" s="35" t="s">
        <v>98</v>
      </c>
      <c r="M278" s="36"/>
      <c r="N278" s="35" t="s">
        <v>99</v>
      </c>
      <c r="O278" s="35"/>
      <c r="P278" s="35"/>
      <c r="Q278" s="35"/>
      <c r="R278" s="55" t="str">
        <f>TEXT(M77,"mm/dd/yyyy")</f>
        <v>BirthDate</v>
      </c>
      <c r="S278" s="35"/>
      <c r="T278" s="35" t="s">
        <v>2</v>
      </c>
      <c r="U278" s="35"/>
      <c r="V278" s="35"/>
      <c r="W278" s="35"/>
      <c r="X278" s="35"/>
      <c r="Y278" s="35"/>
      <c r="Z278" s="35"/>
    </row>
    <row r="279" spans="1:26">
      <c r="A279" s="33" t="str">
        <f t="shared" si="4"/>
        <v>bln677971</v>
      </c>
      <c r="B279" s="34">
        <f>COUNTA($B$1:B278)</f>
        <v>268</v>
      </c>
      <c r="C279" s="35" t="s">
        <v>366</v>
      </c>
      <c r="D279" s="35"/>
      <c r="E279" s="35"/>
      <c r="F279" s="34"/>
      <c r="G279" s="35" t="s">
        <v>133</v>
      </c>
      <c r="H279" s="35"/>
      <c r="I279" s="35" t="s">
        <v>55</v>
      </c>
      <c r="J279" s="35" t="s">
        <v>367</v>
      </c>
      <c r="K279" s="34"/>
      <c r="L279" s="35" t="s">
        <v>98</v>
      </c>
      <c r="M279" s="36"/>
      <c r="N279" s="35" t="s">
        <v>99</v>
      </c>
      <c r="O279" s="35"/>
      <c r="P279" s="35"/>
      <c r="Q279" s="35"/>
      <c r="R279" s="55" t="str">
        <f>TEXT(M204,"0")</f>
        <v>Phone1</v>
      </c>
      <c r="S279" s="35"/>
      <c r="T279" s="35" t="s">
        <v>2</v>
      </c>
      <c r="U279" s="35"/>
      <c r="V279" s="35"/>
      <c r="W279" s="35"/>
      <c r="X279" s="35"/>
      <c r="Y279" s="35"/>
      <c r="Z279" s="35"/>
    </row>
    <row r="280" spans="1:26">
      <c r="A280" s="33" t="str">
        <f t="shared" si="4"/>
        <v>bln677971</v>
      </c>
      <c r="B280" s="34">
        <f>COUNTA($B$1:B279)</f>
        <v>269</v>
      </c>
      <c r="C280" s="35" t="s">
        <v>368</v>
      </c>
      <c r="D280" s="35"/>
      <c r="E280" s="35"/>
      <c r="F280" s="34"/>
      <c r="G280" s="35" t="s">
        <v>133</v>
      </c>
      <c r="H280" s="35"/>
      <c r="I280" s="35" t="s">
        <v>55</v>
      </c>
      <c r="J280" s="35" t="s">
        <v>369</v>
      </c>
      <c r="K280" s="34">
        <v>2</v>
      </c>
      <c r="L280" s="35" t="s">
        <v>98</v>
      </c>
      <c r="M280" s="36"/>
      <c r="N280" s="35" t="s">
        <v>99</v>
      </c>
      <c r="O280" s="35"/>
      <c r="P280" s="35"/>
      <c r="Q280" s="35"/>
      <c r="R280" s="36" t="s">
        <v>302</v>
      </c>
      <c r="S280" s="35"/>
      <c r="T280" s="35" t="s">
        <v>2</v>
      </c>
      <c r="U280" s="35"/>
      <c r="V280" s="35"/>
      <c r="W280" s="35"/>
      <c r="X280" s="35"/>
      <c r="Y280" s="35"/>
      <c r="Z280" s="35"/>
    </row>
    <row r="281" spans="1:26">
      <c r="A281" s="33" t="str">
        <f t="shared" si="4"/>
        <v>bln677971</v>
      </c>
      <c r="B281" s="34">
        <f>COUNTA($B$1:B280)</f>
        <v>270</v>
      </c>
      <c r="C281" s="35" t="s">
        <v>370</v>
      </c>
      <c r="D281" s="35"/>
      <c r="E281" s="35"/>
      <c r="F281" s="34"/>
      <c r="G281" s="35" t="s">
        <v>133</v>
      </c>
      <c r="H281" s="35"/>
      <c r="I281" s="35" t="s">
        <v>55</v>
      </c>
      <c r="J281" s="35" t="s">
        <v>371</v>
      </c>
      <c r="K281" s="34"/>
      <c r="L281" s="35" t="s">
        <v>98</v>
      </c>
      <c r="M281" s="36"/>
      <c r="N281" s="35" t="s">
        <v>99</v>
      </c>
      <c r="O281" s="35"/>
      <c r="P281" s="35"/>
      <c r="Q281" s="35"/>
      <c r="R281" s="36"/>
      <c r="S281" s="35"/>
      <c r="T281" s="35"/>
      <c r="U281" s="35"/>
      <c r="V281" s="35"/>
      <c r="W281" s="35"/>
      <c r="X281" s="35"/>
      <c r="Y281" s="35"/>
      <c r="Z281" s="35"/>
    </row>
    <row r="282" spans="1:26">
      <c r="A282" s="33" t="str">
        <f>IF(Global!B2="QA","Y","N")</f>
        <v>N</v>
      </c>
      <c r="B282" s="34">
        <f>COUNTA($B$1:B281)</f>
        <v>271</v>
      </c>
      <c r="C282" s="35" t="s">
        <v>372</v>
      </c>
      <c r="D282" s="35"/>
      <c r="E282" s="35"/>
      <c r="F282" s="34"/>
      <c r="G282" s="35" t="s">
        <v>133</v>
      </c>
      <c r="H282" s="35"/>
      <c r="I282" s="35" t="s">
        <v>55</v>
      </c>
      <c r="J282" s="35" t="s">
        <v>488</v>
      </c>
      <c r="K282" s="34"/>
      <c r="L282" s="35" t="s">
        <v>98</v>
      </c>
      <c r="M282" s="36"/>
      <c r="N282" s="35" t="s">
        <v>99</v>
      </c>
      <c r="O282" s="35"/>
      <c r="P282" s="35"/>
      <c r="Q282" s="35"/>
      <c r="R282" s="52" t="s">
        <v>197</v>
      </c>
      <c r="S282" s="35"/>
      <c r="T282" s="35" t="s">
        <v>2</v>
      </c>
      <c r="U282" s="35"/>
      <c r="V282" s="35"/>
      <c r="W282" s="35"/>
      <c r="X282" s="52"/>
      <c r="Y282" s="52"/>
      <c r="Z282" s="52"/>
    </row>
    <row r="283" spans="1:26">
      <c r="A283" s="33" t="str">
        <f>IF(Global!B2="UAT","Y","N")</f>
        <v>Y</v>
      </c>
      <c r="B283" s="34">
        <f>COUNTA($B$1:B282)</f>
        <v>272</v>
      </c>
      <c r="C283" s="35" t="s">
        <v>372</v>
      </c>
      <c r="D283" s="35"/>
      <c r="E283" s="35"/>
      <c r="F283" s="34"/>
      <c r="G283" s="35" t="s">
        <v>133</v>
      </c>
      <c r="H283" s="35"/>
      <c r="I283" s="35" t="s">
        <v>55</v>
      </c>
      <c r="J283" s="35" t="s">
        <v>488</v>
      </c>
      <c r="K283" s="34"/>
      <c r="L283" s="35" t="s">
        <v>98</v>
      </c>
      <c r="M283" s="36"/>
      <c r="N283" s="35" t="s">
        <v>99</v>
      </c>
      <c r="O283" s="35"/>
      <c r="P283" s="35"/>
      <c r="Q283" s="35"/>
      <c r="R283" s="52" t="s">
        <v>197</v>
      </c>
      <c r="S283" s="35"/>
      <c r="T283" s="35" t="s">
        <v>2</v>
      </c>
      <c r="U283" s="35"/>
      <c r="V283" s="35"/>
      <c r="W283" s="35"/>
      <c r="X283" s="52"/>
      <c r="Y283" s="52"/>
      <c r="Z283" s="52"/>
    </row>
    <row r="284" spans="1:26">
      <c r="A284" s="33" t="str">
        <f>A281</f>
        <v>bln677971</v>
      </c>
      <c r="B284" s="34">
        <f>COUNTA($B$1:B283)</f>
        <v>273</v>
      </c>
      <c r="C284" s="35" t="s">
        <v>374</v>
      </c>
      <c r="D284" s="35"/>
      <c r="E284" s="35"/>
      <c r="F284" s="34"/>
      <c r="G284" s="35" t="s">
        <v>133</v>
      </c>
      <c r="H284" s="35"/>
      <c r="I284" s="35" t="s">
        <v>55</v>
      </c>
      <c r="J284" s="35" t="s">
        <v>375</v>
      </c>
      <c r="K284" s="34"/>
      <c r="L284" s="35" t="s">
        <v>98</v>
      </c>
      <c r="M284" s="36"/>
      <c r="N284" s="35" t="s">
        <v>99</v>
      </c>
      <c r="O284" s="35"/>
      <c r="P284" s="35"/>
      <c r="Q284" s="35"/>
      <c r="R284" s="52"/>
      <c r="S284" s="35"/>
      <c r="T284" s="35"/>
      <c r="U284" s="35"/>
      <c r="V284" s="35"/>
      <c r="W284" s="35"/>
      <c r="X284" s="52"/>
      <c r="Y284" s="52"/>
      <c r="Z284" s="52"/>
    </row>
    <row r="285" spans="1:26">
      <c r="A285" s="33" t="str">
        <f>IF(Global!B2="QA","Y","N")</f>
        <v>N</v>
      </c>
      <c r="B285" s="34">
        <f>COUNTA($B$1:B284)</f>
        <v>274</v>
      </c>
      <c r="C285" s="35" t="s">
        <v>376</v>
      </c>
      <c r="D285" s="35"/>
      <c r="E285" s="35"/>
      <c r="F285" s="34"/>
      <c r="G285" s="35" t="s">
        <v>133</v>
      </c>
      <c r="H285" s="35"/>
      <c r="I285" s="35" t="s">
        <v>55</v>
      </c>
      <c r="J285" s="35" t="s">
        <v>373</v>
      </c>
      <c r="K285" s="34"/>
      <c r="L285" s="35" t="s">
        <v>98</v>
      </c>
      <c r="M285" s="36"/>
      <c r="N285" s="35" t="s">
        <v>99</v>
      </c>
      <c r="O285" s="35"/>
      <c r="P285" s="35"/>
      <c r="Q285" s="35"/>
      <c r="R285" s="52" t="s">
        <v>199</v>
      </c>
      <c r="S285" s="35"/>
      <c r="T285" s="35" t="s">
        <v>2</v>
      </c>
      <c r="U285" s="35"/>
      <c r="V285" s="35"/>
      <c r="W285" s="35"/>
      <c r="X285" s="52"/>
      <c r="Y285" s="52"/>
      <c r="Z285" s="52"/>
    </row>
    <row r="286" spans="1:26">
      <c r="A286" s="33" t="str">
        <f>IF(Global!B2="UAT","Y","N")</f>
        <v>Y</v>
      </c>
      <c r="B286" s="34">
        <f>COUNTA($B$1:B285)</f>
        <v>275</v>
      </c>
      <c r="C286" s="35" t="s">
        <v>376</v>
      </c>
      <c r="D286" s="35"/>
      <c r="E286" s="35"/>
      <c r="F286" s="34"/>
      <c r="G286" s="35" t="s">
        <v>133</v>
      </c>
      <c r="H286" s="35"/>
      <c r="I286" s="35" t="s">
        <v>55</v>
      </c>
      <c r="J286" s="35" t="s">
        <v>373</v>
      </c>
      <c r="K286" s="34"/>
      <c r="L286" s="35" t="s">
        <v>98</v>
      </c>
      <c r="M286" s="36"/>
      <c r="N286" s="35" t="s">
        <v>99</v>
      </c>
      <c r="O286" s="35"/>
      <c r="P286" s="35"/>
      <c r="Q286" s="35"/>
      <c r="R286" s="52" t="s">
        <v>199</v>
      </c>
      <c r="S286" s="35"/>
      <c r="T286" s="35" t="s">
        <v>2</v>
      </c>
      <c r="U286" s="35"/>
      <c r="V286" s="35"/>
      <c r="W286" s="35"/>
      <c r="X286" s="52"/>
      <c r="Y286" s="52"/>
      <c r="Z286" s="52"/>
    </row>
    <row r="287" spans="1:26">
      <c r="A287" s="33" t="str">
        <f>A284</f>
        <v>bln677971</v>
      </c>
      <c r="B287" s="34">
        <f>COUNTA($B$1:B286)</f>
        <v>276</v>
      </c>
      <c r="C287" s="35" t="s">
        <v>378</v>
      </c>
      <c r="D287" s="35"/>
      <c r="E287" s="35"/>
      <c r="F287" s="34"/>
      <c r="G287" s="35" t="s">
        <v>133</v>
      </c>
      <c r="H287" s="35"/>
      <c r="I287" s="35" t="s">
        <v>55</v>
      </c>
      <c r="J287" s="35" t="s">
        <v>379</v>
      </c>
      <c r="K287" s="34"/>
      <c r="L287" s="35" t="s">
        <v>98</v>
      </c>
      <c r="M287" s="36"/>
      <c r="N287" s="35" t="s">
        <v>99</v>
      </c>
      <c r="O287" s="35"/>
      <c r="P287" s="35"/>
      <c r="Q287" s="35"/>
      <c r="R287" s="52"/>
      <c r="S287" s="35"/>
      <c r="T287" s="35"/>
      <c r="U287" s="35"/>
      <c r="V287" s="35"/>
      <c r="W287" s="35"/>
      <c r="X287" s="52"/>
      <c r="Y287" s="52"/>
      <c r="Z287" s="52"/>
    </row>
    <row r="288" spans="1:26">
      <c r="A288" s="33" t="str">
        <f>IF(Global!B2="QA","Y","N")</f>
        <v>N</v>
      </c>
      <c r="B288" s="34">
        <f>COUNTA($B$1:B287)</f>
        <v>277</v>
      </c>
      <c r="C288" s="35" t="s">
        <v>380</v>
      </c>
      <c r="D288" s="35"/>
      <c r="E288" s="35"/>
      <c r="F288" s="34"/>
      <c r="G288" s="35" t="s">
        <v>133</v>
      </c>
      <c r="H288" s="35"/>
      <c r="I288" s="35" t="s">
        <v>55</v>
      </c>
      <c r="J288" s="35" t="s">
        <v>377</v>
      </c>
      <c r="K288" s="34"/>
      <c r="L288" s="35" t="s">
        <v>98</v>
      </c>
      <c r="M288" s="36"/>
      <c r="N288" s="35" t="s">
        <v>99</v>
      </c>
      <c r="O288" s="35"/>
      <c r="P288" s="35"/>
      <c r="Q288" s="35"/>
      <c r="R288" s="52" t="s">
        <v>309</v>
      </c>
      <c r="S288" s="35"/>
      <c r="T288" s="35" t="s">
        <v>2</v>
      </c>
      <c r="U288" s="35"/>
      <c r="V288" s="35"/>
      <c r="W288" s="35"/>
      <c r="X288" s="52"/>
      <c r="Y288" s="52"/>
      <c r="Z288" s="52"/>
    </row>
    <row r="289" spans="1:26">
      <c r="A289" s="33" t="str">
        <f>IF(Global!B2="UAT","Y","N")</f>
        <v>Y</v>
      </c>
      <c r="B289" s="34">
        <f>COUNTA($B$1:B288)</f>
        <v>278</v>
      </c>
      <c r="C289" s="35" t="s">
        <v>380</v>
      </c>
      <c r="D289" s="35"/>
      <c r="E289" s="35"/>
      <c r="F289" s="34"/>
      <c r="G289" s="35" t="s">
        <v>133</v>
      </c>
      <c r="H289" s="35"/>
      <c r="I289" s="35" t="s">
        <v>55</v>
      </c>
      <c r="J289" s="35" t="s">
        <v>377</v>
      </c>
      <c r="K289" s="34"/>
      <c r="L289" s="35" t="s">
        <v>98</v>
      </c>
      <c r="M289" s="36"/>
      <c r="N289" s="35" t="s">
        <v>99</v>
      </c>
      <c r="O289" s="35"/>
      <c r="P289" s="35"/>
      <c r="Q289" s="35"/>
      <c r="R289" s="52" t="s">
        <v>309</v>
      </c>
      <c r="S289" s="35"/>
      <c r="T289" s="35" t="s">
        <v>2</v>
      </c>
      <c r="U289" s="35"/>
      <c r="V289" s="35"/>
      <c r="W289" s="35"/>
      <c r="X289" s="52"/>
      <c r="Y289" s="52"/>
      <c r="Z289" s="52"/>
    </row>
    <row r="290" spans="1:26">
      <c r="A290" s="33" t="str">
        <f>A284</f>
        <v>bln677971</v>
      </c>
      <c r="B290" s="34">
        <f>COUNTA($B$1:B289)</f>
        <v>279</v>
      </c>
      <c r="C290" s="35" t="s">
        <v>381</v>
      </c>
      <c r="D290" s="35"/>
      <c r="E290" s="35"/>
      <c r="F290" s="34"/>
      <c r="G290" s="35" t="s">
        <v>133</v>
      </c>
      <c r="H290" s="35"/>
      <c r="I290" s="35" t="s">
        <v>55</v>
      </c>
      <c r="J290" s="35" t="s">
        <v>382</v>
      </c>
      <c r="K290" s="34"/>
      <c r="L290" s="35" t="s">
        <v>98</v>
      </c>
      <c r="M290" s="36"/>
      <c r="N290" s="35" t="s">
        <v>99</v>
      </c>
      <c r="O290" s="35"/>
      <c r="P290" s="35"/>
      <c r="Q290" s="35"/>
      <c r="R290" s="52"/>
      <c r="S290" s="35"/>
      <c r="T290" s="35"/>
      <c r="U290" s="35"/>
      <c r="V290" s="35"/>
      <c r="W290" s="35"/>
      <c r="X290" s="52"/>
      <c r="Y290" s="52"/>
      <c r="Z290" s="52"/>
    </row>
    <row r="291" spans="1:26">
      <c r="A291" s="33" t="str">
        <f>A290</f>
        <v>bln677971</v>
      </c>
      <c r="B291" s="34">
        <f>COUNTA($B$1:B290)</f>
        <v>280</v>
      </c>
      <c r="C291" s="35" t="s">
        <v>383</v>
      </c>
      <c r="D291" s="35"/>
      <c r="E291" s="35"/>
      <c r="F291" s="34"/>
      <c r="G291" s="35" t="s">
        <v>133</v>
      </c>
      <c r="H291" s="35"/>
      <c r="I291" s="35" t="s">
        <v>55</v>
      </c>
      <c r="J291" s="35" t="s">
        <v>384</v>
      </c>
      <c r="K291" s="34"/>
      <c r="L291" s="35" t="s">
        <v>98</v>
      </c>
      <c r="M291" s="36"/>
      <c r="N291" s="35" t="s">
        <v>99</v>
      </c>
      <c r="O291" s="35"/>
      <c r="P291" s="35"/>
      <c r="Q291" s="35"/>
      <c r="R291" s="36">
        <f>S230</f>
        <v>0</v>
      </c>
      <c r="S291" s="35"/>
      <c r="T291" s="35" t="s">
        <v>2</v>
      </c>
      <c r="U291" s="35"/>
      <c r="V291" s="35"/>
      <c r="W291" s="35"/>
      <c r="X291" s="35"/>
      <c r="Y291" s="35"/>
      <c r="Z291" s="35"/>
    </row>
    <row r="292" spans="1:26">
      <c r="A292" s="33" t="str">
        <f>A291</f>
        <v>bln677971</v>
      </c>
      <c r="B292" s="34">
        <f>COUNTA($B$1:B291)</f>
        <v>281</v>
      </c>
      <c r="C292" s="56" t="s">
        <v>67</v>
      </c>
      <c r="D292" s="57"/>
      <c r="E292" s="58" t="s">
        <v>154</v>
      </c>
      <c r="F292" s="59"/>
      <c r="G292" s="35" t="s">
        <v>133</v>
      </c>
      <c r="H292" s="56"/>
      <c r="I292" s="56"/>
      <c r="J292" s="56"/>
      <c r="K292" s="59"/>
      <c r="L292" s="56" t="s">
        <v>67</v>
      </c>
      <c r="M292" s="60">
        <v>4</v>
      </c>
      <c r="N292" s="35"/>
      <c r="O292" s="35"/>
      <c r="P292" s="35"/>
      <c r="Q292" s="35"/>
      <c r="R292" s="36"/>
      <c r="S292" s="52"/>
      <c r="T292" s="35"/>
      <c r="U292" s="35"/>
      <c r="V292" s="35"/>
      <c r="W292" s="35"/>
      <c r="X292" s="52"/>
      <c r="Y292" s="52"/>
      <c r="Z292" s="52"/>
    </row>
    <row r="293" spans="1:26">
      <c r="A293" s="53" t="s">
        <v>21</v>
      </c>
      <c r="B293" s="34">
        <f>COUNTA($B$1:B292)</f>
        <v>282</v>
      </c>
      <c r="C293" s="35" t="s">
        <v>385</v>
      </c>
      <c r="D293" s="51"/>
      <c r="E293" s="52"/>
      <c r="F293" s="34"/>
      <c r="G293" s="35" t="s">
        <v>133</v>
      </c>
      <c r="H293" s="35"/>
      <c r="I293" s="35" t="s">
        <v>55</v>
      </c>
      <c r="J293" s="35" t="s">
        <v>386</v>
      </c>
      <c r="K293" s="34"/>
      <c r="L293" s="35" t="s">
        <v>34</v>
      </c>
      <c r="M293" s="35"/>
      <c r="N293" s="35"/>
      <c r="O293" s="35"/>
      <c r="P293" s="35"/>
      <c r="Q293" s="35"/>
      <c r="R293" s="35"/>
      <c r="S293" s="35"/>
      <c r="T293" s="35"/>
      <c r="U293" s="35"/>
      <c r="V293" s="35"/>
      <c r="W293" s="35"/>
      <c r="X293" s="52"/>
      <c r="Y293" s="52"/>
      <c r="Z293" s="52"/>
    </row>
    <row r="294" spans="1:26">
      <c r="A294" s="53" t="s">
        <v>21</v>
      </c>
      <c r="B294" s="34">
        <f>COUNTA($B$1:B293)</f>
        <v>283</v>
      </c>
      <c r="C294" s="35" t="s">
        <v>387</v>
      </c>
      <c r="D294" s="35"/>
      <c r="E294" s="35"/>
      <c r="F294" s="34"/>
      <c r="G294" s="35" t="s">
        <v>133</v>
      </c>
      <c r="H294" s="35"/>
      <c r="I294" s="35"/>
      <c r="J294" s="35"/>
      <c r="K294" s="34">
        <v>0</v>
      </c>
      <c r="L294" s="35" t="s">
        <v>388</v>
      </c>
      <c r="M294" s="35" t="s">
        <v>389</v>
      </c>
      <c r="N294" s="35"/>
      <c r="O294" s="35"/>
      <c r="P294" s="35"/>
      <c r="Q294" s="35"/>
      <c r="R294" s="52"/>
      <c r="S294" s="35"/>
      <c r="T294" s="35"/>
      <c r="U294" s="35"/>
      <c r="V294" s="35"/>
      <c r="W294" s="35"/>
      <c r="X294" s="35"/>
      <c r="Y294" s="35"/>
      <c r="Z294" s="35"/>
    </row>
    <row r="295" spans="1:26">
      <c r="A295" s="53" t="s">
        <v>21</v>
      </c>
      <c r="B295" s="34">
        <f>COUNTA($B$1:B294)</f>
        <v>284</v>
      </c>
      <c r="C295" s="35" t="s">
        <v>67</v>
      </c>
      <c r="D295" s="35"/>
      <c r="E295" s="35"/>
      <c r="F295" s="34"/>
      <c r="G295" s="35" t="s">
        <v>133</v>
      </c>
      <c r="H295" s="35"/>
      <c r="I295" s="35"/>
      <c r="J295" s="35"/>
      <c r="K295" s="34"/>
      <c r="L295" s="35" t="s">
        <v>67</v>
      </c>
      <c r="M295" s="36">
        <v>2</v>
      </c>
      <c r="N295" s="35"/>
      <c r="O295" s="35"/>
      <c r="P295" s="35"/>
      <c r="Q295" s="35"/>
      <c r="R295" s="36"/>
      <c r="S295" s="35"/>
      <c r="T295" s="35"/>
      <c r="U295" s="35"/>
      <c r="V295" s="35"/>
      <c r="W295" s="35"/>
      <c r="X295" s="35"/>
      <c r="Y295" s="35"/>
      <c r="Z295" s="35"/>
    </row>
    <row r="296" spans="1:26">
      <c r="A296" s="53" t="s">
        <v>21</v>
      </c>
      <c r="B296" s="34">
        <f>COUNTA($B$1:B295)</f>
        <v>285</v>
      </c>
      <c r="C296" s="35" t="s">
        <v>390</v>
      </c>
      <c r="D296" s="51"/>
      <c r="E296" s="52"/>
      <c r="F296" s="34"/>
      <c r="G296" s="35" t="s">
        <v>133</v>
      </c>
      <c r="H296" s="35"/>
      <c r="I296" s="35"/>
      <c r="J296" s="35"/>
      <c r="K296" s="34"/>
      <c r="L296" s="35" t="s">
        <v>391</v>
      </c>
      <c r="M296" s="35"/>
      <c r="N296" s="35" t="s">
        <v>99</v>
      </c>
      <c r="O296" s="35"/>
      <c r="P296" s="35"/>
      <c r="Q296" s="35"/>
      <c r="R296" s="35"/>
      <c r="S296" s="35" t="s">
        <v>392</v>
      </c>
      <c r="T296" s="35"/>
      <c r="U296" s="35"/>
      <c r="V296" s="35"/>
      <c r="W296" s="35"/>
      <c r="X296" s="52"/>
      <c r="Y296" s="52"/>
      <c r="Z296" s="52"/>
    </row>
    <row r="297" spans="1:26">
      <c r="A297" s="53" t="s">
        <v>21</v>
      </c>
      <c r="B297" s="34">
        <f>COUNTA($B$1:B296)</f>
        <v>286</v>
      </c>
      <c r="C297" s="35" t="s">
        <v>327</v>
      </c>
      <c r="D297" s="51"/>
      <c r="E297" s="52"/>
      <c r="F297" s="34"/>
      <c r="G297" s="35" t="s">
        <v>133</v>
      </c>
      <c r="H297" s="35"/>
      <c r="I297" s="35"/>
      <c r="J297" s="35"/>
      <c r="K297" s="34"/>
      <c r="L297" s="35" t="s">
        <v>393</v>
      </c>
      <c r="M297" s="35" t="str">
        <f ca="1">Global!B3 &amp; "DescriptionOfCoverageLink.png"</f>
        <v>L:\Regression\Test Results\Temp_Results\AEM Regression\Travelex\UAT\Travel EX Migration_AEM Regression_UAT01Sep26101238\DescriptionOfCoverageLink.png</v>
      </c>
      <c r="N297" s="35"/>
      <c r="O297" s="35"/>
      <c r="P297" s="35"/>
      <c r="Q297" s="35"/>
      <c r="R297" s="35"/>
      <c r="S297" s="35"/>
      <c r="T297" s="35"/>
      <c r="U297" s="35"/>
      <c r="V297" s="35"/>
      <c r="W297" s="35"/>
      <c r="X297" s="52"/>
      <c r="Y297" s="52"/>
      <c r="Z297" s="52"/>
    </row>
    <row r="298" spans="1:26">
      <c r="A298" s="53" t="s">
        <v>21</v>
      </c>
      <c r="B298" s="34">
        <f>COUNTA($B$1:B297)</f>
        <v>287</v>
      </c>
      <c r="C298" s="35" t="s">
        <v>67</v>
      </c>
      <c r="D298" s="35"/>
      <c r="E298" s="35"/>
      <c r="F298" s="34"/>
      <c r="G298" s="35" t="s">
        <v>133</v>
      </c>
      <c r="H298" s="35"/>
      <c r="I298" s="35"/>
      <c r="J298" s="35"/>
      <c r="K298" s="34"/>
      <c r="L298" s="35" t="s">
        <v>67</v>
      </c>
      <c r="M298" s="36">
        <v>2</v>
      </c>
      <c r="N298" s="35"/>
      <c r="O298" s="35"/>
      <c r="P298" s="35"/>
      <c r="Q298" s="35"/>
      <c r="R298" s="36"/>
      <c r="S298" s="35"/>
      <c r="T298" s="35"/>
      <c r="U298" s="35"/>
      <c r="V298" s="35"/>
      <c r="W298" s="35"/>
      <c r="X298" s="35"/>
      <c r="Y298" s="35"/>
      <c r="Z298" s="35"/>
    </row>
    <row r="299" spans="1:26">
      <c r="A299" s="53" t="s">
        <v>21</v>
      </c>
      <c r="B299" s="34">
        <f>COUNTA($B$1:B298)</f>
        <v>288</v>
      </c>
      <c r="C299" s="35" t="s">
        <v>394</v>
      </c>
      <c r="D299" s="35"/>
      <c r="E299" s="35"/>
      <c r="F299" s="34"/>
      <c r="G299" s="35" t="s">
        <v>133</v>
      </c>
      <c r="H299" s="35"/>
      <c r="I299" s="35"/>
      <c r="J299" s="35"/>
      <c r="K299" s="34">
        <v>0</v>
      </c>
      <c r="L299" s="35" t="s">
        <v>395</v>
      </c>
      <c r="M299" s="35"/>
      <c r="N299" s="35"/>
      <c r="O299" s="35"/>
      <c r="P299" s="35"/>
      <c r="Q299" s="35"/>
      <c r="R299" s="52"/>
      <c r="S299" s="35"/>
      <c r="T299" s="35"/>
      <c r="U299" s="35"/>
      <c r="V299" s="35"/>
      <c r="W299" s="35"/>
      <c r="X299" s="35"/>
      <c r="Y299" s="35"/>
      <c r="Z299" s="35"/>
    </row>
    <row r="300" spans="1:26">
      <c r="A300" s="53" t="s">
        <v>21</v>
      </c>
      <c r="B300" s="34">
        <f>COUNTA($B$1:B299)</f>
        <v>289</v>
      </c>
      <c r="C300" s="35" t="s">
        <v>327</v>
      </c>
      <c r="D300" s="51"/>
      <c r="E300" s="52"/>
      <c r="F300" s="34"/>
      <c r="G300" s="35" t="s">
        <v>133</v>
      </c>
      <c r="H300" s="35"/>
      <c r="I300" s="35"/>
      <c r="J300" s="35"/>
      <c r="K300" s="34"/>
      <c r="L300" s="35" t="s">
        <v>396</v>
      </c>
      <c r="M300" s="35" t="s">
        <v>397</v>
      </c>
      <c r="N300" s="35"/>
      <c r="O300" s="35"/>
      <c r="P300" s="35"/>
      <c r="Q300" s="35"/>
      <c r="R300" s="35"/>
      <c r="S300" s="35"/>
      <c r="T300" s="35"/>
      <c r="U300" s="35"/>
      <c r="V300" s="35"/>
      <c r="W300" s="35"/>
      <c r="X300" s="52"/>
      <c r="Y300" s="52"/>
      <c r="Z300" s="52"/>
    </row>
    <row r="301" spans="1:26">
      <c r="A301" s="53" t="str">
        <f>A300</f>
        <v>N</v>
      </c>
      <c r="B301" s="34">
        <f>COUNTA($B$1:B300)</f>
        <v>290</v>
      </c>
      <c r="C301" s="35" t="s">
        <v>327</v>
      </c>
      <c r="D301" s="51"/>
      <c r="E301" s="52"/>
      <c r="F301" s="34"/>
      <c r="G301" s="35" t="s">
        <v>133</v>
      </c>
      <c r="H301" s="35"/>
      <c r="I301" s="35"/>
      <c r="J301" s="35"/>
      <c r="K301" s="34"/>
      <c r="L301" s="35" t="s">
        <v>398</v>
      </c>
      <c r="M301" s="35" t="s">
        <v>399</v>
      </c>
      <c r="N301" s="35"/>
      <c r="O301" s="35"/>
      <c r="P301" s="35"/>
      <c r="Q301" s="35"/>
      <c r="R301" s="35"/>
      <c r="S301" s="35"/>
      <c r="T301" s="35"/>
      <c r="U301" s="35"/>
      <c r="V301" s="35"/>
      <c r="W301" s="35"/>
      <c r="X301" s="52"/>
      <c r="Y301" s="52"/>
      <c r="Z301" s="52"/>
    </row>
    <row r="302" spans="1:26">
      <c r="A302" s="53" t="str">
        <f>A300</f>
        <v>N</v>
      </c>
      <c r="B302" s="34">
        <f>COUNTA($B$1:B301)</f>
        <v>291</v>
      </c>
      <c r="C302" s="35" t="s">
        <v>327</v>
      </c>
      <c r="D302" s="51"/>
      <c r="E302" s="52"/>
      <c r="F302" s="34"/>
      <c r="G302" s="35" t="s">
        <v>133</v>
      </c>
      <c r="H302" s="35"/>
      <c r="I302" s="35"/>
      <c r="J302" s="35"/>
      <c r="K302" s="34"/>
      <c r="L302" s="35" t="s">
        <v>393</v>
      </c>
      <c r="M302" s="35" t="str">
        <f ca="1">Global!B3 &amp; "ConfirmationPage.png"</f>
        <v>L:\Regression\Test Results\Temp_Results\AEM Regression\Travelex\UAT\Travel EX Migration_AEM Regression_UAT01Sep26101238\ConfirmationPage.png</v>
      </c>
      <c r="N302" s="35"/>
      <c r="O302" s="35"/>
      <c r="P302" s="35"/>
      <c r="Q302" s="35"/>
      <c r="R302" s="35"/>
      <c r="S302" s="35"/>
      <c r="T302" s="35"/>
      <c r="U302" s="35"/>
      <c r="V302" s="35"/>
      <c r="W302" s="35"/>
      <c r="X302" s="52"/>
      <c r="Y302" s="52"/>
      <c r="Z302" s="52"/>
    </row>
    <row r="303" spans="1:26">
      <c r="A303" s="53" t="str">
        <f>A300</f>
        <v>N</v>
      </c>
      <c r="B303" s="34">
        <f>COUNTA($B$1:B302)</f>
        <v>292</v>
      </c>
      <c r="C303" s="35" t="s">
        <v>317</v>
      </c>
      <c r="D303" s="51"/>
      <c r="E303" s="52"/>
      <c r="F303" s="34"/>
      <c r="G303" s="35" t="s">
        <v>133</v>
      </c>
      <c r="H303" s="35"/>
      <c r="I303" s="35" t="s">
        <v>55</v>
      </c>
      <c r="J303" s="35" t="s">
        <v>318</v>
      </c>
      <c r="K303" s="34"/>
      <c r="L303" s="35" t="s">
        <v>98</v>
      </c>
      <c r="M303" s="35"/>
      <c r="N303" s="35" t="s">
        <v>99</v>
      </c>
      <c r="O303" s="35"/>
      <c r="P303" s="35"/>
      <c r="Q303" s="35"/>
      <c r="R303" s="52" t="s">
        <v>319</v>
      </c>
      <c r="S303" s="35"/>
      <c r="T303" s="35" t="s">
        <v>2</v>
      </c>
      <c r="U303" s="35"/>
      <c r="V303" s="35"/>
      <c r="W303" s="35"/>
      <c r="X303" s="52"/>
      <c r="Y303" s="52"/>
      <c r="Z303" s="52"/>
    </row>
    <row r="304" spans="1:26">
      <c r="A304" s="53" t="str">
        <f>A300</f>
        <v>N</v>
      </c>
      <c r="B304" s="34">
        <f>COUNTA($B$1:B303)</f>
        <v>293</v>
      </c>
      <c r="C304" s="35" t="s">
        <v>320</v>
      </c>
      <c r="D304" s="51"/>
      <c r="E304" s="52"/>
      <c r="F304" s="34"/>
      <c r="G304" s="35" t="s">
        <v>133</v>
      </c>
      <c r="H304" s="35"/>
      <c r="I304" s="35" t="s">
        <v>55</v>
      </c>
      <c r="J304" s="35" t="s">
        <v>321</v>
      </c>
      <c r="K304" s="34"/>
      <c r="L304" s="35" t="s">
        <v>98</v>
      </c>
      <c r="M304" s="35"/>
      <c r="N304" s="35" t="s">
        <v>99</v>
      </c>
      <c r="O304" s="35"/>
      <c r="P304" s="35"/>
      <c r="Q304" s="35"/>
      <c r="R304" s="52" t="s">
        <v>322</v>
      </c>
      <c r="S304" s="35"/>
      <c r="T304" s="35" t="s">
        <v>2</v>
      </c>
      <c r="U304" s="35"/>
      <c r="V304" s="35"/>
      <c r="W304" s="35"/>
      <c r="X304" s="52"/>
      <c r="Y304" s="52"/>
      <c r="Z304" s="52"/>
    </row>
    <row r="305" spans="1:26">
      <c r="A305" s="53" t="s">
        <v>21</v>
      </c>
      <c r="B305" s="34">
        <f>COUNTA($B$1:B304)</f>
        <v>294</v>
      </c>
      <c r="C305" s="35" t="s">
        <v>323</v>
      </c>
      <c r="D305" s="51"/>
      <c r="E305" s="52"/>
      <c r="F305" s="34"/>
      <c r="G305" s="35" t="s">
        <v>133</v>
      </c>
      <c r="H305" s="35"/>
      <c r="I305" s="35" t="s">
        <v>55</v>
      </c>
      <c r="J305" s="35" t="s">
        <v>324</v>
      </c>
      <c r="K305" s="34"/>
      <c r="L305" s="35" t="s">
        <v>98</v>
      </c>
      <c r="M305" s="35"/>
      <c r="N305" s="35" t="s">
        <v>99</v>
      </c>
      <c r="O305" s="35"/>
      <c r="P305" s="35"/>
      <c r="Q305" s="35"/>
      <c r="R305" s="52" t="s">
        <v>101</v>
      </c>
      <c r="S305" s="35"/>
      <c r="T305" s="35" t="s">
        <v>2</v>
      </c>
      <c r="U305" s="35"/>
      <c r="V305" s="35"/>
      <c r="W305" s="35"/>
      <c r="X305" s="52"/>
      <c r="Y305" s="52"/>
      <c r="Z305" s="52"/>
    </row>
    <row r="306" spans="1:26">
      <c r="A306" s="53" t="s">
        <v>21</v>
      </c>
      <c r="B306" s="34">
        <f>COUNTA($B$1:B305)</f>
        <v>295</v>
      </c>
      <c r="C306" s="35" t="s">
        <v>325</v>
      </c>
      <c r="D306" s="51"/>
      <c r="E306" s="52"/>
      <c r="F306" s="34"/>
      <c r="G306" s="35" t="s">
        <v>133</v>
      </c>
      <c r="H306" s="35"/>
      <c r="I306" s="35" t="s">
        <v>55</v>
      </c>
      <c r="J306" s="35" t="s">
        <v>400</v>
      </c>
      <c r="K306" s="34"/>
      <c r="L306" s="35" t="s">
        <v>98</v>
      </c>
      <c r="M306" s="35"/>
      <c r="N306" s="35" t="s">
        <v>99</v>
      </c>
      <c r="O306" s="35"/>
      <c r="P306" s="35"/>
      <c r="Q306" s="35"/>
      <c r="R306" s="52" t="s">
        <v>401</v>
      </c>
      <c r="S306" s="35"/>
      <c r="T306" s="35" t="s">
        <v>2</v>
      </c>
      <c r="U306" s="35"/>
      <c r="V306" s="35"/>
      <c r="W306" s="35"/>
      <c r="X306" s="52"/>
      <c r="Y306" s="52"/>
      <c r="Z306" s="52"/>
    </row>
    <row r="307" spans="1:26">
      <c r="A307" s="53" t="str">
        <f t="shared" ref="A307" si="5">A303</f>
        <v>N</v>
      </c>
      <c r="B307" s="34">
        <f>COUNTA($B$1:B306)</f>
        <v>296</v>
      </c>
      <c r="C307" s="35" t="s">
        <v>402</v>
      </c>
      <c r="D307" s="51"/>
      <c r="E307" s="52"/>
      <c r="F307" s="34"/>
      <c r="G307" s="35" t="s">
        <v>133</v>
      </c>
      <c r="H307" s="35"/>
      <c r="I307" s="35"/>
      <c r="J307" s="35"/>
      <c r="K307" s="34"/>
      <c r="L307" s="35" t="s">
        <v>398</v>
      </c>
      <c r="M307" s="35" t="s">
        <v>403</v>
      </c>
      <c r="N307" s="35"/>
      <c r="O307" s="35"/>
      <c r="P307" s="35"/>
      <c r="Q307" s="35"/>
      <c r="R307" s="35"/>
      <c r="S307" s="35"/>
      <c r="T307" s="35"/>
      <c r="U307" s="35"/>
      <c r="V307" s="35"/>
      <c r="W307" s="35"/>
      <c r="X307" s="52"/>
      <c r="Y307" s="52"/>
      <c r="Z307" s="52"/>
    </row>
    <row r="308" spans="1:26">
      <c r="A308" s="53" t="str">
        <f>A304</f>
        <v>N</v>
      </c>
      <c r="B308" s="34">
        <f>COUNTA($B$1:B307)</f>
        <v>297</v>
      </c>
      <c r="C308" s="35" t="s">
        <v>404</v>
      </c>
      <c r="D308" s="51"/>
      <c r="E308" s="52"/>
      <c r="F308" s="34"/>
      <c r="G308" s="35" t="s">
        <v>133</v>
      </c>
      <c r="H308" s="35"/>
      <c r="I308" s="35"/>
      <c r="J308" s="35"/>
      <c r="K308" s="34"/>
      <c r="L308" s="35" t="s">
        <v>393</v>
      </c>
      <c r="M308" s="35" t="str">
        <f ca="1">Global!B3 &amp; "ConfirmationMessage1.png"</f>
        <v>L:\Regression\Test Results\Temp_Results\AEM Regression\Travelex\UAT\Travel EX Migration_AEM Regression_UAT01Sep26101238\ConfirmationMessage1.png</v>
      </c>
      <c r="N308" s="35"/>
      <c r="O308" s="35"/>
      <c r="P308" s="35"/>
      <c r="Q308" s="35"/>
      <c r="R308" s="35"/>
      <c r="S308" s="35"/>
      <c r="T308" s="35"/>
      <c r="U308" s="35"/>
      <c r="V308" s="35"/>
      <c r="W308" s="35"/>
      <c r="X308" s="52"/>
      <c r="Y308" s="52"/>
      <c r="Z308" s="52"/>
    </row>
    <row r="309" spans="1:26">
      <c r="A309" s="33" t="s">
        <v>21</v>
      </c>
      <c r="B309" s="34">
        <f>COUNTA($B$1:B308)</f>
        <v>298</v>
      </c>
      <c r="C309" s="35" t="s">
        <v>67</v>
      </c>
      <c r="D309" s="35"/>
      <c r="E309" s="35"/>
      <c r="F309" s="34"/>
      <c r="G309" s="35" t="s">
        <v>133</v>
      </c>
      <c r="H309" s="35"/>
      <c r="I309" s="35"/>
      <c r="J309" s="35"/>
      <c r="K309" s="34"/>
      <c r="L309" s="35" t="s">
        <v>67</v>
      </c>
      <c r="M309" s="36">
        <v>5</v>
      </c>
      <c r="N309" s="35"/>
      <c r="O309" s="35"/>
      <c r="P309" s="35"/>
      <c r="Q309" s="35"/>
      <c r="R309" s="36"/>
      <c r="S309" s="35"/>
      <c r="T309" s="35"/>
      <c r="U309" s="35"/>
      <c r="V309" s="35"/>
      <c r="W309" s="35"/>
      <c r="X309" s="35"/>
      <c r="Y309" s="35"/>
      <c r="Z309" s="35"/>
    </row>
    <row r="310" spans="1:26">
      <c r="A310" s="53" t="str">
        <f>A308</f>
        <v>N</v>
      </c>
      <c r="B310" s="34">
        <f>COUNTA($B$1:B309)</f>
        <v>299</v>
      </c>
      <c r="C310" s="35" t="s">
        <v>405</v>
      </c>
      <c r="D310" s="51"/>
      <c r="E310" s="52"/>
      <c r="F310" s="34"/>
      <c r="G310" s="35" t="s">
        <v>133</v>
      </c>
      <c r="H310" s="35"/>
      <c r="I310" s="35"/>
      <c r="J310" s="35"/>
      <c r="K310" s="34"/>
      <c r="L310" s="35" t="s">
        <v>398</v>
      </c>
      <c r="M310" s="35" t="s">
        <v>406</v>
      </c>
      <c r="N310" s="35"/>
      <c r="O310" s="35"/>
      <c r="P310" s="35"/>
      <c r="Q310" s="35"/>
      <c r="R310" s="35"/>
      <c r="S310" s="35"/>
      <c r="T310" s="35"/>
      <c r="U310" s="35"/>
      <c r="V310" s="35"/>
      <c r="W310" s="35"/>
      <c r="X310" s="52"/>
      <c r="Y310" s="52"/>
      <c r="Z310" s="52"/>
    </row>
    <row r="311" spans="1:26">
      <c r="A311" s="53" t="str">
        <f>A310</f>
        <v>N</v>
      </c>
      <c r="B311" s="34">
        <f>COUNTA($B$1:B310)</f>
        <v>300</v>
      </c>
      <c r="C311" s="35" t="s">
        <v>407</v>
      </c>
      <c r="D311" s="51"/>
      <c r="E311" s="52"/>
      <c r="F311" s="34"/>
      <c r="G311" s="35" t="s">
        <v>133</v>
      </c>
      <c r="H311" s="35"/>
      <c r="I311" s="35"/>
      <c r="J311" s="35"/>
      <c r="K311" s="34"/>
      <c r="L311" s="35" t="s">
        <v>393</v>
      </c>
      <c r="M311" s="35" t="str">
        <f ca="1">Global!B3 &amp; "ConfirmationMessage2.png"</f>
        <v>L:\Regression\Test Results\Temp_Results\AEM Regression\Travelex\UAT\Travel EX Migration_AEM Regression_UAT01Sep26101238\ConfirmationMessage2.png</v>
      </c>
      <c r="N311" s="35"/>
      <c r="O311" s="35"/>
      <c r="P311" s="35"/>
      <c r="Q311" s="35"/>
      <c r="R311" s="35"/>
      <c r="S311" s="35"/>
      <c r="T311" s="35"/>
      <c r="U311" s="35"/>
      <c r="V311" s="35"/>
      <c r="W311" s="35"/>
      <c r="X311" s="52"/>
      <c r="Y311" s="52"/>
      <c r="Z311" s="52"/>
    </row>
    <row r="312" spans="1:26">
      <c r="A312" s="33" t="s">
        <v>21</v>
      </c>
      <c r="B312" s="34">
        <f>COUNTA($B$1:B311)</f>
        <v>301</v>
      </c>
      <c r="C312" s="35" t="s">
        <v>67</v>
      </c>
      <c r="D312" s="35"/>
      <c r="E312" s="35"/>
      <c r="F312" s="34"/>
      <c r="G312" s="35" t="s">
        <v>133</v>
      </c>
      <c r="H312" s="35"/>
      <c r="I312" s="35"/>
      <c r="J312" s="35"/>
      <c r="K312" s="34"/>
      <c r="L312" s="35" t="s">
        <v>67</v>
      </c>
      <c r="M312" s="36">
        <v>5</v>
      </c>
      <c r="N312" s="35"/>
      <c r="O312" s="35"/>
      <c r="P312" s="35"/>
      <c r="Q312" s="35"/>
      <c r="R312" s="36"/>
      <c r="S312" s="35"/>
      <c r="T312" s="35"/>
      <c r="U312" s="35"/>
      <c r="V312" s="35"/>
      <c r="W312" s="35"/>
      <c r="X312" s="35"/>
      <c r="Y312" s="35"/>
      <c r="Z312" s="35"/>
    </row>
    <row r="313" spans="1:26">
      <c r="A313" s="53" t="str">
        <f>A311</f>
        <v>N</v>
      </c>
      <c r="B313" s="34">
        <f>COUNTA($B$1:B312)</f>
        <v>302</v>
      </c>
      <c r="C313" s="35" t="s">
        <v>405</v>
      </c>
      <c r="D313" s="51"/>
      <c r="E313" s="52"/>
      <c r="F313" s="34"/>
      <c r="G313" s="35" t="s">
        <v>133</v>
      </c>
      <c r="H313" s="35"/>
      <c r="I313" s="35"/>
      <c r="J313" s="35"/>
      <c r="K313" s="34"/>
      <c r="L313" s="35" t="s">
        <v>398</v>
      </c>
      <c r="M313" s="35" t="s">
        <v>406</v>
      </c>
      <c r="N313" s="35"/>
      <c r="O313" s="35"/>
      <c r="P313" s="35"/>
      <c r="Q313" s="35"/>
      <c r="R313" s="35"/>
      <c r="S313" s="35"/>
      <c r="T313" s="35"/>
      <c r="U313" s="35"/>
      <c r="V313" s="35"/>
      <c r="W313" s="35"/>
      <c r="X313" s="52"/>
      <c r="Y313" s="52"/>
      <c r="Z313" s="52"/>
    </row>
    <row r="314" spans="1:26">
      <c r="A314" s="53" t="str">
        <f>A313</f>
        <v>N</v>
      </c>
      <c r="B314" s="34">
        <f>COUNTA($B$1:B313)</f>
        <v>303</v>
      </c>
      <c r="C314" s="35" t="s">
        <v>408</v>
      </c>
      <c r="D314" s="51"/>
      <c r="E314" s="52"/>
      <c r="F314" s="34"/>
      <c r="G314" s="35" t="s">
        <v>133</v>
      </c>
      <c r="H314" s="35"/>
      <c r="I314" s="35"/>
      <c r="J314" s="35"/>
      <c r="K314" s="34"/>
      <c r="L314" s="35" t="s">
        <v>393</v>
      </c>
      <c r="M314" s="35" t="str">
        <f ca="1">Global!B3 &amp; "ConfirmationMessage3.png"</f>
        <v>L:\Regression\Test Results\Temp_Results\AEM Regression\Travelex\UAT\Travel EX Migration_AEM Regression_UAT01Sep26101238\ConfirmationMessage3.png</v>
      </c>
      <c r="N314" s="35"/>
      <c r="O314" s="35"/>
      <c r="P314" s="35"/>
      <c r="Q314" s="35"/>
      <c r="R314" s="35"/>
      <c r="S314" s="35"/>
      <c r="T314" s="35"/>
      <c r="U314" s="35"/>
      <c r="V314" s="35"/>
      <c r="W314" s="35"/>
      <c r="X314" s="52"/>
      <c r="Y314" s="52"/>
      <c r="Z314" s="52"/>
    </row>
    <row r="315" spans="1:26">
      <c r="A315" s="33" t="s">
        <v>21</v>
      </c>
      <c r="B315" s="34">
        <f>COUNTA($B$1:B314)</f>
        <v>304</v>
      </c>
      <c r="C315" s="35" t="s">
        <v>67</v>
      </c>
      <c r="D315" s="35"/>
      <c r="E315" s="35"/>
      <c r="F315" s="34"/>
      <c r="G315" s="35" t="s">
        <v>133</v>
      </c>
      <c r="H315" s="35"/>
      <c r="I315" s="35"/>
      <c r="J315" s="35"/>
      <c r="K315" s="34"/>
      <c r="L315" s="35" t="s">
        <v>67</v>
      </c>
      <c r="M315" s="36">
        <v>5</v>
      </c>
      <c r="N315" s="35"/>
      <c r="O315" s="35"/>
      <c r="P315" s="35"/>
      <c r="Q315" s="35"/>
      <c r="R315" s="36"/>
      <c r="S315" s="35"/>
      <c r="T315" s="35"/>
      <c r="U315" s="35"/>
      <c r="V315" s="35"/>
      <c r="W315" s="35"/>
      <c r="X315" s="35"/>
      <c r="Y315" s="35"/>
      <c r="Z315" s="35"/>
    </row>
    <row r="316" spans="1:26">
      <c r="A316" s="53" t="str">
        <f>A314</f>
        <v>N</v>
      </c>
      <c r="B316" s="34">
        <f>COUNTA($B$1:B315)</f>
        <v>305</v>
      </c>
      <c r="C316" s="35" t="s">
        <v>405</v>
      </c>
      <c r="D316" s="51"/>
      <c r="E316" s="52"/>
      <c r="F316" s="34"/>
      <c r="G316" s="35" t="s">
        <v>133</v>
      </c>
      <c r="H316" s="35"/>
      <c r="I316" s="35"/>
      <c r="J316" s="35"/>
      <c r="K316" s="34"/>
      <c r="L316" s="35" t="s">
        <v>398</v>
      </c>
      <c r="M316" s="35" t="s">
        <v>409</v>
      </c>
      <c r="N316" s="35"/>
      <c r="O316" s="35"/>
      <c r="P316" s="35"/>
      <c r="Q316" s="35"/>
      <c r="R316" s="35"/>
      <c r="S316" s="35"/>
      <c r="T316" s="35"/>
      <c r="U316" s="35"/>
      <c r="V316" s="35"/>
      <c r="W316" s="35"/>
      <c r="X316" s="52"/>
      <c r="Y316" s="52"/>
      <c r="Z316" s="52"/>
    </row>
    <row r="317" spans="1:26">
      <c r="A317" s="53" t="str">
        <f>A316</f>
        <v>N</v>
      </c>
      <c r="B317" s="34">
        <f>COUNTA($B$1:B316)</f>
        <v>306</v>
      </c>
      <c r="C317" s="35" t="s">
        <v>410</v>
      </c>
      <c r="D317" s="51"/>
      <c r="E317" s="52"/>
      <c r="F317" s="34"/>
      <c r="G317" s="35" t="s">
        <v>133</v>
      </c>
      <c r="H317" s="35"/>
      <c r="I317" s="35"/>
      <c r="J317" s="35"/>
      <c r="K317" s="34"/>
      <c r="L317" s="35" t="s">
        <v>393</v>
      </c>
      <c r="M317" s="35" t="str">
        <f ca="1">Global!B3 &amp; "ConfirmationMessage4.png"</f>
        <v>L:\Regression\Test Results\Temp_Results\AEM Regression\Travelex\UAT\Travel EX Migration_AEM Regression_UAT01Sep26101238\ConfirmationMessage4.png</v>
      </c>
      <c r="N317" s="35"/>
      <c r="O317" s="35"/>
      <c r="P317" s="35"/>
      <c r="Q317" s="35"/>
      <c r="R317" s="35"/>
      <c r="S317" s="35"/>
      <c r="T317" s="35"/>
      <c r="U317" s="35"/>
      <c r="V317" s="35"/>
      <c r="W317" s="35"/>
      <c r="X317" s="52"/>
      <c r="Y317" s="52"/>
      <c r="Z317" s="52"/>
    </row>
    <row r="318" spans="1:26">
      <c r="A318" s="30" t="s">
        <v>411</v>
      </c>
      <c r="B318" s="31"/>
      <c r="C318" s="31"/>
      <c r="D318" s="32"/>
      <c r="E318" s="32"/>
      <c r="F318" s="31"/>
      <c r="G318" s="32"/>
      <c r="H318" s="32"/>
      <c r="I318" s="32"/>
      <c r="J318" s="32"/>
      <c r="K318" s="31"/>
      <c r="L318" s="32"/>
      <c r="M318" s="32"/>
      <c r="N318" s="32"/>
      <c r="O318" s="32"/>
      <c r="P318" s="32"/>
      <c r="Q318" s="32"/>
      <c r="R318" s="32"/>
      <c r="S318" s="32"/>
      <c r="T318" s="32"/>
      <c r="U318" s="32"/>
      <c r="V318" s="32"/>
      <c r="W318" s="32"/>
      <c r="X318" s="32"/>
      <c r="Y318" s="32"/>
      <c r="Z318" s="32"/>
    </row>
    <row r="319" spans="1:26">
      <c r="A319" s="33" t="s">
        <v>131</v>
      </c>
      <c r="B319" s="34">
        <f>COUNTA($B$1:B318)</f>
        <v>307</v>
      </c>
      <c r="C319" s="61" t="s">
        <v>97</v>
      </c>
      <c r="D319" s="61"/>
      <c r="E319" s="61"/>
      <c r="F319" s="62"/>
      <c r="G319" s="61" t="s">
        <v>133</v>
      </c>
      <c r="H319" s="61"/>
      <c r="I319" s="61"/>
      <c r="J319" s="61"/>
      <c r="K319" s="62"/>
      <c r="L319" s="61" t="s">
        <v>97</v>
      </c>
      <c r="M319" s="63"/>
      <c r="N319" s="61"/>
      <c r="O319" s="61"/>
      <c r="P319" s="61"/>
      <c r="Q319" s="61"/>
      <c r="R319" s="61"/>
      <c r="S319" s="61"/>
      <c r="T319" s="61"/>
      <c r="U319" s="35"/>
      <c r="V319" s="35"/>
      <c r="W319" s="35"/>
      <c r="X319" s="35"/>
      <c r="Y319" s="35"/>
      <c r="Z319" s="35"/>
    </row>
  </sheetData>
  <phoneticPr fontId="18" type="noConversion"/>
  <pageMargins left="0.7" right="0.7" top="0.75" bottom="0.75" header="0.3" footer="0.3"/>
  <pageSetup orientation="portrait" r:id="rId1"/>
  <headerFooter>
    <oddFooter>&amp;L_x000D_&amp;1#&amp;"Aptos"&amp;10&amp;K000000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E2CC1-783A-4FC3-ADDE-2BB57D750A07}">
  <sheetPr>
    <tabColor theme="6"/>
  </sheetPr>
  <dimension ref="A1:IL6"/>
  <sheetViews>
    <sheetView showGridLines="0" zoomScale="92" zoomScaleNormal="92" workbookViewId="0">
      <pane xSplit="2" ySplit="1" topLeftCell="C2" activePane="bottomRight" state="frozen"/>
      <selection pane="topRight" activeCell="C1" sqref="C1"/>
      <selection pane="bottomLeft" activeCell="A2" sqref="A2"/>
      <selection pane="bottomRight" activeCell="H2" sqref="H2"/>
    </sheetView>
  </sheetViews>
  <sheetFormatPr defaultColWidth="9.140625" defaultRowHeight="12.75"/>
  <cols>
    <col min="1" max="1" width="23.42578125" style="15" bestFit="1" customWidth="1"/>
    <col min="2" max="2" width="12" style="15" bestFit="1" customWidth="1"/>
    <col min="3" max="3" width="11.140625" style="15" customWidth="1"/>
    <col min="4" max="4" width="8.140625" style="15" bestFit="1" customWidth="1"/>
    <col min="5" max="5" width="15.42578125" style="15" bestFit="1" customWidth="1"/>
    <col min="6" max="7" width="18.42578125" style="15" customWidth="1"/>
    <col min="8" max="8" width="42.5703125" style="15" bestFit="1" customWidth="1"/>
    <col min="9" max="9" width="13.85546875" style="15" bestFit="1" customWidth="1"/>
    <col min="10" max="10" width="14.42578125" style="15" bestFit="1" customWidth="1"/>
    <col min="11" max="11" width="41.42578125" style="15" bestFit="1" customWidth="1"/>
    <col min="12" max="12" width="15.140625" style="15" bestFit="1" customWidth="1"/>
    <col min="13" max="13" width="19.140625" style="15" bestFit="1" customWidth="1"/>
    <col min="14" max="14" width="20" style="15" bestFit="1" customWidth="1"/>
    <col min="15" max="15" width="20" style="15" customWidth="1"/>
    <col min="16" max="16" width="20.85546875" style="15" bestFit="1" customWidth="1"/>
    <col min="17" max="17" width="20" style="15" customWidth="1"/>
    <col min="18" max="18" width="20.85546875" style="15" bestFit="1" customWidth="1"/>
    <col min="19" max="19" width="12.28515625" style="15" bestFit="1" customWidth="1"/>
    <col min="20" max="20" width="11.85546875" style="15" customWidth="1"/>
    <col min="21" max="21" width="10.5703125" style="15" bestFit="1" customWidth="1"/>
    <col min="22" max="22" width="10.5703125" style="15" customWidth="1"/>
    <col min="23" max="23" width="11.7109375" style="15" customWidth="1"/>
    <col min="24" max="24" width="13.85546875" style="15" bestFit="1" customWidth="1"/>
    <col min="25" max="25" width="11.7109375" style="15" bestFit="1" customWidth="1"/>
    <col min="26" max="26" width="19.140625" style="15" bestFit="1" customWidth="1"/>
    <col min="27" max="27" width="12.42578125" style="15" bestFit="1" customWidth="1"/>
    <col min="28" max="28" width="11.7109375" style="15" customWidth="1"/>
    <col min="29" max="29" width="14.5703125" style="15" bestFit="1" customWidth="1"/>
    <col min="30" max="30" width="14" style="15" bestFit="1" customWidth="1"/>
    <col min="31" max="31" width="13.42578125" style="15" bestFit="1" customWidth="1"/>
    <col min="32" max="32" width="9.7109375" style="15" bestFit="1" customWidth="1"/>
    <col min="33" max="33" width="7.85546875" style="15" bestFit="1" customWidth="1"/>
    <col min="34" max="34" width="9.7109375" style="15" bestFit="1" customWidth="1"/>
    <col min="35" max="35" width="7.85546875" style="15" bestFit="1" customWidth="1"/>
    <col min="36" max="36" width="9.7109375" style="15" bestFit="1" customWidth="1"/>
    <col min="37" max="37" width="7.85546875" style="15" bestFit="1" customWidth="1"/>
    <col min="38" max="38" width="11.42578125" style="15" bestFit="1" customWidth="1"/>
    <col min="39" max="39" width="9.85546875" style="15" bestFit="1" customWidth="1"/>
    <col min="40" max="63" width="17.85546875" style="15" bestFit="1" customWidth="1"/>
    <col min="64" max="67" width="22.85546875" style="15" bestFit="1" customWidth="1"/>
    <col min="68" max="69" width="18.42578125" style="15" bestFit="1" customWidth="1"/>
    <col min="70" max="70" width="28.5703125" style="15" bestFit="1" customWidth="1"/>
    <col min="71" max="71" width="27.28515625" style="15" bestFit="1" customWidth="1"/>
    <col min="72" max="74" width="18.42578125" style="15" customWidth="1"/>
    <col min="75" max="75" width="18.42578125" style="15" bestFit="1" customWidth="1"/>
    <col min="76" max="76" width="16.140625" style="15" bestFit="1" customWidth="1"/>
    <col min="77" max="77" width="11.140625" style="15" bestFit="1" customWidth="1"/>
    <col min="78" max="16384" width="9.140625" style="15"/>
  </cols>
  <sheetData>
    <row r="1" spans="1:246" s="146" customFormat="1" ht="12.95" customHeight="1">
      <c r="A1" s="141" t="s">
        <v>78</v>
      </c>
      <c r="B1" s="142" t="s">
        <v>5</v>
      </c>
      <c r="C1" s="143" t="s">
        <v>84</v>
      </c>
      <c r="D1" s="143" t="s">
        <v>76</v>
      </c>
      <c r="E1" s="142" t="s">
        <v>131</v>
      </c>
      <c r="F1" s="142" t="s">
        <v>134</v>
      </c>
      <c r="G1" s="142" t="s">
        <v>11</v>
      </c>
      <c r="H1" s="142" t="s">
        <v>57</v>
      </c>
      <c r="I1" s="142" t="s">
        <v>604</v>
      </c>
      <c r="J1" s="142" t="s">
        <v>329</v>
      </c>
      <c r="K1" s="142" t="s">
        <v>139</v>
      </c>
      <c r="L1" s="142" t="s">
        <v>605</v>
      </c>
      <c r="M1" s="142" t="s">
        <v>152</v>
      </c>
      <c r="N1" s="142" t="s">
        <v>606</v>
      </c>
      <c r="O1" s="142" t="s">
        <v>274</v>
      </c>
      <c r="P1" s="142" t="s">
        <v>607</v>
      </c>
      <c r="Q1" s="142" t="s">
        <v>608</v>
      </c>
      <c r="R1" s="142" t="s">
        <v>609</v>
      </c>
      <c r="S1" s="142" t="s">
        <v>610</v>
      </c>
      <c r="T1" s="142" t="s">
        <v>611</v>
      </c>
      <c r="U1" s="142" t="s">
        <v>612</v>
      </c>
      <c r="V1" s="142" t="s">
        <v>613</v>
      </c>
      <c r="W1" s="142" t="s">
        <v>614</v>
      </c>
      <c r="X1" s="142" t="s">
        <v>615</v>
      </c>
      <c r="Y1" s="142" t="s">
        <v>616</v>
      </c>
      <c r="Z1" s="142" t="s">
        <v>617</v>
      </c>
      <c r="AA1" s="142" t="s">
        <v>618</v>
      </c>
      <c r="AB1" s="142" t="s">
        <v>619</v>
      </c>
      <c r="AC1" s="142" t="s">
        <v>620</v>
      </c>
      <c r="AD1" s="142" t="s">
        <v>621</v>
      </c>
      <c r="AE1" s="142" t="s">
        <v>622</v>
      </c>
      <c r="AF1" s="142" t="s">
        <v>623</v>
      </c>
      <c r="AG1" s="142" t="s">
        <v>624</v>
      </c>
      <c r="AH1" s="142" t="s">
        <v>625</v>
      </c>
      <c r="AI1" s="142" t="s">
        <v>626</v>
      </c>
      <c r="AJ1" s="142" t="s">
        <v>627</v>
      </c>
      <c r="AK1" s="142" t="s">
        <v>628</v>
      </c>
      <c r="AL1" s="142" t="s">
        <v>629</v>
      </c>
      <c r="AM1" s="142" t="s">
        <v>630</v>
      </c>
      <c r="AN1" s="142" t="s">
        <v>631</v>
      </c>
      <c r="AO1" s="142" t="s">
        <v>632</v>
      </c>
      <c r="AP1" s="142" t="s">
        <v>633</v>
      </c>
      <c r="AQ1" s="142" t="s">
        <v>634</v>
      </c>
      <c r="AR1" s="142" t="s">
        <v>635</v>
      </c>
      <c r="AS1" s="142" t="s">
        <v>636</v>
      </c>
      <c r="AT1" s="142" t="s">
        <v>637</v>
      </c>
      <c r="AU1" s="142" t="s">
        <v>638</v>
      </c>
      <c r="AV1" s="142" t="s">
        <v>155</v>
      </c>
      <c r="AW1" s="142" t="s">
        <v>440</v>
      </c>
      <c r="AX1" s="142" t="s">
        <v>275</v>
      </c>
      <c r="AY1" s="142" t="s">
        <v>157</v>
      </c>
      <c r="AZ1" s="142" t="s">
        <v>441</v>
      </c>
      <c r="BA1" s="142" t="s">
        <v>276</v>
      </c>
      <c r="BB1" s="142" t="s">
        <v>160</v>
      </c>
      <c r="BC1" s="142" t="s">
        <v>639</v>
      </c>
      <c r="BD1" s="142" t="s">
        <v>640</v>
      </c>
      <c r="BE1" s="142" t="s">
        <v>641</v>
      </c>
      <c r="BF1" s="142" t="s">
        <v>642</v>
      </c>
      <c r="BG1" s="142" t="s">
        <v>643</v>
      </c>
      <c r="BH1" s="142" t="s">
        <v>644</v>
      </c>
      <c r="BI1" s="142" t="s">
        <v>164</v>
      </c>
      <c r="BJ1" s="142" t="s">
        <v>278</v>
      </c>
      <c r="BK1" s="142" t="s">
        <v>645</v>
      </c>
      <c r="BL1" s="142" t="s">
        <v>646</v>
      </c>
      <c r="BM1" s="142" t="s">
        <v>647</v>
      </c>
      <c r="BN1" s="142" t="s">
        <v>648</v>
      </c>
      <c r="BO1" s="142" t="s">
        <v>649</v>
      </c>
      <c r="BP1" s="142" t="s">
        <v>650</v>
      </c>
      <c r="BQ1" s="142" t="s">
        <v>651</v>
      </c>
      <c r="BR1" s="142" t="s">
        <v>652</v>
      </c>
      <c r="BS1" s="142" t="s">
        <v>653</v>
      </c>
      <c r="BT1" s="142" t="s">
        <v>654</v>
      </c>
      <c r="BU1" s="142" t="s">
        <v>655</v>
      </c>
      <c r="BV1" s="142" t="s">
        <v>656</v>
      </c>
      <c r="BW1" s="142" t="s">
        <v>657</v>
      </c>
      <c r="BX1" s="142" t="s">
        <v>658</v>
      </c>
      <c r="BY1" s="142" t="s">
        <v>659</v>
      </c>
      <c r="BZ1" s="142" t="s">
        <v>660</v>
      </c>
      <c r="CA1" s="142" t="s">
        <v>661</v>
      </c>
      <c r="CB1" s="142" t="s">
        <v>662</v>
      </c>
      <c r="CC1" s="142" t="s">
        <v>663</v>
      </c>
      <c r="CD1" s="142" t="s">
        <v>664</v>
      </c>
      <c r="CE1" s="142" t="s">
        <v>665</v>
      </c>
      <c r="CF1" s="142" t="s">
        <v>666</v>
      </c>
      <c r="CG1" s="142" t="s">
        <v>667</v>
      </c>
      <c r="CH1" s="142" t="s">
        <v>668</v>
      </c>
      <c r="CI1" s="142" t="s">
        <v>669</v>
      </c>
      <c r="CJ1" s="142" t="s">
        <v>670</v>
      </c>
      <c r="CK1" s="142" t="s">
        <v>671</v>
      </c>
      <c r="CL1" s="142" t="s">
        <v>672</v>
      </c>
      <c r="CM1" s="142" t="s">
        <v>673</v>
      </c>
      <c r="CN1" s="142" t="s">
        <v>674</v>
      </c>
      <c r="CO1" s="142" t="s">
        <v>675</v>
      </c>
      <c r="CP1" s="142" t="s">
        <v>676</v>
      </c>
      <c r="CQ1" s="142" t="s">
        <v>677</v>
      </c>
      <c r="CR1" s="142" t="s">
        <v>678</v>
      </c>
      <c r="CS1" s="142" t="s">
        <v>679</v>
      </c>
      <c r="CT1" s="142" t="s">
        <v>680</v>
      </c>
      <c r="CU1" s="142" t="s">
        <v>681</v>
      </c>
      <c r="CV1" s="142" t="s">
        <v>682</v>
      </c>
      <c r="CW1" s="142" t="s">
        <v>683</v>
      </c>
      <c r="CX1" s="142" t="s">
        <v>684</v>
      </c>
      <c r="CY1" s="142" t="s">
        <v>685</v>
      </c>
      <c r="CZ1" s="142" t="s">
        <v>686</v>
      </c>
      <c r="DA1" s="142" t="s">
        <v>687</v>
      </c>
      <c r="DB1" s="142" t="s">
        <v>688</v>
      </c>
      <c r="DC1" s="142" t="s">
        <v>689</v>
      </c>
      <c r="DD1" s="142" t="s">
        <v>690</v>
      </c>
      <c r="DE1" s="142" t="s">
        <v>691</v>
      </c>
      <c r="DF1" s="142" t="s">
        <v>692</v>
      </c>
      <c r="DG1" s="142" t="s">
        <v>693</v>
      </c>
      <c r="DH1" s="142" t="s">
        <v>694</v>
      </c>
      <c r="DI1" s="142" t="s">
        <v>695</v>
      </c>
      <c r="DJ1" s="142" t="s">
        <v>696</v>
      </c>
      <c r="DK1" s="142" t="s">
        <v>167</v>
      </c>
      <c r="DL1" s="142" t="s">
        <v>170</v>
      </c>
      <c r="DM1" s="142" t="s">
        <v>697</v>
      </c>
      <c r="DN1" s="142" t="s">
        <v>174</v>
      </c>
      <c r="DO1" s="142" t="s">
        <v>177</v>
      </c>
      <c r="DP1" s="142" t="s">
        <v>288</v>
      </c>
      <c r="DQ1" s="142" t="s">
        <v>291</v>
      </c>
      <c r="DR1" s="142" t="s">
        <v>698</v>
      </c>
      <c r="DS1" s="142" t="s">
        <v>180</v>
      </c>
      <c r="DT1" s="142" t="s">
        <v>183</v>
      </c>
      <c r="DU1" s="142" t="s">
        <v>245</v>
      </c>
      <c r="DV1" s="142" t="s">
        <v>248</v>
      </c>
      <c r="DW1" s="142" t="s">
        <v>251</v>
      </c>
      <c r="DX1" s="142" t="s">
        <v>186</v>
      </c>
      <c r="DY1" s="142" t="s">
        <v>189</v>
      </c>
      <c r="DZ1" s="142" t="s">
        <v>254</v>
      </c>
      <c r="EA1" s="142" t="s">
        <v>257</v>
      </c>
      <c r="EB1" s="142" t="s">
        <v>260</v>
      </c>
      <c r="EC1" s="142" t="s">
        <v>699</v>
      </c>
      <c r="ED1" s="142" t="s">
        <v>700</v>
      </c>
      <c r="EE1" s="142" t="s">
        <v>701</v>
      </c>
      <c r="EF1" s="142" t="s">
        <v>702</v>
      </c>
      <c r="EG1" s="142" t="s">
        <v>703</v>
      </c>
      <c r="EH1" s="142" t="s">
        <v>704</v>
      </c>
      <c r="EI1" s="142" t="s">
        <v>705</v>
      </c>
      <c r="EJ1" s="142" t="s">
        <v>706</v>
      </c>
      <c r="EK1" s="142" t="s">
        <v>707</v>
      </c>
      <c r="EL1" s="142" t="s">
        <v>708</v>
      </c>
      <c r="EM1" s="142" t="s">
        <v>709</v>
      </c>
      <c r="EN1" s="142" t="s">
        <v>710</v>
      </c>
      <c r="EO1" s="142" t="s">
        <v>711</v>
      </c>
      <c r="EP1" s="142" t="s">
        <v>712</v>
      </c>
      <c r="EQ1" s="142" t="s">
        <v>713</v>
      </c>
      <c r="ER1" s="142" t="s">
        <v>714</v>
      </c>
      <c r="ES1" s="142" t="s">
        <v>715</v>
      </c>
      <c r="ET1" s="142" t="s">
        <v>716</v>
      </c>
      <c r="EU1" s="142" t="s">
        <v>717</v>
      </c>
      <c r="EV1" s="142" t="s">
        <v>718</v>
      </c>
      <c r="EW1" s="142" t="s">
        <v>719</v>
      </c>
      <c r="EX1" s="142" t="s">
        <v>720</v>
      </c>
      <c r="EY1" s="142" t="s">
        <v>721</v>
      </c>
      <c r="EZ1" s="142" t="s">
        <v>722</v>
      </c>
      <c r="FA1" s="142" t="s">
        <v>723</v>
      </c>
      <c r="FB1" s="142" t="s">
        <v>724</v>
      </c>
      <c r="FC1" s="142" t="s">
        <v>725</v>
      </c>
      <c r="FD1" s="142" t="s">
        <v>726</v>
      </c>
      <c r="FE1" s="142" t="s">
        <v>727</v>
      </c>
      <c r="FF1" s="142" t="s">
        <v>728</v>
      </c>
      <c r="FG1" s="142" t="s">
        <v>203</v>
      </c>
      <c r="FH1" s="142" t="s">
        <v>206</v>
      </c>
      <c r="FI1" s="142" t="s">
        <v>211</v>
      </c>
      <c r="FJ1" s="142" t="s">
        <v>212</v>
      </c>
      <c r="FK1" s="142" t="s">
        <v>214</v>
      </c>
      <c r="FL1" s="142" t="s">
        <v>215</v>
      </c>
      <c r="FM1" s="142" t="s">
        <v>527</v>
      </c>
      <c r="FN1" s="142" t="s">
        <v>528</v>
      </c>
      <c r="FO1" s="142" t="s">
        <v>529</v>
      </c>
      <c r="FP1" s="142" t="s">
        <v>530</v>
      </c>
      <c r="FQ1" s="142" t="s">
        <v>222</v>
      </c>
      <c r="FR1" s="142" t="s">
        <v>223</v>
      </c>
      <c r="FS1" s="142" t="s">
        <v>225</v>
      </c>
      <c r="FT1" s="142" t="s">
        <v>729</v>
      </c>
      <c r="FU1" s="142" t="s">
        <v>294</v>
      </c>
      <c r="FV1" s="142" t="s">
        <v>230</v>
      </c>
      <c r="FW1" s="142" t="s">
        <v>104</v>
      </c>
      <c r="FX1" s="142" t="s">
        <v>234</v>
      </c>
      <c r="FY1" s="142" t="s">
        <v>818</v>
      </c>
      <c r="FZ1" s="142" t="s">
        <v>816</v>
      </c>
      <c r="GA1" s="142" t="s">
        <v>281</v>
      </c>
      <c r="GB1" s="142" t="s">
        <v>237</v>
      </c>
      <c r="GC1" s="142" t="s">
        <v>282</v>
      </c>
      <c r="GD1" s="142" t="s">
        <v>239</v>
      </c>
      <c r="GE1" s="142" t="s">
        <v>283</v>
      </c>
      <c r="GF1" s="142" t="s">
        <v>242</v>
      </c>
      <c r="GG1" s="142" t="s">
        <v>261</v>
      </c>
      <c r="GH1" s="142" t="s">
        <v>264</v>
      </c>
      <c r="GI1" s="142" t="s">
        <v>730</v>
      </c>
      <c r="GJ1" s="142" t="s">
        <v>266</v>
      </c>
      <c r="GK1" s="142" t="s">
        <v>268</v>
      </c>
      <c r="GL1" s="144" t="s">
        <v>731</v>
      </c>
      <c r="GM1" s="144" t="s">
        <v>732</v>
      </c>
      <c r="GN1" s="144" t="s">
        <v>733</v>
      </c>
      <c r="GO1" s="144" t="s">
        <v>734</v>
      </c>
      <c r="GP1" s="144" t="s">
        <v>605</v>
      </c>
      <c r="GQ1" s="144" t="s">
        <v>735</v>
      </c>
      <c r="GR1" s="144" t="s">
        <v>736</v>
      </c>
      <c r="GS1" s="144" t="s">
        <v>737</v>
      </c>
      <c r="GT1" s="144" t="s">
        <v>738</v>
      </c>
      <c r="GU1" s="144" t="s">
        <v>736</v>
      </c>
      <c r="GV1" s="144" t="s">
        <v>739</v>
      </c>
      <c r="GW1" s="144" t="s">
        <v>740</v>
      </c>
      <c r="GX1" s="144" t="s">
        <v>736</v>
      </c>
      <c r="GY1" s="144" t="s">
        <v>741</v>
      </c>
      <c r="GZ1" s="144" t="s">
        <v>742</v>
      </c>
      <c r="HA1" s="144" t="s">
        <v>743</v>
      </c>
      <c r="HB1" s="144" t="s">
        <v>744</v>
      </c>
      <c r="HC1" s="144" t="s">
        <v>745</v>
      </c>
      <c r="HD1" s="144" t="s">
        <v>743</v>
      </c>
      <c r="HE1" s="144" t="s">
        <v>746</v>
      </c>
      <c r="HF1" s="144" t="s">
        <v>747</v>
      </c>
      <c r="HG1" s="144" t="s">
        <v>743</v>
      </c>
      <c r="HH1" s="144" t="s">
        <v>748</v>
      </c>
      <c r="HI1" s="144" t="s">
        <v>749</v>
      </c>
      <c r="HJ1" s="144" t="s">
        <v>743</v>
      </c>
      <c r="HK1" s="144" t="s">
        <v>750</v>
      </c>
      <c r="HL1" s="144" t="s">
        <v>751</v>
      </c>
      <c r="HM1" s="144" t="s">
        <v>752</v>
      </c>
      <c r="HN1" s="144" t="s">
        <v>753</v>
      </c>
      <c r="HO1" s="144" t="s">
        <v>754</v>
      </c>
      <c r="HP1" s="144" t="s">
        <v>755</v>
      </c>
      <c r="HQ1" s="144" t="s">
        <v>756</v>
      </c>
      <c r="HR1" s="144" t="s">
        <v>757</v>
      </c>
      <c r="HS1" s="144" t="s">
        <v>758</v>
      </c>
      <c r="HT1" s="144" t="s">
        <v>759</v>
      </c>
      <c r="HU1" s="144" t="s">
        <v>760</v>
      </c>
      <c r="HV1" s="144" t="s">
        <v>761</v>
      </c>
      <c r="HW1" s="144" t="s">
        <v>762</v>
      </c>
      <c r="HX1" s="144" t="s">
        <v>763</v>
      </c>
      <c r="HY1" s="144" t="s">
        <v>764</v>
      </c>
      <c r="HZ1" s="144" t="s">
        <v>765</v>
      </c>
      <c r="IA1" s="144" t="s">
        <v>766</v>
      </c>
      <c r="IB1" s="144" t="s">
        <v>767</v>
      </c>
      <c r="IC1" s="144" t="s">
        <v>768</v>
      </c>
      <c r="ID1" s="144" t="s">
        <v>769</v>
      </c>
      <c r="IE1" s="144" t="s">
        <v>770</v>
      </c>
      <c r="IF1" s="144" t="s">
        <v>771</v>
      </c>
      <c r="IG1" s="144" t="s">
        <v>772</v>
      </c>
      <c r="IH1" s="144" t="s">
        <v>773</v>
      </c>
      <c r="II1" s="145" t="s">
        <v>774</v>
      </c>
      <c r="IJ1" s="145" t="s">
        <v>775</v>
      </c>
      <c r="IK1" s="145" t="s">
        <v>776</v>
      </c>
      <c r="IL1" s="145" t="s">
        <v>777</v>
      </c>
    </row>
    <row r="2" spans="1:246" s="160" customFormat="1" ht="12.75" customHeight="1">
      <c r="A2" s="142" t="s">
        <v>131</v>
      </c>
      <c r="B2" s="142" t="s">
        <v>2</v>
      </c>
      <c r="C2" s="142" t="s">
        <v>2</v>
      </c>
      <c r="D2" s="142" t="s">
        <v>2</v>
      </c>
      <c r="E2" s="147" t="s">
        <v>2</v>
      </c>
      <c r="F2" s="147" t="s">
        <v>778</v>
      </c>
      <c r="G2" s="148" t="s">
        <v>779</v>
      </c>
      <c r="H2" s="187" t="str" cm="1">
        <f t="array" ref="H2">_xlfn.IFS(Global!B2="QA","https://owneradvantage.qa.insurancebytravelex.com/",Global!B2="UAT","https://owneradvantage.uat.insurancebytravelex.com/",Global!B2="PROD","https://owneradvantage.insurancebytravelex.com/")</f>
        <v>https://owneradvantage.uat.insurancebytravelex.com/</v>
      </c>
      <c r="I2" s="149">
        <f t="shared" ref="I2" ca="1" si="0">TODAY()</f>
        <v>46266</v>
      </c>
      <c r="J2" s="149"/>
      <c r="K2" s="150" t="s">
        <v>192</v>
      </c>
      <c r="L2" s="150" t="s">
        <v>780</v>
      </c>
      <c r="M2" s="150" t="s">
        <v>781</v>
      </c>
      <c r="N2" s="150"/>
      <c r="O2" s="150" t="s">
        <v>782</v>
      </c>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c r="AP2" s="150"/>
      <c r="AQ2" s="150"/>
      <c r="AR2" s="150"/>
      <c r="AS2" s="150"/>
      <c r="AT2" s="150"/>
      <c r="AU2" s="150"/>
      <c r="AV2" s="151" t="str">
        <f t="shared" ref="AV2" ca="1" si="1">TEXT(I2+1,"mm/dd/yyyy")</f>
        <v>09/02/2026</v>
      </c>
      <c r="AW2" s="152" t="str">
        <f t="shared" ref="AW2" ca="1" si="2">TEXT(I2+7,"mm/dd/yyyy")</f>
        <v>09/08/2026</v>
      </c>
      <c r="AX2" s="153" t="str">
        <f t="shared" ref="AX2" ca="1" si="3">TEXT(I2+7,"mm/dd/yyyy")</f>
        <v>09/08/2026</v>
      </c>
      <c r="AY2" s="154" t="str">
        <f t="shared" ref="AY2" ca="1" si="4">TEXT(AV2+89,"mm/dd/yyyy")</f>
        <v>11/30/2026</v>
      </c>
      <c r="AZ2" s="152" t="str">
        <f t="shared" ref="AZ2" ca="1" si="5">TEXT(AW2+14,"mm/dd/yyyy")</f>
        <v>09/22/2026</v>
      </c>
      <c r="BA2" s="153" t="str">
        <f t="shared" ref="BA2" ca="1" si="6">TEXT(AV2+14,"mm/dd/yyyy")</f>
        <v>09/16/2026</v>
      </c>
      <c r="BB2" s="155" t="str">
        <f t="shared" ref="BB2" ca="1" si="7">TEXT(I2-1,"mm/dd/yyyy")</f>
        <v>08/31/2026</v>
      </c>
      <c r="BC2" s="155"/>
      <c r="BD2" s="155"/>
      <c r="BE2" s="155"/>
      <c r="BF2" s="155"/>
      <c r="BG2" s="155"/>
      <c r="BH2" s="155"/>
      <c r="BI2" s="156" t="s">
        <v>783</v>
      </c>
      <c r="BJ2" s="147" t="s">
        <v>784</v>
      </c>
      <c r="BK2" s="147" t="s">
        <v>785</v>
      </c>
      <c r="BL2" s="156"/>
      <c r="BM2" s="147"/>
      <c r="BN2" s="147"/>
      <c r="BO2" s="156"/>
      <c r="BP2" s="147"/>
      <c r="BQ2" s="147"/>
      <c r="BR2" s="156"/>
      <c r="BS2" s="147"/>
      <c r="BT2" s="147"/>
      <c r="BU2" s="156"/>
      <c r="BV2" s="147"/>
      <c r="BW2" s="147"/>
      <c r="BX2" s="156"/>
      <c r="BY2" s="147"/>
      <c r="BZ2" s="147"/>
      <c r="CA2" s="156"/>
      <c r="CB2" s="147"/>
      <c r="CC2" s="147"/>
      <c r="CD2" s="156"/>
      <c r="CE2" s="147"/>
      <c r="CF2" s="147"/>
      <c r="CG2" s="156"/>
      <c r="CH2" s="147"/>
      <c r="CI2" s="147"/>
      <c r="CJ2" s="156"/>
      <c r="CK2" s="147"/>
      <c r="CL2" s="147"/>
      <c r="CM2" s="156"/>
      <c r="CN2" s="147"/>
      <c r="CO2" s="147"/>
      <c r="CP2" s="156"/>
      <c r="CQ2" s="147"/>
      <c r="CR2" s="147"/>
      <c r="CS2" s="156"/>
      <c r="CT2" s="147"/>
      <c r="CU2" s="147"/>
      <c r="CV2" s="156"/>
      <c r="CW2" s="147"/>
      <c r="CX2" s="147"/>
      <c r="CY2" s="156"/>
      <c r="CZ2" s="147"/>
      <c r="DA2" s="147"/>
      <c r="DB2" s="156"/>
      <c r="DC2" s="147"/>
      <c r="DD2" s="147"/>
      <c r="DE2" s="156"/>
      <c r="DF2" s="147"/>
      <c r="DG2" s="147"/>
      <c r="DH2" s="156"/>
      <c r="DI2" s="147"/>
      <c r="DJ2" s="147"/>
      <c r="DK2" s="156" t="s">
        <v>786</v>
      </c>
      <c r="DL2" s="156" t="s">
        <v>787</v>
      </c>
      <c r="DM2" s="157" t="s">
        <v>88</v>
      </c>
      <c r="DN2" s="156" t="s">
        <v>86</v>
      </c>
      <c r="DO2" s="156" t="s">
        <v>788</v>
      </c>
      <c r="DP2" s="156" t="str">
        <f t="shared" ref="DP2" ca="1" si="8">"QAFIRSTNAME"&amp;CHAR(RANDBETWEEN(65,90))&amp;CHAR(RANDBETWEEN(65,90))</f>
        <v>QAFIRSTNAMEKV</v>
      </c>
      <c r="DQ2" s="156" t="str">
        <f t="shared" ref="DQ2" ca="1" si="9">"QALASTNAME"&amp;CHAR(RANDBETWEEN(65,90))&amp;CHAR(RANDBETWEEN(65,90))</f>
        <v>QALASTNAMESD</v>
      </c>
      <c r="DR2" s="156" t="str">
        <f ca="1">TEXT(DATE(YEAR(TODAY())-DS2,MONTH(TODAY()),DAY(TODAY())),"MM/DD/YYYY")</f>
        <v>09/01/2000</v>
      </c>
      <c r="DS2" s="156" t="s">
        <v>789</v>
      </c>
      <c r="DT2" s="156" t="s">
        <v>788</v>
      </c>
      <c r="DU2" s="156" t="str">
        <f ca="1">"QAFIRSTNAME"&amp;CHAR(RANDBETWEEN(65,90))&amp;CHAR(RANDBETWEEN(65,90))</f>
        <v>QAFIRSTNAMEJE</v>
      </c>
      <c r="DV2" s="156" t="str">
        <f ca="1">"QALASTNAME"&amp;CHAR(RANDBETWEEN(65,90))&amp;CHAR(RANDBETWEEN(65,90))</f>
        <v>QALASTNAMEFT</v>
      </c>
      <c r="DW2" s="156" t="s">
        <v>790</v>
      </c>
      <c r="DX2" s="156"/>
      <c r="DY2" s="156"/>
      <c r="DZ2" s="156"/>
      <c r="EA2" s="156"/>
      <c r="EB2" s="156"/>
      <c r="EC2" s="156"/>
      <c r="ED2" s="156"/>
      <c r="EE2" s="156"/>
      <c r="EF2" s="156"/>
      <c r="EG2" s="156"/>
      <c r="EH2" s="156"/>
      <c r="EI2" s="156"/>
      <c r="EJ2" s="156"/>
      <c r="EK2" s="156"/>
      <c r="EL2" s="156"/>
      <c r="EM2" s="156"/>
      <c r="EN2" s="156"/>
      <c r="EO2" s="156"/>
      <c r="EP2" s="156"/>
      <c r="EQ2" s="156"/>
      <c r="ER2" s="156"/>
      <c r="ES2" s="156"/>
      <c r="ET2" s="156"/>
      <c r="EU2" s="156"/>
      <c r="EV2" s="156"/>
      <c r="EW2" s="156"/>
      <c r="EX2" s="156"/>
      <c r="EY2" s="156"/>
      <c r="EZ2" s="156"/>
      <c r="FA2" s="156"/>
      <c r="FB2" s="156"/>
      <c r="FC2" s="156"/>
      <c r="FD2" s="156"/>
      <c r="FE2" s="156"/>
      <c r="FF2" s="156"/>
      <c r="FG2" s="147" t="str">
        <f ca="1">TEXT(AX2,"mm/dd/yyyy")</f>
        <v>09/08/2026</v>
      </c>
      <c r="FH2" s="147" t="str">
        <f ca="1">TEXT(AX2+1,"mm/dd/yyyy")</f>
        <v>09/09/2026</v>
      </c>
      <c r="FI2" s="147" t="str">
        <f ca="1">TEXT(FH2+1,"mm/dd/yyyy")</f>
        <v>09/10/2026</v>
      </c>
      <c r="FJ2" s="147" t="str">
        <f t="shared" ref="FJ2:FL2" ca="1" si="10">TEXT(FI2+1,"mm/dd/yyyy")</f>
        <v>09/11/2026</v>
      </c>
      <c r="FK2" s="147" t="str">
        <f t="shared" ca="1" si="10"/>
        <v>09/12/2026</v>
      </c>
      <c r="FL2" s="147" t="str">
        <f t="shared" ca="1" si="10"/>
        <v>09/13/2026</v>
      </c>
      <c r="FM2" s="147" t="str">
        <f ca="1">TEXT(FL2+7,"mm/dd/yyyy")</f>
        <v>09/20/2026</v>
      </c>
      <c r="FN2" s="147" t="str">
        <f t="shared" ref="FN2:FP2" ca="1" si="11">TEXT(FM2+1,"mm/dd/yyyy")</f>
        <v>09/21/2026</v>
      </c>
      <c r="FO2" s="147" t="str">
        <f t="shared" ca="1" si="11"/>
        <v>09/22/2026</v>
      </c>
      <c r="FP2" s="147" t="str">
        <f t="shared" ca="1" si="11"/>
        <v>09/23/2026</v>
      </c>
      <c r="FQ2" s="156" t="str">
        <f t="shared" ref="FQ2" ca="1" si="12">"QAFIRSTNAME"&amp;CHAR(RANDBETWEEN(65,90))&amp;CHAR(RANDBETWEEN(65,90))</f>
        <v>QAFIRSTNAMEQB</v>
      </c>
      <c r="FR2" s="147" t="str">
        <f t="shared" ref="FR2" ca="1" si="13">"QALASTNAME"&amp;CHAR(RANDBETWEEN(65,90))&amp;CHAR(RANDBETWEEN(65,90))</f>
        <v>QALASTNAMEDA</v>
      </c>
      <c r="FS2" s="147" t="str">
        <f ca="1">TEXT(DATE(YEAR(TODAY())-DK2,MONTH(TODAY()),DAY(TODAY())),"MM/DD/YYYY")</f>
        <v>09/01/1916</v>
      </c>
      <c r="FT2" s="147"/>
      <c r="FU2" s="147" t="str">
        <f ca="1">TEXT(DATE(YEAR(TODAY())-DN2,MONTH(TODAY()),DAY(TODAY())),"MM/DD/YYYY")</f>
        <v>09/01/2008</v>
      </c>
      <c r="FV2" s="156" t="s">
        <v>791</v>
      </c>
      <c r="FW2" s="156" t="s">
        <v>813</v>
      </c>
      <c r="FX2" s="156" t="s">
        <v>812</v>
      </c>
      <c r="FY2" s="156" t="s">
        <v>819</v>
      </c>
      <c r="FZ2" s="156" t="s">
        <v>817</v>
      </c>
      <c r="GA2" s="156" t="s">
        <v>792</v>
      </c>
      <c r="GB2" s="156" t="s">
        <v>483</v>
      </c>
      <c r="GC2" s="156" t="s">
        <v>793</v>
      </c>
      <c r="GD2" s="158" t="s">
        <v>794</v>
      </c>
      <c r="GE2" s="158" t="s">
        <v>101</v>
      </c>
      <c r="GF2" s="156" t="s">
        <v>795</v>
      </c>
      <c r="GG2" s="147" t="s">
        <v>796</v>
      </c>
      <c r="GH2" s="156" t="s">
        <v>797</v>
      </c>
      <c r="GI2" s="156"/>
      <c r="GJ2" s="156" t="s">
        <v>106</v>
      </c>
      <c r="GK2" s="156" t="s">
        <v>798</v>
      </c>
      <c r="GL2" s="159"/>
      <c r="GM2" s="159"/>
      <c r="GN2" s="159"/>
      <c r="GO2" s="159"/>
      <c r="GP2" s="159"/>
      <c r="GQ2" s="159"/>
      <c r="GR2" s="159"/>
      <c r="GS2" s="159"/>
      <c r="GT2" s="159"/>
      <c r="GU2" s="159"/>
      <c r="GV2" s="159"/>
      <c r="GW2" s="159"/>
      <c r="GX2" s="159"/>
      <c r="GY2" s="159"/>
      <c r="GZ2" s="159"/>
      <c r="HA2" s="159"/>
      <c r="HB2" s="159"/>
      <c r="HC2" s="159"/>
      <c r="HD2" s="159"/>
      <c r="HE2" s="159"/>
      <c r="HF2" s="159"/>
      <c r="HG2" s="159"/>
      <c r="HH2" s="159"/>
      <c r="HI2" s="159"/>
      <c r="HJ2" s="159"/>
      <c r="HK2" s="159"/>
      <c r="HL2" s="159"/>
      <c r="HM2" s="159"/>
      <c r="HN2" s="159"/>
      <c r="HO2" s="159"/>
      <c r="HP2" s="159"/>
      <c r="HQ2" s="159"/>
      <c r="HR2" s="159"/>
      <c r="HS2" s="159"/>
      <c r="HT2" s="159"/>
      <c r="HU2" s="159"/>
      <c r="HV2" s="159"/>
      <c r="HW2" s="159"/>
      <c r="HX2" s="159"/>
      <c r="HY2" s="159"/>
      <c r="HZ2" s="159"/>
      <c r="IA2" s="159"/>
      <c r="IB2" s="159"/>
      <c r="IC2" s="159"/>
      <c r="ID2" s="159"/>
      <c r="IE2" s="159"/>
      <c r="IF2" s="159"/>
      <c r="IG2" s="159"/>
      <c r="IH2" s="159"/>
      <c r="II2" s="147"/>
      <c r="IJ2" s="147"/>
      <c r="IK2" s="147"/>
      <c r="IL2" s="147"/>
    </row>
    <row r="6" spans="1:246">
      <c r="A6" s="173"/>
    </row>
  </sheetData>
  <conditionalFormatting sqref="A2:D2">
    <cfRule type="cellIs" dxfId="57" priority="11" stopIfTrue="1" operator="equal">
      <formula>"N"</formula>
    </cfRule>
    <cfRule type="cellIs" dxfId="56" priority="12" stopIfTrue="1" operator="equal">
      <formula>"Y"</formula>
    </cfRule>
  </conditionalFormatting>
  <conditionalFormatting sqref="E1:E2">
    <cfRule type="cellIs" dxfId="55" priority="23" stopIfTrue="1" operator="equal">
      <formula>"N"</formula>
    </cfRule>
    <cfRule type="cellIs" dxfId="54" priority="24" stopIfTrue="1" operator="equal">
      <formula>"Y"</formula>
    </cfRule>
  </conditionalFormatting>
  <hyperlinks>
    <hyperlink ref="AV2" r:id="rId1" display="qa@travelguard.com" xr:uid="{F558021A-6BA8-4EA7-8974-9500D6A539BD}"/>
    <hyperlink ref="AX2" r:id="rId2" display="qa@travelguard.com" xr:uid="{9ADBB2AB-B0F3-4EF7-9FA2-8A62E6CA6A09}"/>
    <hyperlink ref="BA2" r:id="rId3" display="qa@travelguard.com" xr:uid="{BD314BA4-A718-49B9-BF07-B96DB1CDBA7C}"/>
    <hyperlink ref="GE2" r:id="rId4" display="qa@travelex.com" xr:uid="{4DE3D1BE-6527-4969-9D6A-B8E2DE23C737}"/>
    <hyperlink ref="GD2" r:id="rId5" display="qa@travelex.com" xr:uid="{A1A11BF5-5B12-4161-A3AD-83B9BE5EAF3A}"/>
    <hyperlink ref="H2" r:id="rId6" display="https://owneradvantage.uat.insurancebytravelex.com/" xr:uid="{52BD446A-6090-476D-A8F0-34CFD99F301F}"/>
  </hyperlinks>
  <pageMargins left="0.7" right="0.7" top="0.75" bottom="0.75" header="0.3" footer="0.3"/>
  <pageSetup orientation="portrait" r:id="rId7"/>
  <headerFooter>
    <oddFooter>&amp;L_x000D_&amp;1#&amp;"Aptos"&amp;10&amp;K000000 INTERNAL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00EA9-CC43-4DBC-B3D0-04E835EC3007}">
  <sheetPr>
    <tabColor theme="6"/>
    <outlinePr summaryBelow="0"/>
  </sheetPr>
  <dimension ref="A1:Z232"/>
  <sheetViews>
    <sheetView showGridLines="0" zoomScale="88" zoomScaleNormal="88" workbookViewId="0">
      <pane ySplit="1" topLeftCell="A207" activePane="bottomLeft" state="frozen"/>
      <selection activeCell="E20" sqref="E20"/>
      <selection pane="bottomLeft" activeCell="A84" sqref="A84:XFD84"/>
    </sheetView>
  </sheetViews>
  <sheetFormatPr defaultColWidth="9.140625" defaultRowHeight="12.75" outlineLevelRow="1"/>
  <cols>
    <col min="1" max="1" width="27.42578125" style="13" customWidth="1"/>
    <col min="2" max="2" width="12.42578125" style="14" bestFit="1" customWidth="1"/>
    <col min="3" max="3" width="23.140625" style="13" customWidth="1"/>
    <col min="4" max="4" width="8.5703125" style="13" customWidth="1"/>
    <col min="5" max="5" width="10.85546875" style="13" customWidth="1"/>
    <col min="6" max="6" width="10.42578125" style="13" customWidth="1"/>
    <col min="7" max="7" width="22.140625" style="13" bestFit="1" customWidth="1"/>
    <col min="8" max="9" width="9.140625" style="13"/>
    <col min="10" max="10" width="62.5703125" style="13" bestFit="1" customWidth="1"/>
    <col min="11" max="11" width="9.140625" style="13"/>
    <col min="12" max="12" width="14.140625" style="13" bestFit="1" customWidth="1"/>
    <col min="13" max="13" width="19" style="13" customWidth="1"/>
    <col min="14" max="14" width="15.5703125" style="13" bestFit="1" customWidth="1"/>
    <col min="15" max="15" width="7.85546875" style="13" customWidth="1"/>
    <col min="16" max="16" width="9.5703125" style="13" bestFit="1" customWidth="1"/>
    <col min="17" max="17" width="9.85546875" style="13" bestFit="1" customWidth="1"/>
    <col min="18" max="18" width="20.140625" style="13" customWidth="1"/>
    <col min="19" max="19" width="22.85546875" style="13" bestFit="1" customWidth="1"/>
    <col min="20" max="20" width="12" style="13" bestFit="1" customWidth="1"/>
    <col min="21" max="21" width="8.42578125" style="13" bestFit="1" customWidth="1"/>
    <col min="22" max="22" width="5.85546875" style="13" bestFit="1" customWidth="1"/>
    <col min="23" max="23" width="9" style="13" bestFit="1" customWidth="1"/>
    <col min="24" max="24" width="8.42578125" style="13" bestFit="1" customWidth="1"/>
    <col min="25" max="25" width="7.85546875" style="13" bestFit="1" customWidth="1"/>
    <col min="26" max="16384" width="9.140625" style="9"/>
  </cols>
  <sheetData>
    <row r="1" spans="1:26">
      <c r="A1" s="29" t="s">
        <v>5</v>
      </c>
      <c r="B1" s="7" t="s">
        <v>28</v>
      </c>
      <c r="C1" s="7" t="s">
        <v>29</v>
      </c>
      <c r="D1" s="7" t="s">
        <v>1</v>
      </c>
      <c r="E1" s="7" t="s">
        <v>26</v>
      </c>
      <c r="F1" s="8" t="s">
        <v>53</v>
      </c>
      <c r="G1" s="7" t="s">
        <v>27</v>
      </c>
      <c r="H1" s="7" t="s">
        <v>47</v>
      </c>
      <c r="I1" s="7" t="s">
        <v>42</v>
      </c>
      <c r="J1" s="7" t="s">
        <v>43</v>
      </c>
      <c r="K1" s="7" t="s">
        <v>30</v>
      </c>
      <c r="L1" s="7" t="s">
        <v>31</v>
      </c>
      <c r="M1" s="7" t="s">
        <v>7</v>
      </c>
      <c r="N1" s="7" t="s">
        <v>44</v>
      </c>
      <c r="O1" s="7" t="s">
        <v>46</v>
      </c>
      <c r="P1" s="7" t="s">
        <v>52</v>
      </c>
      <c r="Q1" s="7" t="s">
        <v>51</v>
      </c>
      <c r="R1" s="7" t="s">
        <v>45</v>
      </c>
      <c r="S1" s="7" t="s">
        <v>32</v>
      </c>
      <c r="T1" s="7" t="s">
        <v>48</v>
      </c>
      <c r="U1" s="7" t="s">
        <v>41</v>
      </c>
      <c r="V1" s="7" t="s">
        <v>129</v>
      </c>
      <c r="W1" s="7" t="s">
        <v>11</v>
      </c>
      <c r="X1" s="7" t="s">
        <v>49</v>
      </c>
      <c r="Y1" s="7" t="s">
        <v>50</v>
      </c>
      <c r="Z1" s="7" t="s">
        <v>3</v>
      </c>
    </row>
    <row r="2" spans="1:26" ht="12.6" customHeight="1">
      <c r="A2" s="30" t="s">
        <v>130</v>
      </c>
      <c r="B2" s="31"/>
      <c r="C2" s="31"/>
      <c r="D2" s="32"/>
      <c r="E2" s="32"/>
      <c r="F2" s="31"/>
      <c r="G2" s="32"/>
      <c r="H2" s="32"/>
      <c r="I2" s="32"/>
      <c r="J2" s="32"/>
      <c r="K2" s="31"/>
      <c r="L2" s="32"/>
      <c r="M2" s="32"/>
      <c r="N2" s="32"/>
      <c r="O2" s="32"/>
      <c r="P2" s="32"/>
      <c r="Q2" s="32"/>
      <c r="R2" s="32"/>
      <c r="S2" s="32"/>
      <c r="T2" s="32"/>
      <c r="U2" s="32"/>
      <c r="V2" s="32"/>
      <c r="W2" s="32"/>
      <c r="X2" s="32"/>
      <c r="Y2" s="32"/>
      <c r="Z2" s="32"/>
    </row>
    <row r="3" spans="1:26" outlineLevel="1">
      <c r="A3" s="53" t="str">
        <f>IF(OR(Global!B25="N"),"N","bln680505")</f>
        <v>N</v>
      </c>
      <c r="B3" s="198">
        <f>COUNTA($B$1:B2)</f>
        <v>1</v>
      </c>
      <c r="C3" s="35" t="s">
        <v>132</v>
      </c>
      <c r="D3" s="35"/>
      <c r="E3" s="35"/>
      <c r="F3" s="34"/>
      <c r="G3" s="35" t="s">
        <v>133</v>
      </c>
      <c r="H3" s="35"/>
      <c r="I3" s="35"/>
      <c r="J3" s="35"/>
      <c r="K3" s="69"/>
      <c r="L3" s="35" t="s">
        <v>67</v>
      </c>
      <c r="M3" s="36">
        <v>1</v>
      </c>
      <c r="N3" s="35"/>
      <c r="O3" s="35" t="s">
        <v>2</v>
      </c>
      <c r="P3" s="35"/>
      <c r="Q3" s="35"/>
      <c r="R3" s="35" t="s">
        <v>57</v>
      </c>
      <c r="S3" s="35"/>
      <c r="T3" s="35"/>
      <c r="U3" s="35"/>
      <c r="V3" s="35"/>
      <c r="W3" s="35"/>
      <c r="X3" s="35"/>
      <c r="Y3" s="35"/>
      <c r="Z3" s="35"/>
    </row>
    <row r="4" spans="1:26" outlineLevel="1">
      <c r="A4" s="53" t="str">
        <f>IF(OR(Global!B25="N"),"N","bln680505")</f>
        <v>N</v>
      </c>
      <c r="B4" s="198">
        <f>COUNTA($B$1:B3)</f>
        <v>2</v>
      </c>
      <c r="C4" s="35" t="s">
        <v>947</v>
      </c>
      <c r="D4" s="35"/>
      <c r="E4" s="35"/>
      <c r="F4" s="34"/>
      <c r="G4" s="35" t="s">
        <v>133</v>
      </c>
      <c r="H4" s="35" t="s">
        <v>134</v>
      </c>
      <c r="I4" s="35"/>
      <c r="J4" s="35"/>
      <c r="K4" s="69"/>
      <c r="L4" s="35" t="s">
        <v>33</v>
      </c>
      <c r="M4" s="36" t="str">
        <f>"URL:="&amp;R3&amp;";;HEADLESS:=TRUE"</f>
        <v>URL:=DT_URL;;HEADLESS:=TRUE</v>
      </c>
      <c r="N4" s="35"/>
      <c r="O4" s="35"/>
      <c r="P4" s="35"/>
      <c r="Q4" s="35">
        <v>60</v>
      </c>
      <c r="R4" s="35"/>
      <c r="S4" s="35"/>
      <c r="T4" s="35"/>
      <c r="U4" s="35"/>
      <c r="V4" s="35"/>
      <c r="W4" s="35"/>
      <c r="X4" s="35"/>
      <c r="Y4" s="35"/>
      <c r="Z4" s="35"/>
    </row>
    <row r="5" spans="1:26">
      <c r="A5" s="33" t="str">
        <f>IF(OR(Global!B25="Y"),"N","bln680505")</f>
        <v>bln680505</v>
      </c>
      <c r="B5" s="198">
        <f>COUNTA($B$1:B4)</f>
        <v>3</v>
      </c>
      <c r="C5" s="35" t="s">
        <v>132</v>
      </c>
      <c r="D5" s="35"/>
      <c r="E5" s="35"/>
      <c r="F5" s="34"/>
      <c r="G5" s="35" t="s">
        <v>133</v>
      </c>
      <c r="H5" s="35" t="s">
        <v>134</v>
      </c>
      <c r="I5" s="35"/>
      <c r="J5" s="35"/>
      <c r="K5" s="34"/>
      <c r="L5" s="35" t="s">
        <v>33</v>
      </c>
      <c r="M5" s="36" t="s">
        <v>57</v>
      </c>
      <c r="N5" s="35"/>
      <c r="O5" s="35"/>
      <c r="P5" s="35"/>
      <c r="Q5" s="35">
        <v>60</v>
      </c>
      <c r="R5" s="35"/>
      <c r="S5" s="35"/>
      <c r="T5" s="35"/>
      <c r="U5" s="35"/>
      <c r="V5" s="35"/>
      <c r="W5" s="35"/>
      <c r="X5" s="35"/>
      <c r="Y5" s="35"/>
      <c r="Z5" s="35"/>
    </row>
    <row r="6" spans="1:26">
      <c r="A6" s="37" t="s">
        <v>21</v>
      </c>
      <c r="B6" s="34">
        <f>COUNTA($B$1:B5)</f>
        <v>4</v>
      </c>
      <c r="C6" s="37" t="s">
        <v>67</v>
      </c>
      <c r="D6" s="37"/>
      <c r="E6" s="37"/>
      <c r="F6" s="37"/>
      <c r="G6" s="35" t="s">
        <v>133</v>
      </c>
      <c r="H6" s="37"/>
      <c r="I6" s="37"/>
      <c r="J6" s="37"/>
      <c r="K6" s="38"/>
      <c r="L6" s="37" t="s">
        <v>67</v>
      </c>
      <c r="M6" s="37">
        <v>5</v>
      </c>
      <c r="N6" s="37"/>
      <c r="O6" s="37"/>
      <c r="P6" s="37"/>
      <c r="Q6" s="37"/>
      <c r="R6" s="39"/>
      <c r="S6" s="37"/>
      <c r="T6" s="37"/>
      <c r="U6" s="37"/>
      <c r="V6" s="37"/>
      <c r="W6" s="37"/>
      <c r="X6" s="37"/>
      <c r="Y6" s="37"/>
      <c r="Z6" s="35"/>
    </row>
    <row r="7" spans="1:26">
      <c r="A7" s="37" t="s">
        <v>21</v>
      </c>
      <c r="B7" s="34">
        <f>COUNTA($B$1:B6)</f>
        <v>5</v>
      </c>
      <c r="C7" s="37" t="s">
        <v>68</v>
      </c>
      <c r="D7" s="37"/>
      <c r="E7" s="37"/>
      <c r="F7" s="37"/>
      <c r="G7" s="35" t="s">
        <v>133</v>
      </c>
      <c r="H7" s="37"/>
      <c r="I7" s="37" t="s">
        <v>55</v>
      </c>
      <c r="J7" s="37" t="s">
        <v>71</v>
      </c>
      <c r="K7" s="38">
        <v>0</v>
      </c>
      <c r="L7" s="37" t="s">
        <v>0</v>
      </c>
      <c r="M7" s="37" t="s">
        <v>74</v>
      </c>
      <c r="N7" s="37"/>
      <c r="O7" s="37" t="s">
        <v>2</v>
      </c>
      <c r="P7" s="37"/>
      <c r="Q7" s="40">
        <v>5</v>
      </c>
      <c r="R7" s="39"/>
      <c r="S7" s="37"/>
      <c r="T7" s="37"/>
      <c r="U7" s="37"/>
      <c r="V7" s="37"/>
      <c r="W7" s="37"/>
      <c r="X7" s="37"/>
      <c r="Y7" s="37"/>
      <c r="Z7" s="35"/>
    </row>
    <row r="8" spans="1:26">
      <c r="A8" s="37" t="s">
        <v>21</v>
      </c>
      <c r="B8" s="34">
        <f>COUNTA($B$1:B7)</f>
        <v>6</v>
      </c>
      <c r="C8" s="37" t="s">
        <v>69</v>
      </c>
      <c r="D8" s="37"/>
      <c r="E8" s="37"/>
      <c r="F8" s="37"/>
      <c r="G8" s="35" t="s">
        <v>133</v>
      </c>
      <c r="H8" s="37"/>
      <c r="I8" s="37" t="s">
        <v>55</v>
      </c>
      <c r="J8" s="37" t="s">
        <v>72</v>
      </c>
      <c r="K8" s="38">
        <v>0</v>
      </c>
      <c r="L8" s="37" t="s">
        <v>0</v>
      </c>
      <c r="M8" s="37" t="s">
        <v>75</v>
      </c>
      <c r="N8" s="37"/>
      <c r="O8" s="37" t="s">
        <v>2</v>
      </c>
      <c r="P8" s="37"/>
      <c r="Q8" s="37"/>
      <c r="R8" s="39"/>
      <c r="S8" s="37"/>
      <c r="T8" s="37"/>
      <c r="U8" s="37"/>
      <c r="V8" s="37"/>
      <c r="W8" s="37"/>
      <c r="X8" s="37"/>
      <c r="Y8" s="37"/>
      <c r="Z8" s="35"/>
    </row>
    <row r="9" spans="1:26">
      <c r="A9" s="37" t="s">
        <v>21</v>
      </c>
      <c r="B9" s="34">
        <f>COUNTA($B$1:B8)</f>
        <v>7</v>
      </c>
      <c r="C9" s="37" t="s">
        <v>70</v>
      </c>
      <c r="D9" s="37"/>
      <c r="E9" s="37"/>
      <c r="F9" s="37"/>
      <c r="G9" s="35" t="s">
        <v>133</v>
      </c>
      <c r="H9" s="37"/>
      <c r="I9" s="37" t="s">
        <v>55</v>
      </c>
      <c r="J9" s="37" t="s">
        <v>73</v>
      </c>
      <c r="K9" s="38">
        <v>0</v>
      </c>
      <c r="L9" s="37" t="s">
        <v>34</v>
      </c>
      <c r="M9" s="37"/>
      <c r="N9" s="37"/>
      <c r="O9" s="37" t="s">
        <v>2</v>
      </c>
      <c r="P9" s="37"/>
      <c r="Q9" s="37"/>
      <c r="R9" s="39"/>
      <c r="S9" s="37"/>
      <c r="T9" s="37"/>
      <c r="U9" s="37"/>
      <c r="V9" s="37"/>
      <c r="W9" s="37"/>
      <c r="X9" s="37"/>
      <c r="Y9" s="37"/>
      <c r="Z9" s="35"/>
    </row>
    <row r="10" spans="1:26">
      <c r="A10" s="37" t="s">
        <v>21</v>
      </c>
      <c r="B10" s="34">
        <f>COUNTA($B$1:B9)</f>
        <v>8</v>
      </c>
      <c r="C10" s="37" t="s">
        <v>67</v>
      </c>
      <c r="D10" s="37"/>
      <c r="E10" s="37"/>
      <c r="F10" s="37"/>
      <c r="G10" s="35" t="s">
        <v>133</v>
      </c>
      <c r="H10" s="37"/>
      <c r="I10" s="37"/>
      <c r="J10" s="37"/>
      <c r="K10" s="38"/>
      <c r="L10" s="37" t="s">
        <v>67</v>
      </c>
      <c r="M10" s="37">
        <v>5</v>
      </c>
      <c r="N10" s="37"/>
      <c r="O10" s="37"/>
      <c r="P10" s="37"/>
      <c r="Q10" s="37"/>
      <c r="R10" s="39"/>
      <c r="S10" s="37"/>
      <c r="T10" s="37"/>
      <c r="U10" s="37"/>
      <c r="V10" s="37"/>
      <c r="W10" s="37"/>
      <c r="X10" s="37"/>
      <c r="Y10" s="37"/>
      <c r="Z10" s="35"/>
    </row>
    <row r="11" spans="1:26" ht="12.75" customHeight="1">
      <c r="A11" s="30" t="s">
        <v>135</v>
      </c>
      <c r="B11" s="31"/>
      <c r="C11" s="31"/>
      <c r="D11" s="32"/>
      <c r="E11" s="32"/>
      <c r="F11" s="31"/>
      <c r="G11" s="32"/>
      <c r="H11" s="32"/>
      <c r="I11" s="32"/>
      <c r="J11" s="32"/>
      <c r="K11" s="31"/>
      <c r="L11" s="32"/>
      <c r="M11" s="32"/>
      <c r="N11" s="32"/>
      <c r="O11" s="32"/>
      <c r="P11" s="32"/>
      <c r="Q11" s="32"/>
      <c r="R11" s="32"/>
      <c r="S11" s="32"/>
      <c r="T11" s="32"/>
      <c r="U11" s="32"/>
      <c r="V11" s="32"/>
      <c r="W11" s="32"/>
      <c r="X11" s="32"/>
      <c r="Y11" s="32"/>
      <c r="Z11" s="32"/>
    </row>
    <row r="12" spans="1:26">
      <c r="A12" s="33" t="s">
        <v>412</v>
      </c>
      <c r="B12" s="34">
        <f>COUNTA($B$1:B11)</f>
        <v>9</v>
      </c>
      <c r="C12" s="41" t="s">
        <v>136</v>
      </c>
      <c r="D12" s="41"/>
      <c r="E12" s="41"/>
      <c r="F12" s="42"/>
      <c r="G12" s="35" t="s">
        <v>133</v>
      </c>
      <c r="H12" s="41"/>
      <c r="I12" s="41"/>
      <c r="J12" s="41"/>
      <c r="K12" s="42"/>
      <c r="L12" s="43" t="s">
        <v>137</v>
      </c>
      <c r="M12" s="44" t="s">
        <v>138</v>
      </c>
      <c r="N12" s="41"/>
      <c r="O12" s="41"/>
      <c r="P12" s="41"/>
      <c r="Q12" s="42"/>
      <c r="R12" s="41"/>
      <c r="S12" s="41"/>
      <c r="T12" s="41"/>
      <c r="U12" s="41"/>
      <c r="V12" s="41"/>
      <c r="W12" s="41" t="s">
        <v>139</v>
      </c>
      <c r="X12" s="41"/>
      <c r="Y12" s="41"/>
      <c r="Z12" s="41"/>
    </row>
    <row r="13" spans="1:26">
      <c r="A13" s="45" t="s">
        <v>412</v>
      </c>
      <c r="B13" s="34">
        <f>COUNTA($B$1:B12)</f>
        <v>10</v>
      </c>
      <c r="C13" s="46" t="s">
        <v>140</v>
      </c>
      <c r="D13" s="46"/>
      <c r="E13" s="46"/>
      <c r="F13" s="47"/>
      <c r="G13" s="46" t="s">
        <v>133</v>
      </c>
      <c r="H13" s="46"/>
      <c r="I13" s="46" t="s">
        <v>55</v>
      </c>
      <c r="J13" s="46" t="s">
        <v>141</v>
      </c>
      <c r="K13" s="47"/>
      <c r="L13" s="46" t="s">
        <v>142</v>
      </c>
      <c r="M13" s="48"/>
      <c r="N13" s="46"/>
      <c r="O13" s="46" t="s">
        <v>2</v>
      </c>
      <c r="P13" s="46"/>
      <c r="Q13" s="46"/>
      <c r="R13" s="49"/>
      <c r="S13" s="46"/>
      <c r="T13" s="46"/>
      <c r="U13" s="46"/>
      <c r="V13" s="46"/>
      <c r="W13" s="46"/>
      <c r="X13" s="46"/>
      <c r="Y13" s="46"/>
      <c r="Z13" s="46"/>
    </row>
    <row r="14" spans="1:26" s="19" customFormat="1" outlineLevel="1">
      <c r="A14" s="45" t="s">
        <v>412</v>
      </c>
      <c r="B14" s="34">
        <f>COUNTA($B$1:B13)</f>
        <v>11</v>
      </c>
      <c r="C14" s="46" t="s">
        <v>143</v>
      </c>
      <c r="D14" s="46"/>
      <c r="E14" s="46"/>
      <c r="F14" s="47"/>
      <c r="G14" s="46" t="s">
        <v>133</v>
      </c>
      <c r="H14" s="46"/>
      <c r="I14" s="46" t="s">
        <v>55</v>
      </c>
      <c r="J14" s="46" t="s">
        <v>141</v>
      </c>
      <c r="K14" s="47"/>
      <c r="L14" s="46" t="s">
        <v>98</v>
      </c>
      <c r="M14" s="48"/>
      <c r="N14" s="46" t="s">
        <v>99</v>
      </c>
      <c r="O14" s="46" t="s">
        <v>2</v>
      </c>
      <c r="P14" s="46"/>
      <c r="Q14" s="46"/>
      <c r="R14" s="49" t="s">
        <v>144</v>
      </c>
      <c r="S14" s="46"/>
      <c r="T14" s="46"/>
      <c r="U14" s="46"/>
      <c r="V14" s="46"/>
      <c r="W14" s="46"/>
      <c r="X14" s="46"/>
      <c r="Y14" s="46"/>
      <c r="Z14" s="46"/>
    </row>
    <row r="15" spans="1:26" s="19" customFormat="1" outlineLevel="1">
      <c r="A15" s="45" t="s">
        <v>412</v>
      </c>
      <c r="B15" s="34">
        <f>COUNTA($B$1:B14)</f>
        <v>12</v>
      </c>
      <c r="C15" s="46" t="s">
        <v>145</v>
      </c>
      <c r="D15" s="46"/>
      <c r="E15" s="46"/>
      <c r="F15" s="47"/>
      <c r="G15" s="46" t="s">
        <v>133</v>
      </c>
      <c r="H15" s="46"/>
      <c r="I15" s="46" t="s">
        <v>55</v>
      </c>
      <c r="J15" s="46" t="s">
        <v>146</v>
      </c>
      <c r="K15" s="47"/>
      <c r="L15" s="46" t="s">
        <v>147</v>
      </c>
      <c r="M15" s="48"/>
      <c r="N15" s="46"/>
      <c r="O15" s="46" t="s">
        <v>2</v>
      </c>
      <c r="P15" s="46"/>
      <c r="Q15" s="46"/>
      <c r="R15" s="48"/>
      <c r="S15" s="46"/>
      <c r="T15" s="46"/>
      <c r="U15" s="46"/>
      <c r="V15" s="46"/>
      <c r="W15" s="46"/>
      <c r="X15" s="46"/>
      <c r="Y15" s="46"/>
      <c r="Z15" s="46"/>
    </row>
    <row r="16" spans="1:26" s="19" customFormat="1" outlineLevel="1">
      <c r="A16" s="33" t="s">
        <v>412</v>
      </c>
      <c r="B16" s="34">
        <f>COUNTA($B$1:B15)</f>
        <v>13</v>
      </c>
      <c r="C16" s="35" t="s">
        <v>102</v>
      </c>
      <c r="D16" s="35"/>
      <c r="E16" s="35"/>
      <c r="F16" s="34"/>
      <c r="G16" s="35" t="s">
        <v>133</v>
      </c>
      <c r="H16" s="35"/>
      <c r="I16" s="35" t="s">
        <v>55</v>
      </c>
      <c r="J16" s="35" t="str">
        <f>"//label[contains(.,'"&amp;W12&amp;"')]"</f>
        <v>//label[contains(.,'tripType')]</v>
      </c>
      <c r="K16" s="34">
        <v>0</v>
      </c>
      <c r="L16" s="35" t="s">
        <v>147</v>
      </c>
      <c r="M16" s="35"/>
      <c r="N16" s="35"/>
      <c r="O16" s="35"/>
      <c r="P16" s="35"/>
      <c r="Q16" s="35"/>
      <c r="R16" s="35"/>
      <c r="S16" s="35"/>
      <c r="T16" s="35"/>
      <c r="U16" s="35"/>
      <c r="V16" s="35"/>
      <c r="W16" s="35"/>
      <c r="X16" s="35"/>
      <c r="Y16" s="35"/>
      <c r="Z16" s="35"/>
    </row>
    <row r="17" spans="1:26" s="19" customFormat="1" outlineLevel="1">
      <c r="A17" s="33" t="s">
        <v>412</v>
      </c>
      <c r="B17" s="34">
        <f>COUNTA($B$1:B16)</f>
        <v>14</v>
      </c>
      <c r="C17" s="35" t="s">
        <v>148</v>
      </c>
      <c r="D17" s="35"/>
      <c r="E17" s="35"/>
      <c r="F17" s="34"/>
      <c r="G17" s="35" t="s">
        <v>133</v>
      </c>
      <c r="H17" s="35"/>
      <c r="I17" s="35" t="s">
        <v>55</v>
      </c>
      <c r="J17" s="35" t="s">
        <v>149</v>
      </c>
      <c r="K17" s="34">
        <v>0</v>
      </c>
      <c r="L17" s="35" t="s">
        <v>34</v>
      </c>
      <c r="M17" s="35"/>
      <c r="N17" s="35"/>
      <c r="O17" s="35"/>
      <c r="P17" s="35"/>
      <c r="Q17" s="35"/>
      <c r="R17" s="35"/>
      <c r="S17" s="35"/>
      <c r="T17" s="35"/>
      <c r="U17" s="35"/>
      <c r="V17" s="35"/>
      <c r="W17" s="35"/>
      <c r="X17" s="35"/>
      <c r="Y17" s="35"/>
      <c r="Z17" s="35"/>
    </row>
    <row r="18" spans="1:26" s="19" customFormat="1" outlineLevel="1">
      <c r="A18" s="33" t="s">
        <v>412</v>
      </c>
      <c r="B18" s="34">
        <f>COUNTA($B$1:B17)</f>
        <v>15</v>
      </c>
      <c r="C18" s="35" t="s">
        <v>67</v>
      </c>
      <c r="D18" s="35"/>
      <c r="E18" s="35"/>
      <c r="F18" s="34"/>
      <c r="G18" s="35" t="s">
        <v>133</v>
      </c>
      <c r="H18" s="35"/>
      <c r="I18" s="35"/>
      <c r="J18" s="35"/>
      <c r="K18" s="34"/>
      <c r="L18" s="35" t="s">
        <v>67</v>
      </c>
      <c r="M18" s="36">
        <v>2</v>
      </c>
      <c r="N18" s="35"/>
      <c r="O18" s="35"/>
      <c r="P18" s="35"/>
      <c r="Q18" s="35"/>
      <c r="R18" s="35"/>
      <c r="S18" s="35"/>
      <c r="T18" s="35"/>
      <c r="U18" s="35"/>
      <c r="V18" s="35"/>
      <c r="W18" s="35"/>
      <c r="X18" s="35"/>
      <c r="Y18" s="35"/>
      <c r="Z18" s="35"/>
    </row>
    <row r="19" spans="1:26" s="19" customFormat="1" outlineLevel="1">
      <c r="A19" s="33" t="s">
        <v>412</v>
      </c>
      <c r="B19" s="34">
        <f>COUNTA($B$1:B18)</f>
        <v>16</v>
      </c>
      <c r="C19" s="35" t="s">
        <v>150</v>
      </c>
      <c r="D19" s="35"/>
      <c r="E19" s="35"/>
      <c r="F19" s="34"/>
      <c r="G19" s="35" t="s">
        <v>133</v>
      </c>
      <c r="H19" s="35"/>
      <c r="I19" s="35" t="s">
        <v>55</v>
      </c>
      <c r="J19" s="35" t="s">
        <v>149</v>
      </c>
      <c r="K19" s="34">
        <v>0</v>
      </c>
      <c r="L19" s="35" t="s">
        <v>151</v>
      </c>
      <c r="M19" s="50" t="s">
        <v>152</v>
      </c>
      <c r="N19" s="35"/>
      <c r="O19" s="35"/>
      <c r="P19" s="35"/>
      <c r="Q19" s="35"/>
      <c r="R19" s="35"/>
      <c r="S19" s="35"/>
      <c r="T19" s="35"/>
      <c r="U19" s="35"/>
      <c r="V19" s="35"/>
      <c r="W19" s="35"/>
      <c r="X19" s="35"/>
      <c r="Y19" s="35"/>
      <c r="Z19" s="35"/>
    </row>
    <row r="20" spans="1:26" s="19" customFormat="1" outlineLevel="1">
      <c r="A20" s="33" t="s">
        <v>412</v>
      </c>
      <c r="B20" s="34">
        <f>COUNTA($B$1:B19)</f>
        <v>17</v>
      </c>
      <c r="C20" s="35" t="s">
        <v>67</v>
      </c>
      <c r="D20" s="35"/>
      <c r="E20" s="35"/>
      <c r="F20" s="34"/>
      <c r="G20" s="35" t="s">
        <v>133</v>
      </c>
      <c r="H20" s="35"/>
      <c r="I20" s="35"/>
      <c r="J20" s="35"/>
      <c r="K20" s="34"/>
      <c r="L20" s="35" t="s">
        <v>67</v>
      </c>
      <c r="M20" s="36">
        <v>2</v>
      </c>
      <c r="N20" s="35"/>
      <c r="O20" s="35"/>
      <c r="P20" s="35"/>
      <c r="Q20" s="35"/>
      <c r="R20" s="35"/>
      <c r="S20" s="35"/>
      <c r="T20" s="35"/>
      <c r="U20" s="35"/>
      <c r="V20" s="35"/>
      <c r="W20" s="35"/>
      <c r="X20" s="35"/>
      <c r="Y20" s="35"/>
      <c r="Z20" s="35"/>
    </row>
    <row r="21" spans="1:26" s="19" customFormat="1" outlineLevel="1">
      <c r="A21" s="33" t="s">
        <v>412</v>
      </c>
      <c r="B21" s="34">
        <f>COUNTA($B$1:B20)</f>
        <v>18</v>
      </c>
      <c r="C21" s="35" t="s">
        <v>148</v>
      </c>
      <c r="D21" s="35"/>
      <c r="E21" s="35"/>
      <c r="F21" s="42"/>
      <c r="G21" s="35" t="s">
        <v>133</v>
      </c>
      <c r="H21" s="35"/>
      <c r="I21" s="35" t="s">
        <v>55</v>
      </c>
      <c r="J21" s="35" t="str">
        <f>"//a[contains(.,'"&amp;M19&amp;"')]"</f>
        <v>//a[contains(.,'Destination')]</v>
      </c>
      <c r="K21" s="34">
        <v>0</v>
      </c>
      <c r="L21" s="35" t="s">
        <v>147</v>
      </c>
      <c r="M21" s="35"/>
      <c r="N21" s="35"/>
      <c r="O21" s="35"/>
      <c r="P21" s="35"/>
      <c r="Q21" s="35"/>
      <c r="R21" s="35"/>
      <c r="S21" s="35"/>
      <c r="T21" s="35"/>
      <c r="U21" s="35"/>
      <c r="V21" s="35"/>
      <c r="W21" s="35"/>
      <c r="X21" s="35"/>
      <c r="Y21" s="35"/>
      <c r="Z21" s="35"/>
    </row>
    <row r="22" spans="1:26" s="19" customFormat="1" outlineLevel="1">
      <c r="A22" s="33" t="s">
        <v>412</v>
      </c>
      <c r="B22" s="34">
        <f>COUNTA($B$1:B21)</f>
        <v>19</v>
      </c>
      <c r="C22" s="35" t="s">
        <v>153</v>
      </c>
      <c r="D22" s="51"/>
      <c r="E22" s="52" t="s">
        <v>154</v>
      </c>
      <c r="F22" s="38"/>
      <c r="G22" s="35" t="s">
        <v>133</v>
      </c>
      <c r="H22" s="35"/>
      <c r="I22" s="35" t="s">
        <v>55</v>
      </c>
      <c r="J22" s="35" t="s">
        <v>81</v>
      </c>
      <c r="K22" s="34">
        <v>0</v>
      </c>
      <c r="L22" s="35" t="s">
        <v>0</v>
      </c>
      <c r="M22" s="50" t="s">
        <v>155</v>
      </c>
      <c r="N22" s="35"/>
      <c r="O22" s="35"/>
      <c r="P22" s="35"/>
      <c r="Q22" s="35"/>
      <c r="R22" s="35"/>
      <c r="S22" s="52"/>
      <c r="T22" s="35"/>
      <c r="U22" s="35"/>
      <c r="V22" s="35"/>
      <c r="W22" s="35"/>
      <c r="X22" s="52"/>
      <c r="Y22" s="52"/>
      <c r="Z22" s="52"/>
    </row>
    <row r="23" spans="1:26" s="19" customFormat="1" outlineLevel="1">
      <c r="A23" s="33" t="s">
        <v>412</v>
      </c>
      <c r="B23" s="34">
        <f>COUNTA($B$1:B22)</f>
        <v>20</v>
      </c>
      <c r="C23" s="35" t="s">
        <v>156</v>
      </c>
      <c r="D23" s="51"/>
      <c r="E23" s="52" t="s">
        <v>154</v>
      </c>
      <c r="F23" s="38"/>
      <c r="G23" s="35" t="s">
        <v>133</v>
      </c>
      <c r="H23" s="35"/>
      <c r="I23" s="35" t="s">
        <v>55</v>
      </c>
      <c r="J23" s="35" t="s">
        <v>82</v>
      </c>
      <c r="K23" s="34">
        <v>0</v>
      </c>
      <c r="L23" s="35" t="s">
        <v>0</v>
      </c>
      <c r="M23" s="50" t="s">
        <v>157</v>
      </c>
      <c r="N23" s="35"/>
      <c r="O23" s="35"/>
      <c r="P23" s="35"/>
      <c r="Q23" s="35"/>
      <c r="R23" s="35"/>
      <c r="S23" s="52"/>
      <c r="T23" s="35"/>
      <c r="U23" s="35"/>
      <c r="V23" s="35"/>
      <c r="W23" s="35"/>
      <c r="X23" s="52"/>
      <c r="Y23" s="52"/>
      <c r="Z23" s="52"/>
    </row>
    <row r="24" spans="1:26" s="19" customFormat="1" outlineLevel="1">
      <c r="A24" s="33" t="s">
        <v>412</v>
      </c>
      <c r="B24" s="34">
        <f>COUNTA($B$1:B23)</f>
        <v>21</v>
      </c>
      <c r="C24" s="35" t="s">
        <v>158</v>
      </c>
      <c r="D24" s="51"/>
      <c r="E24" s="52" t="s">
        <v>154</v>
      </c>
      <c r="F24" s="38"/>
      <c r="G24" s="35" t="s">
        <v>133</v>
      </c>
      <c r="H24" s="35"/>
      <c r="I24" s="35" t="s">
        <v>55</v>
      </c>
      <c r="J24" s="35" t="s">
        <v>159</v>
      </c>
      <c r="K24" s="34">
        <v>0</v>
      </c>
      <c r="L24" s="35" t="s">
        <v>0</v>
      </c>
      <c r="M24" s="50" t="s">
        <v>160</v>
      </c>
      <c r="N24" s="35"/>
      <c r="O24" s="35"/>
      <c r="P24" s="35"/>
      <c r="Q24" s="35"/>
      <c r="R24" s="35"/>
      <c r="S24" s="52"/>
      <c r="T24" s="35"/>
      <c r="U24" s="35"/>
      <c r="V24" s="35"/>
      <c r="W24" s="35"/>
      <c r="X24" s="52"/>
      <c r="Y24" s="52"/>
      <c r="Z24" s="52"/>
    </row>
    <row r="25" spans="1:26" s="19" customFormat="1" outlineLevel="1">
      <c r="A25" s="33" t="s">
        <v>412</v>
      </c>
      <c r="B25" s="34">
        <f>COUNTA($B$1:B24)</f>
        <v>22</v>
      </c>
      <c r="C25" s="35" t="s">
        <v>161</v>
      </c>
      <c r="D25" s="35"/>
      <c r="E25" s="35"/>
      <c r="F25" s="34"/>
      <c r="G25" s="35" t="s">
        <v>133</v>
      </c>
      <c r="H25" s="35"/>
      <c r="I25" s="35" t="s">
        <v>55</v>
      </c>
      <c r="J25" s="35" t="s">
        <v>162</v>
      </c>
      <c r="K25" s="34">
        <v>0</v>
      </c>
      <c r="L25" s="35" t="s">
        <v>34</v>
      </c>
      <c r="M25" s="35"/>
      <c r="N25" s="35"/>
      <c r="O25" s="35"/>
      <c r="P25" s="35"/>
      <c r="Q25" s="35"/>
      <c r="R25" s="35"/>
      <c r="S25" s="35"/>
      <c r="T25" s="35"/>
      <c r="U25" s="35"/>
      <c r="V25" s="35"/>
      <c r="W25" s="35"/>
      <c r="X25" s="35"/>
      <c r="Y25" s="35"/>
      <c r="Z25" s="35"/>
    </row>
    <row r="26" spans="1:26" s="19" customFormat="1" outlineLevel="1">
      <c r="A26" s="33" t="s">
        <v>412</v>
      </c>
      <c r="B26" s="34">
        <f>COUNTA($B$1:B25)</f>
        <v>23</v>
      </c>
      <c r="C26" s="35" t="s">
        <v>67</v>
      </c>
      <c r="D26" s="35"/>
      <c r="E26" s="35"/>
      <c r="F26" s="34"/>
      <c r="G26" s="35" t="s">
        <v>133</v>
      </c>
      <c r="H26" s="35"/>
      <c r="I26" s="35"/>
      <c r="J26" s="35"/>
      <c r="K26" s="34"/>
      <c r="L26" s="35" t="s">
        <v>67</v>
      </c>
      <c r="M26" s="36">
        <v>2</v>
      </c>
      <c r="N26" s="35"/>
      <c r="O26" s="35"/>
      <c r="P26" s="35"/>
      <c r="Q26" s="35"/>
      <c r="R26" s="35"/>
      <c r="S26" s="35"/>
      <c r="T26" s="35"/>
      <c r="U26" s="35"/>
      <c r="V26" s="35"/>
      <c r="W26" s="35"/>
      <c r="X26" s="35"/>
      <c r="Y26" s="35"/>
      <c r="Z26" s="35"/>
    </row>
    <row r="27" spans="1:26" s="19" customFormat="1" outlineLevel="1">
      <c r="A27" s="33" t="s">
        <v>412</v>
      </c>
      <c r="B27" s="34">
        <f>COUNTA($B$1:B26)</f>
        <v>24</v>
      </c>
      <c r="C27" s="35" t="s">
        <v>163</v>
      </c>
      <c r="D27" s="35"/>
      <c r="E27" s="35"/>
      <c r="F27" s="34"/>
      <c r="G27" s="35" t="s">
        <v>133</v>
      </c>
      <c r="H27" s="35"/>
      <c r="I27" s="35" t="s">
        <v>55</v>
      </c>
      <c r="J27" s="35" t="s">
        <v>162</v>
      </c>
      <c r="K27" s="34">
        <v>0</v>
      </c>
      <c r="L27" s="35" t="s">
        <v>151</v>
      </c>
      <c r="M27" s="50" t="s">
        <v>164</v>
      </c>
      <c r="N27" s="35"/>
      <c r="O27" s="35"/>
      <c r="P27" s="35"/>
      <c r="Q27" s="35"/>
      <c r="R27" s="35"/>
      <c r="S27" s="35"/>
      <c r="T27" s="35"/>
      <c r="U27" s="35"/>
      <c r="V27" s="35"/>
      <c r="W27" s="35"/>
      <c r="X27" s="35"/>
      <c r="Y27" s="35"/>
      <c r="Z27" s="35"/>
    </row>
    <row r="28" spans="1:26" s="19" customFormat="1" outlineLevel="1">
      <c r="A28" s="33" t="s">
        <v>412</v>
      </c>
      <c r="B28" s="34">
        <f>COUNTA($B$1:B27)</f>
        <v>25</v>
      </c>
      <c r="C28" s="35" t="s">
        <v>67</v>
      </c>
      <c r="D28" s="35"/>
      <c r="E28" s="35"/>
      <c r="F28" s="34"/>
      <c r="G28" s="35" t="s">
        <v>133</v>
      </c>
      <c r="H28" s="35"/>
      <c r="I28" s="35"/>
      <c r="J28" s="35"/>
      <c r="K28" s="34"/>
      <c r="L28" s="35" t="s">
        <v>67</v>
      </c>
      <c r="M28" s="36">
        <v>2</v>
      </c>
      <c r="N28" s="35"/>
      <c r="O28" s="35"/>
      <c r="P28" s="35"/>
      <c r="Q28" s="35"/>
      <c r="R28" s="35"/>
      <c r="S28" s="35"/>
      <c r="T28" s="35"/>
      <c r="U28" s="35"/>
      <c r="V28" s="35"/>
      <c r="W28" s="35"/>
      <c r="X28" s="35"/>
      <c r="Y28" s="35"/>
      <c r="Z28" s="35"/>
    </row>
    <row r="29" spans="1:26" s="19" customFormat="1" outlineLevel="1">
      <c r="A29" s="33" t="s">
        <v>412</v>
      </c>
      <c r="B29" s="34">
        <f>COUNTA($B$1:B28)</f>
        <v>26</v>
      </c>
      <c r="C29" s="35" t="s">
        <v>148</v>
      </c>
      <c r="D29" s="35"/>
      <c r="E29" s="35"/>
      <c r="F29" s="42"/>
      <c r="G29" s="35" t="s">
        <v>133</v>
      </c>
      <c r="H29" s="35"/>
      <c r="I29" s="35" t="s">
        <v>55</v>
      </c>
      <c r="J29" s="35" t="str">
        <f>"//a[contains(.,'"&amp;M27&amp;"')]"</f>
        <v>//a[contains(.,'Residence')]</v>
      </c>
      <c r="K29" s="34">
        <v>0</v>
      </c>
      <c r="L29" s="35" t="s">
        <v>147</v>
      </c>
      <c r="M29" s="35"/>
      <c r="N29" s="35"/>
      <c r="O29" s="35"/>
      <c r="P29" s="35"/>
      <c r="Q29" s="35"/>
      <c r="R29" s="35"/>
      <c r="S29" s="35"/>
      <c r="T29" s="35"/>
      <c r="U29" s="35"/>
      <c r="V29" s="35"/>
      <c r="W29" s="35"/>
      <c r="X29" s="35"/>
      <c r="Y29" s="35"/>
      <c r="Z29" s="35"/>
    </row>
    <row r="30" spans="1:26" s="19" customFormat="1" outlineLevel="1">
      <c r="A30" s="33" t="s">
        <v>412</v>
      </c>
      <c r="B30" s="34">
        <f>COUNTA($B$1:B29)</f>
        <v>27</v>
      </c>
      <c r="C30" s="35" t="s">
        <v>165</v>
      </c>
      <c r="D30" s="51"/>
      <c r="E30" s="52" t="s">
        <v>154</v>
      </c>
      <c r="F30" s="38"/>
      <c r="G30" s="35" t="s">
        <v>133</v>
      </c>
      <c r="H30" s="35"/>
      <c r="I30" s="35" t="s">
        <v>55</v>
      </c>
      <c r="J30" s="35" t="s">
        <v>166</v>
      </c>
      <c r="K30" s="34">
        <v>0</v>
      </c>
      <c r="L30" s="35" t="s">
        <v>0</v>
      </c>
      <c r="M30" s="50" t="s">
        <v>167</v>
      </c>
      <c r="N30" s="35"/>
      <c r="O30" s="35"/>
      <c r="P30" s="35"/>
      <c r="Q30" s="35"/>
      <c r="R30" s="35"/>
      <c r="S30" s="52"/>
      <c r="T30" s="35"/>
      <c r="U30" s="35"/>
      <c r="V30" s="35"/>
      <c r="W30" s="35"/>
      <c r="X30" s="52"/>
      <c r="Y30" s="52"/>
      <c r="Z30" s="52"/>
    </row>
    <row r="31" spans="1:26" s="19" customFormat="1" outlineLevel="1">
      <c r="A31" s="33" t="s">
        <v>412</v>
      </c>
      <c r="B31" s="34">
        <f>COUNTA($B$1:B30)</f>
        <v>28</v>
      </c>
      <c r="C31" s="35" t="s">
        <v>168</v>
      </c>
      <c r="D31" s="51"/>
      <c r="E31" s="52" t="s">
        <v>154</v>
      </c>
      <c r="F31" s="38"/>
      <c r="G31" s="35" t="s">
        <v>133</v>
      </c>
      <c r="H31" s="35"/>
      <c r="I31" s="35" t="s">
        <v>55</v>
      </c>
      <c r="J31" s="35" t="s">
        <v>169</v>
      </c>
      <c r="K31" s="34">
        <v>0</v>
      </c>
      <c r="L31" s="35" t="s">
        <v>0</v>
      </c>
      <c r="M31" s="50" t="s">
        <v>170</v>
      </c>
      <c r="N31" s="35"/>
      <c r="O31" s="35"/>
      <c r="P31" s="35"/>
      <c r="Q31" s="35"/>
      <c r="R31" s="35"/>
      <c r="S31" s="52"/>
      <c r="T31" s="35"/>
      <c r="U31" s="35"/>
      <c r="V31" s="35"/>
      <c r="W31" s="35"/>
      <c r="X31" s="52"/>
      <c r="Y31" s="52"/>
      <c r="Z31" s="52"/>
    </row>
    <row r="32" spans="1:26" s="17" customFormat="1">
      <c r="A32" s="53" t="s">
        <v>21</v>
      </c>
      <c r="B32" s="34">
        <f>COUNTA($B$1:B31)</f>
        <v>29</v>
      </c>
      <c r="C32" s="35" t="s">
        <v>171</v>
      </c>
      <c r="D32" s="51"/>
      <c r="E32" s="52" t="s">
        <v>154</v>
      </c>
      <c r="F32" s="38"/>
      <c r="G32" s="35" t="s">
        <v>133</v>
      </c>
      <c r="H32" s="35"/>
      <c r="I32" s="35" t="s">
        <v>55</v>
      </c>
      <c r="J32" s="35" t="s">
        <v>108</v>
      </c>
      <c r="K32" s="34">
        <v>0</v>
      </c>
      <c r="L32" s="35" t="s">
        <v>147</v>
      </c>
      <c r="M32" s="35"/>
      <c r="N32" s="35"/>
      <c r="O32" s="35"/>
      <c r="P32" s="35"/>
      <c r="Q32" s="35"/>
      <c r="R32" s="35"/>
      <c r="S32" s="52"/>
      <c r="T32" s="35"/>
      <c r="U32" s="35"/>
      <c r="V32" s="35"/>
      <c r="W32" s="35"/>
      <c r="X32" s="52"/>
      <c r="Y32" s="52"/>
      <c r="Z32" s="52"/>
    </row>
    <row r="33" spans="1:26">
      <c r="A33" s="53" t="s">
        <v>21</v>
      </c>
      <c r="B33" s="34">
        <f>COUNTA($B$1:B32)</f>
        <v>30</v>
      </c>
      <c r="C33" s="35" t="s">
        <v>172</v>
      </c>
      <c r="D33" s="51"/>
      <c r="E33" s="52" t="s">
        <v>154</v>
      </c>
      <c r="F33" s="38"/>
      <c r="G33" s="35" t="s">
        <v>133</v>
      </c>
      <c r="H33" s="35"/>
      <c r="I33" s="35" t="s">
        <v>55</v>
      </c>
      <c r="J33" s="35" t="s">
        <v>173</v>
      </c>
      <c r="K33" s="34">
        <v>0</v>
      </c>
      <c r="L33" s="35" t="s">
        <v>0</v>
      </c>
      <c r="M33" s="50" t="s">
        <v>174</v>
      </c>
      <c r="N33" s="35"/>
      <c r="O33" s="35"/>
      <c r="P33" s="35"/>
      <c r="Q33" s="35"/>
      <c r="R33" s="35"/>
      <c r="S33" s="52"/>
      <c r="T33" s="35"/>
      <c r="U33" s="35"/>
      <c r="V33" s="35"/>
      <c r="W33" s="35"/>
      <c r="X33" s="52"/>
      <c r="Y33" s="52"/>
      <c r="Z33" s="52"/>
    </row>
    <row r="34" spans="1:26" s="17" customFormat="1">
      <c r="A34" s="53" t="s">
        <v>21</v>
      </c>
      <c r="B34" s="34">
        <f>COUNTA($B$1:B33)</f>
        <v>31</v>
      </c>
      <c r="C34" s="35" t="s">
        <v>175</v>
      </c>
      <c r="D34" s="51"/>
      <c r="E34" s="52" t="s">
        <v>154</v>
      </c>
      <c r="F34" s="38"/>
      <c r="G34" s="35" t="s">
        <v>133</v>
      </c>
      <c r="H34" s="35"/>
      <c r="I34" s="35" t="s">
        <v>55</v>
      </c>
      <c r="J34" s="35" t="s">
        <v>176</v>
      </c>
      <c r="K34" s="34">
        <v>0</v>
      </c>
      <c r="L34" s="35" t="s">
        <v>0</v>
      </c>
      <c r="M34" s="50" t="s">
        <v>177</v>
      </c>
      <c r="N34" s="35"/>
      <c r="O34" s="35"/>
      <c r="P34" s="35"/>
      <c r="Q34" s="35"/>
      <c r="R34" s="35"/>
      <c r="S34" s="52"/>
      <c r="T34" s="35"/>
      <c r="U34" s="35"/>
      <c r="V34" s="35"/>
      <c r="W34" s="35"/>
      <c r="X34" s="52"/>
      <c r="Y34" s="52"/>
      <c r="Z34" s="52"/>
    </row>
    <row r="35" spans="1:26">
      <c r="A35" s="53" t="s">
        <v>21</v>
      </c>
      <c r="B35" s="34">
        <f>COUNTA($B$1:B34)</f>
        <v>32</v>
      </c>
      <c r="C35" s="35" t="s">
        <v>171</v>
      </c>
      <c r="D35" s="51"/>
      <c r="E35" s="52" t="s">
        <v>154</v>
      </c>
      <c r="F35" s="38"/>
      <c r="G35" s="35" t="s">
        <v>133</v>
      </c>
      <c r="H35" s="35"/>
      <c r="I35" s="35" t="s">
        <v>55</v>
      </c>
      <c r="J35" s="35" t="s">
        <v>109</v>
      </c>
      <c r="K35" s="34">
        <v>0</v>
      </c>
      <c r="L35" s="35" t="s">
        <v>147</v>
      </c>
      <c r="M35" s="35"/>
      <c r="N35" s="35"/>
      <c r="O35" s="35"/>
      <c r="P35" s="35"/>
      <c r="Q35" s="35"/>
      <c r="R35" s="35"/>
      <c r="S35" s="52"/>
      <c r="T35" s="35"/>
      <c r="U35" s="35"/>
      <c r="V35" s="35"/>
      <c r="W35" s="35"/>
      <c r="X35" s="52"/>
      <c r="Y35" s="52"/>
      <c r="Z35" s="52"/>
    </row>
    <row r="36" spans="1:26">
      <c r="A36" s="53" t="s">
        <v>21</v>
      </c>
      <c r="B36" s="34">
        <f>COUNTA($B$1:B35)</f>
        <v>33</v>
      </c>
      <c r="C36" s="35" t="s">
        <v>178</v>
      </c>
      <c r="D36" s="51"/>
      <c r="E36" s="52" t="s">
        <v>154</v>
      </c>
      <c r="F36" s="38"/>
      <c r="G36" s="35" t="s">
        <v>133</v>
      </c>
      <c r="H36" s="35"/>
      <c r="I36" s="35" t="s">
        <v>55</v>
      </c>
      <c r="J36" s="35" t="s">
        <v>179</v>
      </c>
      <c r="K36" s="34">
        <v>0</v>
      </c>
      <c r="L36" s="35" t="s">
        <v>0</v>
      </c>
      <c r="M36" s="50" t="s">
        <v>180</v>
      </c>
      <c r="N36" s="35"/>
      <c r="O36" s="35"/>
      <c r="P36" s="35"/>
      <c r="Q36" s="35"/>
      <c r="R36" s="35"/>
      <c r="S36" s="52"/>
      <c r="T36" s="35"/>
      <c r="U36" s="35"/>
      <c r="V36" s="35"/>
      <c r="W36" s="35"/>
      <c r="X36" s="52"/>
      <c r="Y36" s="52"/>
      <c r="Z36" s="52"/>
    </row>
    <row r="37" spans="1:26">
      <c r="A37" s="53" t="s">
        <v>21</v>
      </c>
      <c r="B37" s="34">
        <f>COUNTA($B$1:B36)</f>
        <v>34</v>
      </c>
      <c r="C37" s="35" t="s">
        <v>181</v>
      </c>
      <c r="D37" s="51"/>
      <c r="E37" s="52" t="s">
        <v>154</v>
      </c>
      <c r="F37" s="38"/>
      <c r="G37" s="35" t="s">
        <v>133</v>
      </c>
      <c r="H37" s="35"/>
      <c r="I37" s="35" t="s">
        <v>55</v>
      </c>
      <c r="J37" s="35" t="s">
        <v>182</v>
      </c>
      <c r="K37" s="34">
        <v>0</v>
      </c>
      <c r="L37" s="35" t="s">
        <v>0</v>
      </c>
      <c r="M37" s="50" t="s">
        <v>183</v>
      </c>
      <c r="N37" s="35"/>
      <c r="O37" s="35"/>
      <c r="P37" s="35"/>
      <c r="Q37" s="35"/>
      <c r="R37" s="35"/>
      <c r="S37" s="52"/>
      <c r="T37" s="35"/>
      <c r="U37" s="35"/>
      <c r="V37" s="35"/>
      <c r="W37" s="35"/>
      <c r="X37" s="52"/>
      <c r="Y37" s="52"/>
      <c r="Z37" s="52"/>
    </row>
    <row r="38" spans="1:26" ht="12.75" customHeight="1">
      <c r="A38" s="53" t="s">
        <v>21</v>
      </c>
      <c r="B38" s="34">
        <f>COUNTA($B$1:B37)</f>
        <v>35</v>
      </c>
      <c r="C38" s="35" t="s">
        <v>171</v>
      </c>
      <c r="D38" s="51"/>
      <c r="E38" s="52" t="s">
        <v>154</v>
      </c>
      <c r="F38" s="38"/>
      <c r="G38" s="35" t="s">
        <v>133</v>
      </c>
      <c r="H38" s="35"/>
      <c r="I38" s="35" t="s">
        <v>55</v>
      </c>
      <c r="J38" s="35" t="s">
        <v>110</v>
      </c>
      <c r="K38" s="34">
        <v>0</v>
      </c>
      <c r="L38" s="35" t="s">
        <v>147</v>
      </c>
      <c r="M38" s="35"/>
      <c r="N38" s="35"/>
      <c r="O38" s="35"/>
      <c r="P38" s="35"/>
      <c r="Q38" s="35"/>
      <c r="R38" s="35"/>
      <c r="S38" s="52"/>
      <c r="T38" s="35"/>
      <c r="U38" s="35"/>
      <c r="V38" s="35"/>
      <c r="W38" s="35"/>
      <c r="X38" s="52"/>
      <c r="Y38" s="52"/>
      <c r="Z38" s="52"/>
    </row>
    <row r="39" spans="1:26">
      <c r="A39" s="53" t="s">
        <v>21</v>
      </c>
      <c r="B39" s="34">
        <f>COUNTA($B$1:B38)</f>
        <v>36</v>
      </c>
      <c r="C39" s="35" t="s">
        <v>184</v>
      </c>
      <c r="D39" s="51"/>
      <c r="E39" s="52" t="s">
        <v>154</v>
      </c>
      <c r="F39" s="38"/>
      <c r="G39" s="35" t="s">
        <v>133</v>
      </c>
      <c r="H39" s="35"/>
      <c r="I39" s="35" t="s">
        <v>55</v>
      </c>
      <c r="J39" s="35" t="s">
        <v>185</v>
      </c>
      <c r="K39" s="34">
        <v>0</v>
      </c>
      <c r="L39" s="35" t="s">
        <v>0</v>
      </c>
      <c r="M39" s="50" t="s">
        <v>186</v>
      </c>
      <c r="N39" s="35"/>
      <c r="O39" s="35"/>
      <c r="P39" s="35"/>
      <c r="Q39" s="35"/>
      <c r="R39" s="35"/>
      <c r="S39" s="52"/>
      <c r="T39" s="35"/>
      <c r="U39" s="35"/>
      <c r="V39" s="35"/>
      <c r="W39" s="35"/>
      <c r="X39" s="52"/>
      <c r="Y39" s="52"/>
      <c r="Z39" s="52"/>
    </row>
    <row r="40" spans="1:26" s="18" customFormat="1" outlineLevel="1">
      <c r="A40" s="53" t="s">
        <v>21</v>
      </c>
      <c r="B40" s="34">
        <f>COUNTA($B$1:B39)</f>
        <v>37</v>
      </c>
      <c r="C40" s="35" t="s">
        <v>187</v>
      </c>
      <c r="D40" s="51"/>
      <c r="E40" s="52" t="s">
        <v>154</v>
      </c>
      <c r="F40" s="38"/>
      <c r="G40" s="35" t="s">
        <v>133</v>
      </c>
      <c r="H40" s="35"/>
      <c r="I40" s="35" t="s">
        <v>55</v>
      </c>
      <c r="J40" s="35" t="s">
        <v>188</v>
      </c>
      <c r="K40" s="34">
        <v>0</v>
      </c>
      <c r="L40" s="35" t="s">
        <v>0</v>
      </c>
      <c r="M40" s="50" t="s">
        <v>189</v>
      </c>
      <c r="N40" s="35"/>
      <c r="O40" s="35"/>
      <c r="P40" s="35"/>
      <c r="Q40" s="35"/>
      <c r="R40" s="35"/>
      <c r="S40" s="52"/>
      <c r="T40" s="35"/>
      <c r="U40" s="35"/>
      <c r="V40" s="35"/>
      <c r="W40" s="35"/>
      <c r="X40" s="52"/>
      <c r="Y40" s="52"/>
      <c r="Z40" s="52"/>
    </row>
    <row r="41" spans="1:26" s="17" customFormat="1">
      <c r="A41" s="33" t="s">
        <v>412</v>
      </c>
      <c r="B41" s="34">
        <f>COUNTA($B$1:B40)</f>
        <v>38</v>
      </c>
      <c r="C41" s="35" t="s">
        <v>190</v>
      </c>
      <c r="D41" s="35"/>
      <c r="E41" s="35"/>
      <c r="F41" s="34"/>
      <c r="G41" s="35" t="s">
        <v>133</v>
      </c>
      <c r="H41" s="35"/>
      <c r="I41" s="35" t="s">
        <v>55</v>
      </c>
      <c r="J41" s="35" t="s">
        <v>87</v>
      </c>
      <c r="K41" s="34">
        <v>0</v>
      </c>
      <c r="L41" s="35" t="s">
        <v>147</v>
      </c>
      <c r="M41" s="36"/>
      <c r="N41" s="35"/>
      <c r="O41" s="35"/>
      <c r="P41" s="35"/>
      <c r="Q41" s="35"/>
      <c r="R41" s="35"/>
      <c r="S41" s="35"/>
      <c r="T41" s="35"/>
      <c r="U41" s="35"/>
      <c r="V41" s="35"/>
      <c r="W41" s="35"/>
      <c r="X41" s="35"/>
      <c r="Y41" s="35"/>
      <c r="Z41" s="35"/>
    </row>
    <row r="42" spans="1:26" s="17" customFormat="1">
      <c r="A42" s="33" t="s">
        <v>412</v>
      </c>
      <c r="B42" s="34">
        <f>COUNTA($B$1:B41)</f>
        <v>39</v>
      </c>
      <c r="C42" s="35" t="s">
        <v>67</v>
      </c>
      <c r="D42" s="35"/>
      <c r="E42" s="35"/>
      <c r="F42" s="34"/>
      <c r="G42" s="35" t="s">
        <v>133</v>
      </c>
      <c r="H42" s="35"/>
      <c r="I42" s="35"/>
      <c r="J42" s="35"/>
      <c r="K42" s="34"/>
      <c r="L42" s="35" t="s">
        <v>67</v>
      </c>
      <c r="M42" s="36">
        <v>10</v>
      </c>
      <c r="N42" s="35"/>
      <c r="O42" s="35"/>
      <c r="P42" s="35"/>
      <c r="Q42" s="35"/>
      <c r="R42" s="36"/>
      <c r="S42" s="35"/>
      <c r="T42" s="35"/>
      <c r="U42" s="35"/>
      <c r="V42" s="35"/>
      <c r="W42" s="35"/>
      <c r="X42" s="35"/>
      <c r="Y42" s="35"/>
      <c r="Z42" s="35"/>
    </row>
    <row r="43" spans="1:26" s="19" customFormat="1" outlineLevel="1">
      <c r="A43" s="30" t="s">
        <v>191</v>
      </c>
      <c r="B43" s="31"/>
      <c r="C43" s="31"/>
      <c r="D43" s="32"/>
      <c r="E43" s="32"/>
      <c r="F43" s="31"/>
      <c r="G43" s="32"/>
      <c r="H43" s="32"/>
      <c r="I43" s="32"/>
      <c r="J43" s="32"/>
      <c r="K43" s="31"/>
      <c r="L43" s="32"/>
      <c r="M43" s="32"/>
      <c r="N43" s="32"/>
      <c r="O43" s="32"/>
      <c r="P43" s="32"/>
      <c r="Q43" s="32"/>
      <c r="R43" s="32"/>
      <c r="S43" s="32"/>
      <c r="T43" s="32"/>
      <c r="U43" s="32"/>
      <c r="V43" s="32"/>
      <c r="W43" s="32"/>
      <c r="X43" s="32"/>
      <c r="Y43" s="32"/>
      <c r="Z43" s="32"/>
    </row>
    <row r="44" spans="1:26" s="17" customFormat="1">
      <c r="A44" s="45" t="s">
        <v>412</v>
      </c>
      <c r="B44" s="34">
        <f>COUNTA($B$1:B43)</f>
        <v>40</v>
      </c>
      <c r="C44" s="46" t="s">
        <v>140</v>
      </c>
      <c r="D44" s="46"/>
      <c r="E44" s="46"/>
      <c r="F44" s="47"/>
      <c r="G44" s="46" t="s">
        <v>133</v>
      </c>
      <c r="H44" s="46"/>
      <c r="I44" s="46" t="s">
        <v>55</v>
      </c>
      <c r="J44" s="46" t="s">
        <v>141</v>
      </c>
      <c r="K44" s="47"/>
      <c r="L44" s="46" t="s">
        <v>142</v>
      </c>
      <c r="M44" s="48"/>
      <c r="N44" s="46"/>
      <c r="O44" s="46" t="s">
        <v>2</v>
      </c>
      <c r="P44" s="46"/>
      <c r="Q44" s="46"/>
      <c r="R44" s="49"/>
      <c r="S44" s="46"/>
      <c r="T44" s="46"/>
      <c r="U44" s="46"/>
      <c r="V44" s="46"/>
      <c r="W44" s="46"/>
      <c r="X44" s="46"/>
      <c r="Y44" s="46"/>
      <c r="Z44" s="46"/>
    </row>
    <row r="45" spans="1:26" s="19" customFormat="1" outlineLevel="1">
      <c r="A45" s="45" t="s">
        <v>412</v>
      </c>
      <c r="B45" s="34">
        <f>COUNTA($B$1:B44)</f>
        <v>41</v>
      </c>
      <c r="C45" s="46" t="s">
        <v>143</v>
      </c>
      <c r="D45" s="46"/>
      <c r="E45" s="46"/>
      <c r="F45" s="47"/>
      <c r="G45" s="46" t="s">
        <v>133</v>
      </c>
      <c r="H45" s="46"/>
      <c r="I45" s="46" t="s">
        <v>55</v>
      </c>
      <c r="J45" s="46" t="s">
        <v>141</v>
      </c>
      <c r="K45" s="47"/>
      <c r="L45" s="46" t="s">
        <v>98</v>
      </c>
      <c r="M45" s="48"/>
      <c r="N45" s="46" t="s">
        <v>99</v>
      </c>
      <c r="O45" s="46" t="s">
        <v>2</v>
      </c>
      <c r="P45" s="46"/>
      <c r="Q45" s="46"/>
      <c r="R45" s="49" t="s">
        <v>144</v>
      </c>
      <c r="S45" s="46"/>
      <c r="T45" s="46"/>
      <c r="U45" s="46"/>
      <c r="V45" s="46"/>
      <c r="W45" s="46"/>
      <c r="X45" s="46"/>
      <c r="Y45" s="46"/>
      <c r="Z45" s="46"/>
    </row>
    <row r="46" spans="1:26">
      <c r="A46" s="45" t="s">
        <v>412</v>
      </c>
      <c r="B46" s="34">
        <f>COUNTA($B$1:B45)</f>
        <v>42</v>
      </c>
      <c r="C46" s="46" t="s">
        <v>145</v>
      </c>
      <c r="D46" s="46"/>
      <c r="E46" s="46"/>
      <c r="F46" s="47"/>
      <c r="G46" s="46" t="s">
        <v>133</v>
      </c>
      <c r="H46" s="46"/>
      <c r="I46" s="46" t="s">
        <v>55</v>
      </c>
      <c r="J46" s="46" t="s">
        <v>146</v>
      </c>
      <c r="K46" s="47"/>
      <c r="L46" s="46" t="s">
        <v>147</v>
      </c>
      <c r="M46" s="48"/>
      <c r="N46" s="46"/>
      <c r="O46" s="46" t="s">
        <v>2</v>
      </c>
      <c r="P46" s="46"/>
      <c r="Q46" s="46"/>
      <c r="R46" s="48"/>
      <c r="S46" s="46"/>
      <c r="T46" s="46"/>
      <c r="U46" s="46"/>
      <c r="V46" s="46"/>
      <c r="W46" s="46"/>
      <c r="X46" s="46"/>
      <c r="Y46" s="46"/>
      <c r="Z46" s="46"/>
    </row>
    <row r="47" spans="1:26" s="10" customFormat="1">
      <c r="A47" s="33" t="s">
        <v>412</v>
      </c>
      <c r="B47" s="34">
        <f>COUNTA($B$1:B46)</f>
        <v>43</v>
      </c>
      <c r="C47" s="35" t="s">
        <v>413</v>
      </c>
      <c r="D47" s="35"/>
      <c r="E47" s="35"/>
      <c r="F47" s="34"/>
      <c r="G47" s="35" t="s">
        <v>133</v>
      </c>
      <c r="H47" s="35"/>
      <c r="I47" s="35" t="s">
        <v>55</v>
      </c>
      <c r="J47" s="35" t="s">
        <v>414</v>
      </c>
      <c r="K47" s="34"/>
      <c r="L47" s="35" t="s">
        <v>34</v>
      </c>
      <c r="M47" s="36"/>
      <c r="N47" s="35"/>
      <c r="O47" s="35"/>
      <c r="P47" s="35"/>
      <c r="Q47" s="35"/>
      <c r="R47" s="36"/>
      <c r="S47" s="35"/>
      <c r="T47" s="35"/>
      <c r="U47" s="35"/>
      <c r="V47" s="35"/>
      <c r="W47" s="35"/>
      <c r="X47" s="35"/>
      <c r="Y47" s="35"/>
      <c r="Z47" s="35"/>
    </row>
    <row r="48" spans="1:26" s="10" customFormat="1">
      <c r="A48" s="33" t="s">
        <v>412</v>
      </c>
      <c r="B48" s="34">
        <f>COUNTA($B$1:B47)</f>
        <v>44</v>
      </c>
      <c r="C48" s="35" t="s">
        <v>196</v>
      </c>
      <c r="D48" s="35"/>
      <c r="E48" s="35"/>
      <c r="F48" s="34"/>
      <c r="G48" s="35" t="s">
        <v>133</v>
      </c>
      <c r="H48" s="35"/>
      <c r="I48" s="35" t="s">
        <v>55</v>
      </c>
      <c r="J48" s="35" t="s">
        <v>195</v>
      </c>
      <c r="K48" s="34">
        <v>0</v>
      </c>
      <c r="L48" s="35" t="s">
        <v>147</v>
      </c>
      <c r="M48" s="36"/>
      <c r="N48" s="35"/>
      <c r="O48" s="35"/>
      <c r="P48" s="35"/>
      <c r="Q48" s="35"/>
      <c r="R48" s="35"/>
      <c r="S48" s="35"/>
      <c r="T48" s="35"/>
      <c r="U48" s="35"/>
      <c r="V48" s="35"/>
      <c r="W48" s="35"/>
      <c r="X48" s="35"/>
      <c r="Y48" s="35"/>
      <c r="Z48" s="35"/>
    </row>
    <row r="49" spans="1:26">
      <c r="A49" s="33" t="s">
        <v>412</v>
      </c>
      <c r="B49" s="34">
        <f>COUNTA($B$1:B48)</f>
        <v>45</v>
      </c>
      <c r="C49" s="35" t="s">
        <v>67</v>
      </c>
      <c r="D49" s="35"/>
      <c r="E49" s="35"/>
      <c r="F49" s="34"/>
      <c r="G49" s="35" t="s">
        <v>133</v>
      </c>
      <c r="H49" s="35"/>
      <c r="I49" s="35"/>
      <c r="J49" s="35"/>
      <c r="K49" s="34"/>
      <c r="L49" s="35" t="s">
        <v>67</v>
      </c>
      <c r="M49" s="36">
        <v>10</v>
      </c>
      <c r="N49" s="35"/>
      <c r="O49" s="35"/>
      <c r="P49" s="35"/>
      <c r="Q49" s="35"/>
      <c r="R49" s="36"/>
      <c r="S49" s="35"/>
      <c r="T49" s="35"/>
      <c r="U49" s="35"/>
      <c r="V49" s="35"/>
      <c r="W49" s="35"/>
      <c r="X49" s="35"/>
      <c r="Y49" s="35"/>
      <c r="Z49" s="35"/>
    </row>
    <row r="50" spans="1:26" ht="12.75" customHeight="1">
      <c r="A50" s="30" t="s">
        <v>219</v>
      </c>
      <c r="B50" s="31"/>
      <c r="C50" s="31"/>
      <c r="D50" s="32"/>
      <c r="E50" s="32"/>
      <c r="F50" s="31"/>
      <c r="G50" s="32"/>
      <c r="H50" s="32"/>
      <c r="I50" s="32"/>
      <c r="J50" s="32"/>
      <c r="K50" s="31"/>
      <c r="L50" s="32"/>
      <c r="M50" s="32"/>
      <c r="N50" s="32"/>
      <c r="O50" s="32"/>
      <c r="P50" s="32"/>
      <c r="Q50" s="32"/>
      <c r="R50" s="32"/>
      <c r="S50" s="32"/>
      <c r="T50" s="32"/>
      <c r="U50" s="32"/>
      <c r="V50" s="32"/>
      <c r="W50" s="32"/>
      <c r="X50" s="32"/>
      <c r="Y50" s="32"/>
      <c r="Z50" s="32"/>
    </row>
    <row r="51" spans="1:26" s="17" customFormat="1">
      <c r="A51" s="45" t="s">
        <v>412</v>
      </c>
      <c r="B51" s="34">
        <f>COUNTA($B$1:B50)</f>
        <v>46</v>
      </c>
      <c r="C51" s="46" t="s">
        <v>140</v>
      </c>
      <c r="D51" s="46"/>
      <c r="E51" s="46"/>
      <c r="F51" s="47"/>
      <c r="G51" s="46" t="s">
        <v>133</v>
      </c>
      <c r="H51" s="46"/>
      <c r="I51" s="46" t="s">
        <v>55</v>
      </c>
      <c r="J51" s="46" t="s">
        <v>141</v>
      </c>
      <c r="K51" s="47"/>
      <c r="L51" s="46" t="s">
        <v>142</v>
      </c>
      <c r="M51" s="48"/>
      <c r="N51" s="46"/>
      <c r="O51" s="46" t="s">
        <v>2</v>
      </c>
      <c r="P51" s="46"/>
      <c r="Q51" s="46"/>
      <c r="R51" s="49"/>
      <c r="S51" s="46"/>
      <c r="T51" s="46"/>
      <c r="U51" s="46"/>
      <c r="V51" s="46"/>
      <c r="W51" s="46"/>
      <c r="X51" s="46"/>
      <c r="Y51" s="46"/>
      <c r="Z51" s="46"/>
    </row>
    <row r="52" spans="1:26">
      <c r="A52" s="45" t="s">
        <v>412</v>
      </c>
      <c r="B52" s="34">
        <f>COUNTA($B$1:B51)</f>
        <v>47</v>
      </c>
      <c r="C52" s="46" t="s">
        <v>143</v>
      </c>
      <c r="D52" s="46"/>
      <c r="E52" s="46"/>
      <c r="F52" s="47"/>
      <c r="G52" s="46" t="s">
        <v>133</v>
      </c>
      <c r="H52" s="46"/>
      <c r="I52" s="46" t="s">
        <v>55</v>
      </c>
      <c r="J52" s="46" t="s">
        <v>141</v>
      </c>
      <c r="K52" s="47"/>
      <c r="L52" s="46" t="s">
        <v>98</v>
      </c>
      <c r="M52" s="48"/>
      <c r="N52" s="46" t="s">
        <v>99</v>
      </c>
      <c r="O52" s="46" t="s">
        <v>2</v>
      </c>
      <c r="P52" s="46"/>
      <c r="Q52" s="46"/>
      <c r="R52" s="49" t="s">
        <v>144</v>
      </c>
      <c r="S52" s="46"/>
      <c r="T52" s="46"/>
      <c r="U52" s="46"/>
      <c r="V52" s="46"/>
      <c r="W52" s="46"/>
      <c r="X52" s="46"/>
      <c r="Y52" s="46"/>
      <c r="Z52" s="46"/>
    </row>
    <row r="53" spans="1:26" ht="12.75" customHeight="1">
      <c r="A53" s="45" t="s">
        <v>412</v>
      </c>
      <c r="B53" s="34">
        <f>COUNTA($B$1:B52)</f>
        <v>48</v>
      </c>
      <c r="C53" s="46" t="s">
        <v>145</v>
      </c>
      <c r="D53" s="46"/>
      <c r="E53" s="46"/>
      <c r="F53" s="47"/>
      <c r="G53" s="46" t="s">
        <v>133</v>
      </c>
      <c r="H53" s="46"/>
      <c r="I53" s="46" t="s">
        <v>55</v>
      </c>
      <c r="J53" s="46" t="s">
        <v>146</v>
      </c>
      <c r="K53" s="47"/>
      <c r="L53" s="46" t="s">
        <v>147</v>
      </c>
      <c r="M53" s="48"/>
      <c r="N53" s="46"/>
      <c r="O53" s="46" t="s">
        <v>2</v>
      </c>
      <c r="P53" s="46"/>
      <c r="Q53" s="46"/>
      <c r="R53" s="48"/>
      <c r="S53" s="46"/>
      <c r="T53" s="46"/>
      <c r="U53" s="46"/>
      <c r="V53" s="46"/>
      <c r="W53" s="46"/>
      <c r="X53" s="46"/>
      <c r="Y53" s="46"/>
      <c r="Z53" s="46"/>
    </row>
    <row r="54" spans="1:26" s="17" customFormat="1">
      <c r="A54" s="33" t="s">
        <v>412</v>
      </c>
      <c r="B54" s="34">
        <f>COUNTA($B$1:B53)</f>
        <v>49</v>
      </c>
      <c r="C54" s="35" t="s">
        <v>220</v>
      </c>
      <c r="D54" s="35"/>
      <c r="E54" s="35"/>
      <c r="F54" s="34"/>
      <c r="G54" s="35" t="s">
        <v>133</v>
      </c>
      <c r="H54" s="35"/>
      <c r="I54" s="35" t="s">
        <v>55</v>
      </c>
      <c r="J54" s="35" t="s">
        <v>221</v>
      </c>
      <c r="K54" s="34">
        <v>0</v>
      </c>
      <c r="L54" s="35" t="s">
        <v>0</v>
      </c>
      <c r="M54" s="50" t="s">
        <v>222</v>
      </c>
      <c r="N54" s="35"/>
      <c r="O54" s="35"/>
      <c r="P54" s="35"/>
      <c r="Q54" s="35"/>
      <c r="R54" s="52"/>
      <c r="S54" s="35"/>
      <c r="T54" s="35"/>
      <c r="U54" s="35"/>
      <c r="V54" s="35"/>
      <c r="W54" s="35"/>
      <c r="X54" s="35"/>
      <c r="Y54" s="35"/>
      <c r="Z54" s="35"/>
    </row>
    <row r="55" spans="1:26" s="17" customFormat="1">
      <c r="A55" s="33" t="s">
        <v>412</v>
      </c>
      <c r="B55" s="34">
        <f>COUNTA($B$1:B54)</f>
        <v>50</v>
      </c>
      <c r="C55" s="35" t="s">
        <v>103</v>
      </c>
      <c r="D55" s="35"/>
      <c r="E55" s="35"/>
      <c r="F55" s="34"/>
      <c r="G55" s="35" t="s">
        <v>133</v>
      </c>
      <c r="H55" s="35"/>
      <c r="I55" s="35" t="s">
        <v>55</v>
      </c>
      <c r="J55" s="35" t="s">
        <v>105</v>
      </c>
      <c r="K55" s="34">
        <v>0</v>
      </c>
      <c r="L55" s="35" t="s">
        <v>0</v>
      </c>
      <c r="M55" s="50" t="s">
        <v>223</v>
      </c>
      <c r="N55" s="35"/>
      <c r="O55" s="35"/>
      <c r="P55" s="35"/>
      <c r="Q55" s="35"/>
      <c r="R55" s="52"/>
      <c r="S55" s="35"/>
      <c r="T55" s="35"/>
      <c r="U55" s="35"/>
      <c r="V55" s="35"/>
      <c r="W55" s="35"/>
      <c r="X55" s="35"/>
      <c r="Y55" s="35"/>
      <c r="Z55" s="35"/>
    </row>
    <row r="56" spans="1:26" s="17" customFormat="1">
      <c r="A56" s="33" t="s">
        <v>412</v>
      </c>
      <c r="B56" s="34">
        <f>COUNTA($B$1:B55)</f>
        <v>51</v>
      </c>
      <c r="C56" s="35" t="s">
        <v>224</v>
      </c>
      <c r="D56" s="35"/>
      <c r="E56" s="35"/>
      <c r="F56" s="34"/>
      <c r="G56" s="35" t="s">
        <v>133</v>
      </c>
      <c r="H56" s="35"/>
      <c r="I56" s="35" t="s">
        <v>55</v>
      </c>
      <c r="J56" s="35" t="s">
        <v>83</v>
      </c>
      <c r="K56" s="34">
        <v>0</v>
      </c>
      <c r="L56" s="35" t="s">
        <v>0</v>
      </c>
      <c r="M56" s="50" t="s">
        <v>225</v>
      </c>
      <c r="N56" s="35"/>
      <c r="O56" s="35"/>
      <c r="P56" s="35"/>
      <c r="Q56" s="35"/>
      <c r="R56" s="52"/>
      <c r="S56" s="35"/>
      <c r="T56" s="35"/>
      <c r="U56" s="35"/>
      <c r="V56" s="35"/>
      <c r="W56" s="35"/>
      <c r="X56" s="35"/>
      <c r="Y56" s="35"/>
      <c r="Z56" s="35"/>
    </row>
    <row r="57" spans="1:26" s="17" customFormat="1">
      <c r="A57" s="33" t="s">
        <v>412</v>
      </c>
      <c r="B57" s="34">
        <f>COUNTA($B$1:B56)</f>
        <v>52</v>
      </c>
      <c r="C57" s="35" t="s">
        <v>226</v>
      </c>
      <c r="D57" s="51"/>
      <c r="E57" s="52"/>
      <c r="F57" s="34"/>
      <c r="G57" s="35" t="s">
        <v>133</v>
      </c>
      <c r="H57" s="35"/>
      <c r="I57" s="35"/>
      <c r="J57" s="35"/>
      <c r="K57" s="34"/>
      <c r="L57" s="35" t="s">
        <v>227</v>
      </c>
      <c r="M57" s="36" t="s">
        <v>79</v>
      </c>
      <c r="N57" s="35"/>
      <c r="O57" s="35"/>
      <c r="P57" s="35"/>
      <c r="Q57" s="35"/>
      <c r="R57" s="35"/>
      <c r="S57" s="52"/>
      <c r="T57" s="35"/>
      <c r="U57" s="35"/>
      <c r="V57" s="35"/>
      <c r="W57" s="35"/>
      <c r="X57" s="52"/>
      <c r="Y57" s="52"/>
      <c r="Z57" s="52"/>
    </row>
    <row r="58" spans="1:26" s="17" customFormat="1">
      <c r="A58" s="33" t="s">
        <v>412</v>
      </c>
      <c r="B58" s="34">
        <f>COUNTA($B$1:B57)</f>
        <v>53</v>
      </c>
      <c r="C58" s="35" t="s">
        <v>67</v>
      </c>
      <c r="D58" s="35"/>
      <c r="E58" s="35"/>
      <c r="F58" s="34"/>
      <c r="G58" s="35" t="s">
        <v>133</v>
      </c>
      <c r="H58" s="35"/>
      <c r="I58" s="35"/>
      <c r="J58" s="35"/>
      <c r="K58" s="34"/>
      <c r="L58" s="35" t="s">
        <v>67</v>
      </c>
      <c r="M58" s="36">
        <v>3</v>
      </c>
      <c r="N58" s="35"/>
      <c r="O58" s="35"/>
      <c r="P58" s="35"/>
      <c r="Q58" s="35"/>
      <c r="R58" s="36"/>
      <c r="S58" s="35"/>
      <c r="T58" s="35"/>
      <c r="U58" s="35"/>
      <c r="V58" s="35"/>
      <c r="W58" s="35"/>
      <c r="X58" s="35"/>
      <c r="Y58" s="35"/>
      <c r="Z58" s="35"/>
    </row>
    <row r="59" spans="1:26" s="17" customFormat="1">
      <c r="A59" s="33" t="s">
        <v>412</v>
      </c>
      <c r="B59" s="34">
        <f>COUNTA($B$1:B58)</f>
        <v>54</v>
      </c>
      <c r="C59" s="35" t="s">
        <v>228</v>
      </c>
      <c r="D59" s="35"/>
      <c r="E59" s="35"/>
      <c r="F59" s="34"/>
      <c r="G59" s="35" t="s">
        <v>133</v>
      </c>
      <c r="H59" s="35"/>
      <c r="I59" s="35" t="s">
        <v>55</v>
      </c>
      <c r="J59" s="35" t="s">
        <v>229</v>
      </c>
      <c r="K59" s="34">
        <v>0</v>
      </c>
      <c r="L59" s="35" t="s">
        <v>0</v>
      </c>
      <c r="M59" s="50" t="s">
        <v>230</v>
      </c>
      <c r="N59" s="35"/>
      <c r="O59" s="35"/>
      <c r="P59" s="35"/>
      <c r="Q59" s="35"/>
      <c r="R59" s="52"/>
      <c r="S59" s="35"/>
      <c r="T59" s="35"/>
      <c r="U59" s="35"/>
      <c r="V59" s="35"/>
      <c r="W59" s="35"/>
      <c r="X59" s="35"/>
      <c r="Y59" s="35"/>
      <c r="Z59" s="35"/>
    </row>
    <row r="60" spans="1:26" s="17" customFormat="1">
      <c r="A60" s="33" t="s">
        <v>412</v>
      </c>
      <c r="B60" s="34">
        <f>COUNTA($B$1:B59)</f>
        <v>55</v>
      </c>
      <c r="C60" s="35" t="s">
        <v>89</v>
      </c>
      <c r="D60" s="35"/>
      <c r="E60" s="35"/>
      <c r="F60" s="34"/>
      <c r="G60" s="35" t="s">
        <v>133</v>
      </c>
      <c r="H60" s="35"/>
      <c r="I60" s="35" t="s">
        <v>55</v>
      </c>
      <c r="J60" s="35" t="s">
        <v>231</v>
      </c>
      <c r="K60" s="34">
        <v>0</v>
      </c>
      <c r="L60" s="35" t="s">
        <v>0</v>
      </c>
      <c r="M60" s="50" t="s">
        <v>104</v>
      </c>
      <c r="N60" s="35"/>
      <c r="O60" s="35"/>
      <c r="P60" s="35"/>
      <c r="Q60" s="35"/>
      <c r="R60" s="52"/>
      <c r="S60" s="35"/>
      <c r="T60" s="35"/>
      <c r="U60" s="35"/>
      <c r="V60" s="35"/>
      <c r="W60" s="35"/>
      <c r="X60" s="35"/>
      <c r="Y60" s="35"/>
      <c r="Z60" s="35"/>
    </row>
    <row r="61" spans="1:26" s="17" customFormat="1">
      <c r="A61" s="33" t="s">
        <v>412</v>
      </c>
      <c r="B61" s="34">
        <f>COUNTA($B$1:B60)</f>
        <v>56</v>
      </c>
      <c r="C61" s="35" t="s">
        <v>232</v>
      </c>
      <c r="D61" s="35"/>
      <c r="E61" s="35"/>
      <c r="F61" s="34"/>
      <c r="G61" s="35" t="s">
        <v>133</v>
      </c>
      <c r="H61" s="35"/>
      <c r="I61" s="35" t="s">
        <v>55</v>
      </c>
      <c r="J61" s="35" t="s">
        <v>233</v>
      </c>
      <c r="K61" s="34">
        <v>0</v>
      </c>
      <c r="L61" s="35" t="s">
        <v>0</v>
      </c>
      <c r="M61" s="50" t="s">
        <v>234</v>
      </c>
      <c r="N61" s="35"/>
      <c r="O61" s="35"/>
      <c r="P61" s="35"/>
      <c r="Q61" s="35"/>
      <c r="R61" s="52"/>
      <c r="S61" s="35"/>
      <c r="T61" s="35"/>
      <c r="U61" s="35"/>
      <c r="V61" s="35"/>
      <c r="W61" s="35"/>
      <c r="X61" s="35"/>
      <c r="Y61" s="35"/>
      <c r="Z61" s="35"/>
    </row>
    <row r="62" spans="1:26" ht="12.75" customHeight="1">
      <c r="A62" s="33" t="s">
        <v>412</v>
      </c>
      <c r="B62" s="34">
        <f>COUNTA($B$1:B61)</f>
        <v>57</v>
      </c>
      <c r="C62" s="35" t="s">
        <v>235</v>
      </c>
      <c r="D62" s="35"/>
      <c r="E62" s="35"/>
      <c r="F62" s="34"/>
      <c r="G62" s="35" t="s">
        <v>133</v>
      </c>
      <c r="H62" s="35"/>
      <c r="I62" s="35" t="s">
        <v>55</v>
      </c>
      <c r="J62" s="35" t="s">
        <v>236</v>
      </c>
      <c r="K62" s="34">
        <v>0</v>
      </c>
      <c r="L62" s="35" t="s">
        <v>0</v>
      </c>
      <c r="M62" s="50" t="s">
        <v>237</v>
      </c>
      <c r="N62" s="35"/>
      <c r="O62" s="35"/>
      <c r="P62" s="35"/>
      <c r="Q62" s="35"/>
      <c r="R62" s="52"/>
      <c r="S62" s="35"/>
      <c r="T62" s="35"/>
      <c r="U62" s="35"/>
      <c r="V62" s="35"/>
      <c r="W62" s="35"/>
      <c r="X62" s="35"/>
      <c r="Y62" s="35"/>
      <c r="Z62" s="35"/>
    </row>
    <row r="63" spans="1:26" s="12" customFormat="1" ht="12.75" customHeight="1">
      <c r="A63" s="33" t="s">
        <v>412</v>
      </c>
      <c r="B63" s="34">
        <f>COUNTA($B$1:B62)</f>
        <v>58</v>
      </c>
      <c r="C63" s="35" t="s">
        <v>238</v>
      </c>
      <c r="D63" s="35"/>
      <c r="E63" s="35"/>
      <c r="F63" s="34"/>
      <c r="G63" s="35" t="s">
        <v>133</v>
      </c>
      <c r="H63" s="35"/>
      <c r="I63" s="35" t="s">
        <v>55</v>
      </c>
      <c r="J63" s="35" t="s">
        <v>90</v>
      </c>
      <c r="K63" s="34">
        <v>0</v>
      </c>
      <c r="L63" s="35" t="s">
        <v>0</v>
      </c>
      <c r="M63" s="50" t="s">
        <v>239</v>
      </c>
      <c r="N63" s="35"/>
      <c r="O63" s="35"/>
      <c r="P63" s="35"/>
      <c r="Q63" s="35"/>
      <c r="R63" s="52"/>
      <c r="S63" s="35"/>
      <c r="T63" s="35"/>
      <c r="U63" s="35"/>
      <c r="V63" s="35"/>
      <c r="W63" s="35"/>
      <c r="X63" s="35"/>
      <c r="Y63" s="35"/>
      <c r="Z63" s="35"/>
    </row>
    <row r="64" spans="1:26" s="16" customFormat="1" outlineLevel="1">
      <c r="A64" s="33" t="s">
        <v>412</v>
      </c>
      <c r="B64" s="34">
        <f>COUNTA($B$1:B63)</f>
        <v>59</v>
      </c>
      <c r="C64" s="35" t="s">
        <v>240</v>
      </c>
      <c r="D64" s="35"/>
      <c r="E64" s="35"/>
      <c r="F64" s="34"/>
      <c r="G64" s="35" t="s">
        <v>133</v>
      </c>
      <c r="H64" s="35"/>
      <c r="I64" s="35" t="s">
        <v>55</v>
      </c>
      <c r="J64" s="35" t="s">
        <v>241</v>
      </c>
      <c r="K64" s="34">
        <v>0</v>
      </c>
      <c r="L64" s="35" t="s">
        <v>0</v>
      </c>
      <c r="M64" s="50" t="s">
        <v>242</v>
      </c>
      <c r="N64" s="35"/>
      <c r="O64" s="35"/>
      <c r="P64" s="35"/>
      <c r="Q64" s="35"/>
      <c r="R64" s="52"/>
      <c r="S64" s="35"/>
      <c r="T64" s="35"/>
      <c r="U64" s="35"/>
      <c r="V64" s="35"/>
      <c r="W64" s="35"/>
      <c r="X64" s="35"/>
      <c r="Y64" s="35"/>
      <c r="Z64" s="35"/>
    </row>
    <row r="65" spans="1:26" s="17" customFormat="1">
      <c r="A65" s="33" t="s">
        <v>412</v>
      </c>
      <c r="B65" s="34">
        <f>COUNTA($B$1:B64)</f>
        <v>60</v>
      </c>
      <c r="C65" s="35" t="s">
        <v>190</v>
      </c>
      <c r="D65" s="35"/>
      <c r="E65" s="35"/>
      <c r="F65" s="34"/>
      <c r="G65" s="35" t="s">
        <v>133</v>
      </c>
      <c r="H65" s="35"/>
      <c r="I65" s="35" t="s">
        <v>55</v>
      </c>
      <c r="J65" s="35" t="s">
        <v>87</v>
      </c>
      <c r="K65" s="34">
        <v>0</v>
      </c>
      <c r="L65" s="35" t="s">
        <v>147</v>
      </c>
      <c r="M65" s="36"/>
      <c r="N65" s="35"/>
      <c r="O65" s="35"/>
      <c r="P65" s="35"/>
      <c r="Q65" s="35"/>
      <c r="R65" s="35"/>
      <c r="S65" s="35"/>
      <c r="T65" s="35"/>
      <c r="U65" s="35"/>
      <c r="V65" s="35"/>
      <c r="W65" s="35"/>
      <c r="X65" s="35"/>
      <c r="Y65" s="35"/>
      <c r="Z65" s="35"/>
    </row>
    <row r="66" spans="1:26" s="17" customFormat="1">
      <c r="A66" s="33" t="s">
        <v>412</v>
      </c>
      <c r="B66" s="34">
        <f>COUNTA($B$1:B65)</f>
        <v>61</v>
      </c>
      <c r="C66" s="35" t="s">
        <v>67</v>
      </c>
      <c r="D66" s="35"/>
      <c r="E66" s="35"/>
      <c r="F66" s="34"/>
      <c r="G66" s="35" t="s">
        <v>133</v>
      </c>
      <c r="H66" s="35"/>
      <c r="I66" s="35"/>
      <c r="J66" s="35"/>
      <c r="K66" s="34"/>
      <c r="L66" s="35" t="s">
        <v>67</v>
      </c>
      <c r="M66" s="36">
        <v>10</v>
      </c>
      <c r="N66" s="35"/>
      <c r="O66" s="35"/>
      <c r="P66" s="35"/>
      <c r="Q66" s="35"/>
      <c r="R66" s="36"/>
      <c r="S66" s="35"/>
      <c r="T66" s="35"/>
      <c r="U66" s="35"/>
      <c r="V66" s="35"/>
      <c r="W66" s="35"/>
      <c r="X66" s="35"/>
      <c r="Y66" s="35"/>
      <c r="Z66" s="35"/>
    </row>
    <row r="67" spans="1:26" s="17" customFormat="1">
      <c r="A67" s="30" t="s">
        <v>91</v>
      </c>
      <c r="B67" s="31"/>
      <c r="C67" s="31"/>
      <c r="D67" s="32"/>
      <c r="E67" s="32"/>
      <c r="F67" s="31"/>
      <c r="G67" s="32"/>
      <c r="H67" s="32"/>
      <c r="I67" s="32"/>
      <c r="J67" s="32"/>
      <c r="K67" s="31"/>
      <c r="L67" s="32"/>
      <c r="M67" s="32"/>
      <c r="N67" s="32"/>
      <c r="O67" s="32"/>
      <c r="P67" s="32"/>
      <c r="Q67" s="32"/>
      <c r="R67" s="32"/>
      <c r="S67" s="32"/>
      <c r="T67" s="32"/>
      <c r="U67" s="32"/>
      <c r="V67" s="32"/>
      <c r="W67" s="32"/>
      <c r="X67" s="32"/>
      <c r="Y67" s="32"/>
      <c r="Z67" s="32"/>
    </row>
    <row r="68" spans="1:26" s="17" customFormat="1">
      <c r="A68" s="45" t="s">
        <v>412</v>
      </c>
      <c r="B68" s="34">
        <f>COUNTA($B$1:B67)</f>
        <v>62</v>
      </c>
      <c r="C68" s="46" t="s">
        <v>140</v>
      </c>
      <c r="D68" s="46"/>
      <c r="E68" s="46"/>
      <c r="F68" s="47"/>
      <c r="G68" s="46" t="s">
        <v>133</v>
      </c>
      <c r="H68" s="46"/>
      <c r="I68" s="46" t="s">
        <v>55</v>
      </c>
      <c r="J68" s="46" t="s">
        <v>141</v>
      </c>
      <c r="K68" s="47"/>
      <c r="L68" s="46" t="s">
        <v>142</v>
      </c>
      <c r="M68" s="48"/>
      <c r="N68" s="46"/>
      <c r="O68" s="46" t="s">
        <v>2</v>
      </c>
      <c r="P68" s="46"/>
      <c r="Q68" s="46"/>
      <c r="R68" s="49"/>
      <c r="S68" s="46"/>
      <c r="T68" s="46"/>
      <c r="U68" s="46"/>
      <c r="V68" s="46"/>
      <c r="W68" s="46"/>
      <c r="X68" s="46"/>
      <c r="Y68" s="46"/>
      <c r="Z68" s="46"/>
    </row>
    <row r="69" spans="1:26" s="17" customFormat="1">
      <c r="A69" s="45" t="s">
        <v>412</v>
      </c>
      <c r="B69" s="34">
        <f>COUNTA($B$1:B68)</f>
        <v>63</v>
      </c>
      <c r="C69" s="46" t="s">
        <v>143</v>
      </c>
      <c r="D69" s="46"/>
      <c r="E69" s="46"/>
      <c r="F69" s="47"/>
      <c r="G69" s="46" t="s">
        <v>133</v>
      </c>
      <c r="H69" s="46"/>
      <c r="I69" s="46" t="s">
        <v>55</v>
      </c>
      <c r="J69" s="46" t="s">
        <v>141</v>
      </c>
      <c r="K69" s="47"/>
      <c r="L69" s="46" t="s">
        <v>98</v>
      </c>
      <c r="M69" s="48"/>
      <c r="N69" s="46" t="s">
        <v>99</v>
      </c>
      <c r="O69" s="46" t="s">
        <v>2</v>
      </c>
      <c r="P69" s="46"/>
      <c r="Q69" s="46"/>
      <c r="R69" s="49" t="s">
        <v>144</v>
      </c>
      <c r="S69" s="46"/>
      <c r="T69" s="46"/>
      <c r="U69" s="46"/>
      <c r="V69" s="46"/>
      <c r="W69" s="46"/>
      <c r="X69" s="46"/>
      <c r="Y69" s="46"/>
      <c r="Z69" s="46"/>
    </row>
    <row r="70" spans="1:26" s="17" customFormat="1">
      <c r="A70" s="45" t="s">
        <v>412</v>
      </c>
      <c r="B70" s="34">
        <f>COUNTA($B$1:B69)</f>
        <v>64</v>
      </c>
      <c r="C70" s="46" t="s">
        <v>145</v>
      </c>
      <c r="D70" s="46"/>
      <c r="E70" s="46"/>
      <c r="F70" s="47"/>
      <c r="G70" s="46" t="s">
        <v>133</v>
      </c>
      <c r="H70" s="46"/>
      <c r="I70" s="46" t="s">
        <v>55</v>
      </c>
      <c r="J70" s="46" t="s">
        <v>146</v>
      </c>
      <c r="K70" s="47"/>
      <c r="L70" s="46" t="s">
        <v>147</v>
      </c>
      <c r="M70" s="48"/>
      <c r="N70" s="46"/>
      <c r="O70" s="46" t="s">
        <v>2</v>
      </c>
      <c r="P70" s="46"/>
      <c r="Q70" s="46"/>
      <c r="R70" s="48"/>
      <c r="S70" s="46"/>
      <c r="T70" s="46"/>
      <c r="U70" s="46"/>
      <c r="V70" s="46"/>
      <c r="W70" s="46"/>
      <c r="X70" s="46"/>
      <c r="Y70" s="46"/>
      <c r="Z70" s="46"/>
    </row>
    <row r="71" spans="1:26" s="17" customFormat="1">
      <c r="A71" s="33" t="s">
        <v>412</v>
      </c>
      <c r="B71" s="34">
        <f>COUNTA($B$1:B70)</f>
        <v>65</v>
      </c>
      <c r="C71" s="35" t="s">
        <v>93</v>
      </c>
      <c r="D71" s="35"/>
      <c r="E71" s="35"/>
      <c r="F71" s="34"/>
      <c r="G71" s="35" t="s">
        <v>133</v>
      </c>
      <c r="H71" s="35"/>
      <c r="I71" s="35" t="s">
        <v>55</v>
      </c>
      <c r="J71" s="35" t="s">
        <v>92</v>
      </c>
      <c r="K71" s="34">
        <v>0</v>
      </c>
      <c r="L71" s="35" t="s">
        <v>0</v>
      </c>
      <c r="M71" s="50" t="s">
        <v>261</v>
      </c>
      <c r="N71" s="35"/>
      <c r="O71" s="35"/>
      <c r="P71" s="35"/>
      <c r="Q71" s="35"/>
      <c r="R71" s="52"/>
      <c r="S71" s="35"/>
      <c r="T71" s="35"/>
      <c r="U71" s="35"/>
      <c r="V71" s="35"/>
      <c r="W71" s="35"/>
      <c r="X71" s="35"/>
      <c r="Y71" s="35"/>
      <c r="Z71" s="35"/>
    </row>
    <row r="72" spans="1:26">
      <c r="A72" s="33" t="s">
        <v>412</v>
      </c>
      <c r="B72" s="34">
        <f>COUNTA($B$1:B71)</f>
        <v>66</v>
      </c>
      <c r="C72" s="35" t="s">
        <v>262</v>
      </c>
      <c r="D72" s="35"/>
      <c r="E72" s="35"/>
      <c r="F72" s="34"/>
      <c r="G72" s="35" t="s">
        <v>133</v>
      </c>
      <c r="H72" s="35"/>
      <c r="I72" s="35"/>
      <c r="J72" s="35"/>
      <c r="K72" s="34">
        <v>2</v>
      </c>
      <c r="L72" s="35" t="s">
        <v>95</v>
      </c>
      <c r="M72" s="35"/>
      <c r="N72" s="35"/>
      <c r="O72" s="35"/>
      <c r="P72" s="35"/>
      <c r="Q72" s="35"/>
      <c r="R72" s="52"/>
      <c r="S72" s="35"/>
      <c r="T72" s="35"/>
      <c r="U72" s="35"/>
      <c r="V72" s="35"/>
      <c r="W72" s="35"/>
      <c r="X72" s="35"/>
      <c r="Y72" s="35"/>
      <c r="Z72" s="35"/>
    </row>
    <row r="73" spans="1:26">
      <c r="A73" s="33" t="s">
        <v>412</v>
      </c>
      <c r="B73" s="34">
        <f>COUNTA($B$1:B72)</f>
        <v>67</v>
      </c>
      <c r="C73" s="35" t="s">
        <v>94</v>
      </c>
      <c r="D73" s="35"/>
      <c r="E73" s="35"/>
      <c r="F73" s="34"/>
      <c r="G73" s="35" t="s">
        <v>133</v>
      </c>
      <c r="H73" s="35"/>
      <c r="I73" s="35" t="s">
        <v>55</v>
      </c>
      <c r="J73" s="35" t="s">
        <v>263</v>
      </c>
      <c r="K73" s="34">
        <v>0</v>
      </c>
      <c r="L73" s="35" t="s">
        <v>0</v>
      </c>
      <c r="M73" s="50" t="s">
        <v>264</v>
      </c>
      <c r="N73" s="35"/>
      <c r="O73" s="35"/>
      <c r="P73" s="35"/>
      <c r="Q73" s="35"/>
      <c r="R73" s="52"/>
      <c r="S73" s="35"/>
      <c r="T73" s="35"/>
      <c r="U73" s="35"/>
      <c r="V73" s="35"/>
      <c r="W73" s="35"/>
      <c r="X73" s="35"/>
      <c r="Y73" s="35"/>
      <c r="Z73" s="35"/>
    </row>
    <row r="74" spans="1:26">
      <c r="A74" s="33" t="s">
        <v>412</v>
      </c>
      <c r="B74" s="34">
        <f>COUNTA($B$1:B73)</f>
        <v>68</v>
      </c>
      <c r="C74" s="35" t="s">
        <v>262</v>
      </c>
      <c r="D74" s="35"/>
      <c r="E74" s="35"/>
      <c r="F74" s="34"/>
      <c r="G74" s="35" t="s">
        <v>133</v>
      </c>
      <c r="H74" s="35"/>
      <c r="I74" s="35"/>
      <c r="J74" s="35"/>
      <c r="K74" s="34">
        <v>0</v>
      </c>
      <c r="L74" s="35" t="s">
        <v>96</v>
      </c>
      <c r="M74" s="35"/>
      <c r="N74" s="35"/>
      <c r="O74" s="35"/>
      <c r="P74" s="35"/>
      <c r="Q74" s="35"/>
      <c r="R74" s="52"/>
      <c r="S74" s="35"/>
      <c r="T74" s="35"/>
      <c r="U74" s="35"/>
      <c r="V74" s="35"/>
      <c r="W74" s="35"/>
      <c r="X74" s="35"/>
      <c r="Y74" s="35"/>
      <c r="Z74" s="35"/>
    </row>
    <row r="75" spans="1:26">
      <c r="A75" s="33" t="s">
        <v>412</v>
      </c>
      <c r="B75" s="34">
        <f>COUNTA($B$1:B74)</f>
        <v>69</v>
      </c>
      <c r="C75" s="35" t="s">
        <v>262</v>
      </c>
      <c r="D75" s="35"/>
      <c r="E75" s="35"/>
      <c r="F75" s="34"/>
      <c r="G75" s="35" t="s">
        <v>133</v>
      </c>
      <c r="H75" s="35"/>
      <c r="I75" s="35"/>
      <c r="J75" s="35"/>
      <c r="K75" s="34">
        <v>2</v>
      </c>
      <c r="L75" s="35" t="s">
        <v>95</v>
      </c>
      <c r="M75" s="35"/>
      <c r="N75" s="35"/>
      <c r="O75" s="35"/>
      <c r="P75" s="35"/>
      <c r="Q75" s="35"/>
      <c r="R75" s="52"/>
      <c r="S75" s="35"/>
      <c r="T75" s="35"/>
      <c r="U75" s="35"/>
      <c r="V75" s="35"/>
      <c r="W75" s="35"/>
      <c r="X75" s="35"/>
      <c r="Y75" s="35"/>
      <c r="Z75" s="35"/>
    </row>
    <row r="76" spans="1:26">
      <c r="A76" s="217" t="s">
        <v>21</v>
      </c>
      <c r="B76" s="218">
        <f>COUNTA($B$1:B75)</f>
        <v>70</v>
      </c>
      <c r="C76" s="219" t="s">
        <v>226</v>
      </c>
      <c r="D76" s="51"/>
      <c r="E76" s="52"/>
      <c r="F76" s="34"/>
      <c r="G76" s="35" t="s">
        <v>133</v>
      </c>
      <c r="H76" s="35"/>
      <c r="I76" s="35"/>
      <c r="J76" s="35"/>
      <c r="K76" s="34"/>
      <c r="L76" s="35" t="s">
        <v>227</v>
      </c>
      <c r="M76" s="36" t="s">
        <v>79</v>
      </c>
      <c r="N76" s="35"/>
      <c r="O76" s="35"/>
      <c r="P76" s="35"/>
      <c r="Q76" s="35"/>
      <c r="R76" s="35"/>
      <c r="S76" s="52"/>
      <c r="T76" s="35"/>
      <c r="U76" s="35"/>
      <c r="V76" s="35"/>
      <c r="W76" s="35"/>
      <c r="X76" s="52"/>
      <c r="Y76" s="52"/>
      <c r="Z76" s="52"/>
    </row>
    <row r="77" spans="1:26">
      <c r="A77" s="217" t="s">
        <v>21</v>
      </c>
      <c r="B77" s="218">
        <f>COUNTA($B$1:B76)</f>
        <v>71</v>
      </c>
      <c r="C77" s="219" t="s">
        <v>265</v>
      </c>
      <c r="D77" s="35"/>
      <c r="E77" s="35"/>
      <c r="F77" s="34"/>
      <c r="G77" s="35" t="s">
        <v>133</v>
      </c>
      <c r="H77" s="35"/>
      <c r="I77" s="35"/>
      <c r="J77" s="35"/>
      <c r="K77" s="34"/>
      <c r="L77" s="35" t="s">
        <v>227</v>
      </c>
      <c r="M77" s="50" t="s">
        <v>266</v>
      </c>
      <c r="N77" s="35"/>
      <c r="O77" s="35"/>
      <c r="P77" s="35"/>
      <c r="Q77" s="35"/>
      <c r="R77" s="52"/>
      <c r="S77" s="35"/>
      <c r="T77" s="35"/>
      <c r="U77" s="35"/>
      <c r="V77" s="35"/>
      <c r="W77" s="35"/>
      <c r="X77" s="35"/>
      <c r="Y77" s="35"/>
      <c r="Z77" s="35"/>
    </row>
    <row r="78" spans="1:26">
      <c r="A78" s="217" t="s">
        <v>21</v>
      </c>
      <c r="B78" s="218">
        <f>COUNTA($B$1:B77)</f>
        <v>72</v>
      </c>
      <c r="C78" s="219" t="s">
        <v>267</v>
      </c>
      <c r="D78" s="35"/>
      <c r="E78" s="35"/>
      <c r="F78" s="34"/>
      <c r="G78" s="35" t="s">
        <v>133</v>
      </c>
      <c r="H78" s="35"/>
      <c r="I78" s="35"/>
      <c r="J78" s="35"/>
      <c r="K78" s="34"/>
      <c r="L78" s="35" t="s">
        <v>227</v>
      </c>
      <c r="M78" s="50" t="s">
        <v>268</v>
      </c>
      <c r="N78" s="35"/>
      <c r="O78" s="35"/>
      <c r="P78" s="35"/>
      <c r="Q78" s="35"/>
      <c r="R78" s="52"/>
      <c r="S78" s="35"/>
      <c r="T78" s="35"/>
      <c r="U78" s="35"/>
      <c r="V78" s="35"/>
      <c r="W78" s="35"/>
      <c r="X78" s="35"/>
      <c r="Y78" s="35"/>
      <c r="Z78" s="35"/>
    </row>
    <row r="79" spans="1:26">
      <c r="A79" s="217" t="s">
        <v>21</v>
      </c>
      <c r="B79" s="218">
        <f>COUNTA($B$1:B78)</f>
        <v>73</v>
      </c>
      <c r="C79" s="219" t="s">
        <v>226</v>
      </c>
      <c r="D79" s="51"/>
      <c r="E79" s="52"/>
      <c r="F79" s="34"/>
      <c r="G79" s="35" t="s">
        <v>133</v>
      </c>
      <c r="H79" s="35"/>
      <c r="I79" s="35"/>
      <c r="J79" s="35"/>
      <c r="K79" s="34"/>
      <c r="L79" s="35" t="s">
        <v>227</v>
      </c>
      <c r="M79" s="36" t="s">
        <v>79</v>
      </c>
      <c r="N79" s="35"/>
      <c r="O79" s="35"/>
      <c r="P79" s="35"/>
      <c r="Q79" s="35"/>
      <c r="R79" s="35"/>
      <c r="S79" s="52"/>
      <c r="T79" s="35"/>
      <c r="U79" s="35"/>
      <c r="V79" s="35"/>
      <c r="W79" s="35"/>
      <c r="X79" s="52"/>
      <c r="Y79" s="52"/>
      <c r="Z79" s="52"/>
    </row>
    <row r="80" spans="1:26" s="19" customFormat="1" outlineLevel="1">
      <c r="A80" s="33" t="s">
        <v>412</v>
      </c>
      <c r="B80" s="34">
        <f>COUNTA($B$1:B79)</f>
        <v>74</v>
      </c>
      <c r="C80" s="35" t="s">
        <v>948</v>
      </c>
      <c r="D80" s="35"/>
      <c r="E80" s="35"/>
      <c r="F80" s="34"/>
      <c r="G80" s="35" t="s">
        <v>133</v>
      </c>
      <c r="H80" s="35"/>
      <c r="I80" s="35" t="s">
        <v>55</v>
      </c>
      <c r="J80" s="35" t="s">
        <v>949</v>
      </c>
      <c r="K80" s="34">
        <v>0</v>
      </c>
      <c r="L80" s="35" t="s">
        <v>34</v>
      </c>
      <c r="M80" s="35"/>
      <c r="N80" s="35"/>
      <c r="O80" s="35"/>
      <c r="P80" s="35"/>
      <c r="Q80" s="35"/>
      <c r="R80" s="35"/>
      <c r="S80" s="35"/>
      <c r="T80" s="35"/>
      <c r="U80" s="35"/>
      <c r="V80" s="35"/>
      <c r="W80" s="35"/>
      <c r="X80" s="35"/>
      <c r="Y80" s="35"/>
      <c r="Z80" s="35"/>
    </row>
    <row r="81" spans="1:26" s="19" customFormat="1" outlineLevel="1">
      <c r="A81" s="33" t="s">
        <v>412</v>
      </c>
      <c r="B81" s="34">
        <f>COUNTA($B$1:B80)</f>
        <v>75</v>
      </c>
      <c r="C81" s="35" t="s">
        <v>67</v>
      </c>
      <c r="D81" s="35"/>
      <c r="E81" s="35"/>
      <c r="F81" s="34"/>
      <c r="G81" s="35" t="s">
        <v>133</v>
      </c>
      <c r="H81" s="35"/>
      <c r="I81" s="35"/>
      <c r="J81" s="35"/>
      <c r="K81" s="34"/>
      <c r="L81" s="35" t="s">
        <v>67</v>
      </c>
      <c r="M81" s="36">
        <v>2</v>
      </c>
      <c r="N81" s="35"/>
      <c r="O81" s="35"/>
      <c r="P81" s="35"/>
      <c r="Q81" s="35"/>
      <c r="R81" s="35"/>
      <c r="S81" s="35"/>
      <c r="T81" s="35"/>
      <c r="U81" s="35"/>
      <c r="V81" s="35"/>
      <c r="W81" s="35"/>
      <c r="X81" s="35"/>
      <c r="Y81" s="35"/>
      <c r="Z81" s="35"/>
    </row>
    <row r="82" spans="1:26" s="19" customFormat="1" outlineLevel="1">
      <c r="A82" s="33" t="s">
        <v>412</v>
      </c>
      <c r="B82" s="34">
        <f>COUNTA($B$1:B81)</f>
        <v>76</v>
      </c>
      <c r="C82" s="35" t="s">
        <v>952</v>
      </c>
      <c r="D82" s="35"/>
      <c r="E82" s="35"/>
      <c r="F82" s="34"/>
      <c r="G82" s="35" t="s">
        <v>133</v>
      </c>
      <c r="H82" s="35"/>
      <c r="I82" s="35" t="s">
        <v>55</v>
      </c>
      <c r="J82" s="35" t="s">
        <v>949</v>
      </c>
      <c r="K82" s="34">
        <v>0</v>
      </c>
      <c r="L82" s="35" t="s">
        <v>951</v>
      </c>
      <c r="M82" s="50" t="s">
        <v>266</v>
      </c>
      <c r="N82" s="35"/>
      <c r="O82" s="35"/>
      <c r="P82" s="35"/>
      <c r="Q82" s="35"/>
      <c r="R82" s="35"/>
      <c r="S82" s="35"/>
      <c r="T82" s="35"/>
      <c r="U82" s="35"/>
      <c r="V82" s="35"/>
      <c r="W82" s="35"/>
      <c r="X82" s="35"/>
      <c r="Y82" s="35"/>
      <c r="Z82" s="35"/>
    </row>
    <row r="83" spans="1:26" s="19" customFormat="1" outlineLevel="1">
      <c r="A83" s="33" t="s">
        <v>412</v>
      </c>
      <c r="B83" s="34">
        <f>COUNTA($B$1:B82)</f>
        <v>77</v>
      </c>
      <c r="C83" s="35" t="s">
        <v>953</v>
      </c>
      <c r="D83" s="35"/>
      <c r="E83" s="35"/>
      <c r="F83" s="34"/>
      <c r="G83" s="35" t="s">
        <v>133</v>
      </c>
      <c r="H83" s="35"/>
      <c r="I83" s="35" t="s">
        <v>55</v>
      </c>
      <c r="J83" s="35" t="s">
        <v>949</v>
      </c>
      <c r="K83" s="34">
        <v>0</v>
      </c>
      <c r="L83" s="35" t="s">
        <v>951</v>
      </c>
      <c r="M83" s="50" t="s">
        <v>268</v>
      </c>
      <c r="N83" s="35"/>
      <c r="O83" s="35"/>
      <c r="P83" s="35"/>
      <c r="Q83" s="35"/>
      <c r="R83" s="35"/>
      <c r="S83" s="35"/>
      <c r="T83" s="35"/>
      <c r="U83" s="35"/>
      <c r="V83" s="35"/>
      <c r="W83" s="35"/>
      <c r="X83" s="35"/>
      <c r="Y83" s="35"/>
      <c r="Z83" s="35"/>
    </row>
    <row r="84" spans="1:26" s="19" customFormat="1" outlineLevel="1">
      <c r="A84" s="33" t="s">
        <v>412</v>
      </c>
      <c r="B84" s="34">
        <f>COUNTA($B$1:B83)</f>
        <v>78</v>
      </c>
      <c r="C84" s="35" t="s">
        <v>67</v>
      </c>
      <c r="D84" s="35"/>
      <c r="E84" s="35"/>
      <c r="F84" s="34"/>
      <c r="G84" s="35" t="s">
        <v>133</v>
      </c>
      <c r="H84" s="35"/>
      <c r="I84" s="35"/>
      <c r="J84" s="35"/>
      <c r="K84" s="34"/>
      <c r="L84" s="35" t="s">
        <v>67</v>
      </c>
      <c r="M84" s="36">
        <v>2</v>
      </c>
      <c r="N84" s="35"/>
      <c r="O84" s="35"/>
      <c r="P84" s="35"/>
      <c r="Q84" s="35"/>
      <c r="R84" s="35"/>
      <c r="S84" s="35"/>
      <c r="T84" s="35"/>
      <c r="U84" s="35"/>
      <c r="V84" s="35"/>
      <c r="W84" s="35"/>
      <c r="X84" s="35"/>
      <c r="Y84" s="35"/>
      <c r="Z84" s="35"/>
    </row>
    <row r="85" spans="1:26">
      <c r="A85" s="33" t="s">
        <v>412</v>
      </c>
      <c r="B85" s="34">
        <f>COUNTA($B$1:B84)</f>
        <v>79</v>
      </c>
      <c r="C85" s="35" t="s">
        <v>262</v>
      </c>
      <c r="D85" s="35"/>
      <c r="E85" s="35"/>
      <c r="F85" s="34"/>
      <c r="G85" s="35" t="s">
        <v>133</v>
      </c>
      <c r="H85" s="35"/>
      <c r="I85" s="35"/>
      <c r="J85" s="35"/>
      <c r="K85" s="34">
        <v>0</v>
      </c>
      <c r="L85" s="35" t="s">
        <v>96</v>
      </c>
      <c r="M85" s="35"/>
      <c r="N85" s="35"/>
      <c r="O85" s="35"/>
      <c r="P85" s="35"/>
      <c r="Q85" s="35"/>
      <c r="R85" s="52"/>
      <c r="S85" s="35"/>
      <c r="T85" s="35"/>
      <c r="U85" s="35"/>
      <c r="V85" s="35"/>
      <c r="W85" s="35"/>
      <c r="X85" s="35"/>
      <c r="Y85" s="35"/>
      <c r="Z85" s="35"/>
    </row>
    <row r="86" spans="1:26">
      <c r="A86" s="33" t="s">
        <v>412</v>
      </c>
      <c r="B86" s="34">
        <f>COUNTA($B$1:B85)</f>
        <v>80</v>
      </c>
      <c r="C86" s="35" t="s">
        <v>67</v>
      </c>
      <c r="D86" s="35"/>
      <c r="E86" s="35"/>
      <c r="F86" s="34"/>
      <c r="G86" s="35" t="s">
        <v>133</v>
      </c>
      <c r="H86" s="35"/>
      <c r="I86" s="35"/>
      <c r="J86" s="35"/>
      <c r="K86" s="34"/>
      <c r="L86" s="35" t="s">
        <v>67</v>
      </c>
      <c r="M86" s="36">
        <v>10</v>
      </c>
      <c r="N86" s="35"/>
      <c r="O86" s="35"/>
      <c r="P86" s="35"/>
      <c r="Q86" s="35"/>
      <c r="R86" s="36"/>
      <c r="S86" s="35"/>
      <c r="T86" s="35"/>
      <c r="U86" s="35"/>
      <c r="V86" s="35"/>
      <c r="W86" s="35"/>
      <c r="X86" s="35"/>
      <c r="Y86" s="35"/>
      <c r="Z86" s="35"/>
    </row>
    <row r="87" spans="1:26">
      <c r="A87" s="30" t="s">
        <v>269</v>
      </c>
      <c r="B87" s="31"/>
      <c r="C87" s="31"/>
      <c r="D87" s="32"/>
      <c r="E87" s="32"/>
      <c r="F87" s="31"/>
      <c r="G87" s="32"/>
      <c r="H87" s="32"/>
      <c r="I87" s="32"/>
      <c r="J87" s="32"/>
      <c r="K87" s="31"/>
      <c r="L87" s="32"/>
      <c r="M87" s="32"/>
      <c r="N87" s="32"/>
      <c r="O87" s="32"/>
      <c r="P87" s="32"/>
      <c r="Q87" s="32"/>
      <c r="R87" s="32"/>
      <c r="S87" s="32"/>
      <c r="T87" s="32"/>
      <c r="U87" s="32"/>
      <c r="V87" s="32"/>
      <c r="W87" s="32"/>
      <c r="X87" s="32"/>
      <c r="Y87" s="32"/>
      <c r="Z87" s="32"/>
    </row>
    <row r="88" spans="1:26">
      <c r="A88" s="33" t="s">
        <v>412</v>
      </c>
      <c r="B88" s="34">
        <f>COUNTA($B$1:B87)</f>
        <v>81</v>
      </c>
      <c r="C88" s="35" t="s">
        <v>415</v>
      </c>
      <c r="D88" s="35"/>
      <c r="E88" s="35"/>
      <c r="F88" s="34"/>
      <c r="G88" s="35" t="s">
        <v>133</v>
      </c>
      <c r="H88" s="35"/>
      <c r="I88" s="35" t="s">
        <v>55</v>
      </c>
      <c r="J88" s="35" t="s">
        <v>271</v>
      </c>
      <c r="K88" s="34">
        <v>0</v>
      </c>
      <c r="L88" s="35" t="s">
        <v>147</v>
      </c>
      <c r="M88" s="35"/>
      <c r="N88" s="35"/>
      <c r="O88" s="35"/>
      <c r="P88" s="35"/>
      <c r="Q88" s="35"/>
      <c r="R88" s="52"/>
      <c r="S88" s="35"/>
      <c r="T88" s="35"/>
      <c r="U88" s="35"/>
      <c r="V88" s="35"/>
      <c r="W88" s="35"/>
      <c r="X88" s="35"/>
      <c r="Y88" s="35"/>
      <c r="Z88" s="35"/>
    </row>
    <row r="89" spans="1:26">
      <c r="A89" s="33" t="s">
        <v>412</v>
      </c>
      <c r="B89" s="34">
        <f>COUNTA($B$1:B88)</f>
        <v>82</v>
      </c>
      <c r="C89" s="35" t="s">
        <v>148</v>
      </c>
      <c r="D89" s="35"/>
      <c r="E89" s="35"/>
      <c r="F89" s="34"/>
      <c r="G89" s="35" t="s">
        <v>133</v>
      </c>
      <c r="H89" s="35"/>
      <c r="I89" s="35" t="s">
        <v>55</v>
      </c>
      <c r="J89" s="35" t="s">
        <v>273</v>
      </c>
      <c r="K89" s="34">
        <v>0</v>
      </c>
      <c r="L89" s="35" t="s">
        <v>34</v>
      </c>
      <c r="M89" s="35"/>
      <c r="N89" s="35"/>
      <c r="O89" s="35"/>
      <c r="P89" s="35"/>
      <c r="Q89" s="35"/>
      <c r="R89" s="35"/>
      <c r="S89" s="35"/>
      <c r="T89" s="35"/>
      <c r="U89" s="35"/>
      <c r="V89" s="35"/>
      <c r="W89" s="35"/>
      <c r="X89" s="35"/>
      <c r="Y89" s="35"/>
      <c r="Z89" s="35"/>
    </row>
    <row r="90" spans="1:26">
      <c r="A90" s="33" t="s">
        <v>412</v>
      </c>
      <c r="B90" s="34">
        <f>COUNTA($B$1:B89)</f>
        <v>83</v>
      </c>
      <c r="C90" s="35" t="s">
        <v>67</v>
      </c>
      <c r="D90" s="35"/>
      <c r="E90" s="35"/>
      <c r="F90" s="34"/>
      <c r="G90" s="35" t="s">
        <v>133</v>
      </c>
      <c r="H90" s="35"/>
      <c r="I90" s="35"/>
      <c r="J90" s="35"/>
      <c r="K90" s="34"/>
      <c r="L90" s="35" t="s">
        <v>67</v>
      </c>
      <c r="M90" s="36">
        <v>2</v>
      </c>
      <c r="N90" s="35"/>
      <c r="O90" s="35"/>
      <c r="P90" s="35"/>
      <c r="Q90" s="35"/>
      <c r="R90" s="35"/>
      <c r="S90" s="35"/>
      <c r="T90" s="35"/>
      <c r="U90" s="35"/>
      <c r="V90" s="35"/>
      <c r="W90" s="35"/>
      <c r="X90" s="35"/>
      <c r="Y90" s="35"/>
      <c r="Z90" s="35"/>
    </row>
    <row r="91" spans="1:26">
      <c r="A91" s="33" t="s">
        <v>412</v>
      </c>
      <c r="B91" s="34">
        <f>COUNTA($B$1:B90)</f>
        <v>84</v>
      </c>
      <c r="C91" s="35" t="s">
        <v>150</v>
      </c>
      <c r="D91" s="35"/>
      <c r="E91" s="35"/>
      <c r="F91" s="34"/>
      <c r="G91" s="35" t="s">
        <v>133</v>
      </c>
      <c r="H91" s="35"/>
      <c r="I91" s="35" t="s">
        <v>55</v>
      </c>
      <c r="J91" s="35" t="s">
        <v>273</v>
      </c>
      <c r="K91" s="34">
        <v>0</v>
      </c>
      <c r="L91" s="35" t="s">
        <v>151</v>
      </c>
      <c r="M91" s="50" t="s">
        <v>274</v>
      </c>
      <c r="N91" s="35"/>
      <c r="O91" s="35"/>
      <c r="P91" s="35"/>
      <c r="Q91" s="35"/>
      <c r="R91" s="35"/>
      <c r="S91" s="35"/>
      <c r="T91" s="35"/>
      <c r="U91" s="35"/>
      <c r="V91" s="35"/>
      <c r="W91" s="35"/>
      <c r="X91" s="35"/>
      <c r="Y91" s="35"/>
      <c r="Z91" s="35"/>
    </row>
    <row r="92" spans="1:26" s="17" customFormat="1">
      <c r="A92" s="33" t="s">
        <v>412</v>
      </c>
      <c r="B92" s="34">
        <f>COUNTA($B$1:B91)</f>
        <v>85</v>
      </c>
      <c r="C92" s="35" t="s">
        <v>67</v>
      </c>
      <c r="D92" s="35"/>
      <c r="E92" s="35"/>
      <c r="F92" s="34"/>
      <c r="G92" s="35" t="s">
        <v>133</v>
      </c>
      <c r="H92" s="35"/>
      <c r="I92" s="35"/>
      <c r="J92" s="35"/>
      <c r="K92" s="34"/>
      <c r="L92" s="35" t="s">
        <v>67</v>
      </c>
      <c r="M92" s="36">
        <v>2</v>
      </c>
      <c r="N92" s="35"/>
      <c r="O92" s="35"/>
      <c r="P92" s="35"/>
      <c r="Q92" s="35"/>
      <c r="R92" s="35"/>
      <c r="S92" s="35"/>
      <c r="T92" s="35"/>
      <c r="U92" s="35"/>
      <c r="V92" s="35"/>
      <c r="W92" s="35"/>
      <c r="X92" s="35"/>
      <c r="Y92" s="35"/>
      <c r="Z92" s="35"/>
    </row>
    <row r="93" spans="1:26" s="17" customFormat="1">
      <c r="A93" s="33" t="s">
        <v>412</v>
      </c>
      <c r="B93" s="34">
        <f>COUNTA($B$1:B92)</f>
        <v>86</v>
      </c>
      <c r="C93" s="35" t="s">
        <v>148</v>
      </c>
      <c r="D93" s="35"/>
      <c r="E93" s="35"/>
      <c r="F93" s="42"/>
      <c r="G93" s="35" t="s">
        <v>133</v>
      </c>
      <c r="H93" s="35"/>
      <c r="I93" s="35" t="s">
        <v>55</v>
      </c>
      <c r="J93" s="35" t="str">
        <f>"//a[contains(.,'"&amp;M91&amp;"')]"</f>
        <v>//a[contains(.,'Destination1')]</v>
      </c>
      <c r="K93" s="34">
        <v>0</v>
      </c>
      <c r="L93" s="35" t="s">
        <v>147</v>
      </c>
      <c r="M93" s="35"/>
      <c r="N93" s="35"/>
      <c r="O93" s="35"/>
      <c r="P93" s="35"/>
      <c r="Q93" s="35"/>
      <c r="R93" s="35"/>
      <c r="S93" s="35"/>
      <c r="T93" s="35"/>
      <c r="U93" s="35"/>
      <c r="V93" s="35"/>
      <c r="W93" s="35"/>
      <c r="X93" s="35"/>
      <c r="Y93" s="35"/>
      <c r="Z93" s="35"/>
    </row>
    <row r="94" spans="1:26" s="17" customFormat="1">
      <c r="A94" s="33" t="s">
        <v>412</v>
      </c>
      <c r="B94" s="34">
        <f>COUNTA($B$1:B93)</f>
        <v>87</v>
      </c>
      <c r="C94" s="35" t="s">
        <v>153</v>
      </c>
      <c r="D94" s="51"/>
      <c r="E94" s="52" t="s">
        <v>154</v>
      </c>
      <c r="F94" s="38"/>
      <c r="G94" s="35" t="s">
        <v>133</v>
      </c>
      <c r="H94" s="35"/>
      <c r="I94" s="35" t="s">
        <v>55</v>
      </c>
      <c r="J94" s="35" t="s">
        <v>81</v>
      </c>
      <c r="K94" s="34">
        <v>0</v>
      </c>
      <c r="L94" s="35" t="s">
        <v>0</v>
      </c>
      <c r="M94" s="50" t="s">
        <v>275</v>
      </c>
      <c r="N94" s="35"/>
      <c r="O94" s="35"/>
      <c r="P94" s="35"/>
      <c r="Q94" s="35"/>
      <c r="R94" s="35"/>
      <c r="S94" s="52"/>
      <c r="T94" s="35"/>
      <c r="U94" s="35"/>
      <c r="V94" s="35"/>
      <c r="W94" s="35"/>
      <c r="X94" s="52"/>
      <c r="Y94" s="52"/>
      <c r="Z94" s="52"/>
    </row>
    <row r="95" spans="1:26" s="17" customFormat="1">
      <c r="A95" s="33" t="s">
        <v>412</v>
      </c>
      <c r="B95" s="34">
        <f>COUNTA($B$1:B94)</f>
        <v>88</v>
      </c>
      <c r="C95" s="35" t="s">
        <v>156</v>
      </c>
      <c r="D95" s="51"/>
      <c r="E95" s="52" t="s">
        <v>154</v>
      </c>
      <c r="F95" s="38"/>
      <c r="G95" s="35" t="s">
        <v>133</v>
      </c>
      <c r="H95" s="35"/>
      <c r="I95" s="35" t="s">
        <v>55</v>
      </c>
      <c r="J95" s="35" t="s">
        <v>82</v>
      </c>
      <c r="K95" s="34">
        <v>0</v>
      </c>
      <c r="L95" s="35" t="s">
        <v>0</v>
      </c>
      <c r="M95" s="50" t="s">
        <v>276</v>
      </c>
      <c r="N95" s="35"/>
      <c r="O95" s="35"/>
      <c r="P95" s="35"/>
      <c r="Q95" s="35"/>
      <c r="R95" s="35"/>
      <c r="S95" s="52"/>
      <c r="T95" s="35"/>
      <c r="U95" s="35"/>
      <c r="V95" s="35"/>
      <c r="W95" s="35"/>
      <c r="X95" s="52"/>
      <c r="Y95" s="52"/>
      <c r="Z95" s="52"/>
    </row>
    <row r="96" spans="1:26" s="17" customFormat="1">
      <c r="A96" s="33" t="s">
        <v>412</v>
      </c>
      <c r="B96" s="34">
        <f>COUNTA($B$1:B95)</f>
        <v>89</v>
      </c>
      <c r="C96" s="35" t="s">
        <v>158</v>
      </c>
      <c r="D96" s="51"/>
      <c r="E96" s="52" t="s">
        <v>154</v>
      </c>
      <c r="F96" s="38"/>
      <c r="G96" s="35" t="s">
        <v>133</v>
      </c>
      <c r="H96" s="35"/>
      <c r="I96" s="35" t="s">
        <v>55</v>
      </c>
      <c r="J96" s="35" t="s">
        <v>159</v>
      </c>
      <c r="K96" s="34">
        <v>0</v>
      </c>
      <c r="L96" s="35" t="s">
        <v>0</v>
      </c>
      <c r="M96" s="50" t="s">
        <v>160</v>
      </c>
      <c r="N96" s="35"/>
      <c r="O96" s="35"/>
      <c r="P96" s="35"/>
      <c r="Q96" s="35"/>
      <c r="R96" s="35"/>
      <c r="S96" s="52"/>
      <c r="T96" s="35"/>
      <c r="U96" s="35"/>
      <c r="V96" s="35"/>
      <c r="W96" s="35"/>
      <c r="X96" s="52"/>
      <c r="Y96" s="52"/>
      <c r="Z96" s="52"/>
    </row>
    <row r="97" spans="1:26" s="17" customFormat="1">
      <c r="A97" s="33" t="s">
        <v>412</v>
      </c>
      <c r="B97" s="34">
        <f>COUNTA($B$1:B96)</f>
        <v>90</v>
      </c>
      <c r="C97" s="35" t="s">
        <v>161</v>
      </c>
      <c r="D97" s="35"/>
      <c r="E97" s="35"/>
      <c r="F97" s="34"/>
      <c r="G97" s="35" t="s">
        <v>133</v>
      </c>
      <c r="H97" s="35"/>
      <c r="I97" s="35" t="s">
        <v>55</v>
      </c>
      <c r="J97" s="35" t="s">
        <v>277</v>
      </c>
      <c r="K97" s="34">
        <v>0</v>
      </c>
      <c r="L97" s="35" t="s">
        <v>34</v>
      </c>
      <c r="M97" s="35"/>
      <c r="N97" s="35"/>
      <c r="O97" s="35"/>
      <c r="P97" s="35"/>
      <c r="Q97" s="35"/>
      <c r="R97" s="35"/>
      <c r="S97" s="35"/>
      <c r="T97" s="35"/>
      <c r="U97" s="35"/>
      <c r="V97" s="35"/>
      <c r="W97" s="35"/>
      <c r="X97" s="35"/>
      <c r="Y97" s="35"/>
      <c r="Z97" s="35"/>
    </row>
    <row r="98" spans="1:26" s="17" customFormat="1">
      <c r="A98" s="33" t="s">
        <v>412</v>
      </c>
      <c r="B98" s="34">
        <f>COUNTA($B$1:B97)</f>
        <v>91</v>
      </c>
      <c r="C98" s="35" t="s">
        <v>67</v>
      </c>
      <c r="D98" s="35"/>
      <c r="E98" s="35"/>
      <c r="F98" s="34"/>
      <c r="G98" s="35" t="s">
        <v>133</v>
      </c>
      <c r="H98" s="35"/>
      <c r="I98" s="35"/>
      <c r="J98" s="35"/>
      <c r="K98" s="34"/>
      <c r="L98" s="35" t="s">
        <v>67</v>
      </c>
      <c r="M98" s="36">
        <v>2</v>
      </c>
      <c r="N98" s="35"/>
      <c r="O98" s="35"/>
      <c r="P98" s="35"/>
      <c r="Q98" s="35"/>
      <c r="R98" s="35"/>
      <c r="S98" s="35"/>
      <c r="T98" s="35"/>
      <c r="U98" s="35"/>
      <c r="V98" s="35"/>
      <c r="W98" s="35"/>
      <c r="X98" s="35"/>
      <c r="Y98" s="35"/>
      <c r="Z98" s="35"/>
    </row>
    <row r="99" spans="1:26" s="17" customFormat="1">
      <c r="A99" s="33" t="s">
        <v>412</v>
      </c>
      <c r="B99" s="34">
        <f>COUNTA($B$1:B98)</f>
        <v>92</v>
      </c>
      <c r="C99" s="35" t="s">
        <v>163</v>
      </c>
      <c r="D99" s="35"/>
      <c r="E99" s="35"/>
      <c r="F99" s="34"/>
      <c r="G99" s="35" t="s">
        <v>133</v>
      </c>
      <c r="H99" s="35"/>
      <c r="I99" s="35" t="s">
        <v>55</v>
      </c>
      <c r="J99" s="35" t="s">
        <v>277</v>
      </c>
      <c r="K99" s="34">
        <v>0</v>
      </c>
      <c r="L99" s="35" t="s">
        <v>151</v>
      </c>
      <c r="M99" s="50" t="s">
        <v>278</v>
      </c>
      <c r="N99" s="35"/>
      <c r="O99" s="35"/>
      <c r="P99" s="35"/>
      <c r="Q99" s="35"/>
      <c r="R99" s="35"/>
      <c r="S99" s="35"/>
      <c r="T99" s="35"/>
      <c r="U99" s="35"/>
      <c r="V99" s="35"/>
      <c r="W99" s="35"/>
      <c r="X99" s="35"/>
      <c r="Y99" s="35"/>
      <c r="Z99" s="35"/>
    </row>
    <row r="100" spans="1:26">
      <c r="A100" s="33" t="s">
        <v>412</v>
      </c>
      <c r="B100" s="34">
        <f>COUNTA($B$1:B99)</f>
        <v>93</v>
      </c>
      <c r="C100" s="35" t="s">
        <v>67</v>
      </c>
      <c r="D100" s="35"/>
      <c r="E100" s="35"/>
      <c r="F100" s="34"/>
      <c r="G100" s="35" t="s">
        <v>133</v>
      </c>
      <c r="H100" s="35"/>
      <c r="I100" s="35"/>
      <c r="J100" s="35"/>
      <c r="K100" s="34"/>
      <c r="L100" s="35" t="s">
        <v>67</v>
      </c>
      <c r="M100" s="36">
        <v>2</v>
      </c>
      <c r="N100" s="35"/>
      <c r="O100" s="35"/>
      <c r="P100" s="35"/>
      <c r="Q100" s="35"/>
      <c r="R100" s="35"/>
      <c r="S100" s="35"/>
      <c r="T100" s="35"/>
      <c r="U100" s="35"/>
      <c r="V100" s="35"/>
      <c r="W100" s="35"/>
      <c r="X100" s="35"/>
      <c r="Y100" s="35"/>
      <c r="Z100" s="35"/>
    </row>
    <row r="101" spans="1:26">
      <c r="A101" s="33" t="s">
        <v>412</v>
      </c>
      <c r="B101" s="34">
        <f>COUNTA($B$1:B100)</f>
        <v>94</v>
      </c>
      <c r="C101" s="35" t="s">
        <v>161</v>
      </c>
      <c r="D101" s="35"/>
      <c r="E101" s="35"/>
      <c r="F101" s="42"/>
      <c r="G101" s="35" t="s">
        <v>133</v>
      </c>
      <c r="H101" s="35"/>
      <c r="I101" s="35" t="s">
        <v>55</v>
      </c>
      <c r="J101" s="35" t="str">
        <f>"//a[contains(.,'"&amp;M99&amp;"')]"</f>
        <v>//a[contains(.,'Residence1')]</v>
      </c>
      <c r="K101" s="34">
        <v>0</v>
      </c>
      <c r="L101" s="35" t="s">
        <v>147</v>
      </c>
      <c r="M101" s="35"/>
      <c r="N101" s="35"/>
      <c r="O101" s="35"/>
      <c r="P101" s="35"/>
      <c r="Q101" s="35"/>
      <c r="R101" s="35"/>
      <c r="S101" s="35"/>
      <c r="T101" s="35"/>
      <c r="U101" s="35"/>
      <c r="V101" s="35"/>
      <c r="W101" s="35"/>
      <c r="X101" s="35"/>
      <c r="Y101" s="35"/>
      <c r="Z101" s="35"/>
    </row>
    <row r="102" spans="1:26" s="12" customFormat="1" ht="12.75" customHeight="1">
      <c r="A102" s="33" t="s">
        <v>412</v>
      </c>
      <c r="B102" s="34">
        <f>COUNTA($B$1:B101)</f>
        <v>95</v>
      </c>
      <c r="C102" s="35" t="s">
        <v>165</v>
      </c>
      <c r="D102" s="51"/>
      <c r="E102" s="52" t="s">
        <v>154</v>
      </c>
      <c r="F102" s="38"/>
      <c r="G102" s="35" t="s">
        <v>133</v>
      </c>
      <c r="H102" s="35"/>
      <c r="I102" s="35" t="s">
        <v>55</v>
      </c>
      <c r="J102" s="35" t="s">
        <v>166</v>
      </c>
      <c r="K102" s="34">
        <v>0</v>
      </c>
      <c r="L102" s="35" t="s">
        <v>0</v>
      </c>
      <c r="M102" s="50" t="s">
        <v>174</v>
      </c>
      <c r="N102" s="35"/>
      <c r="O102" s="35"/>
      <c r="P102" s="35"/>
      <c r="Q102" s="35"/>
      <c r="R102" s="35"/>
      <c r="S102" s="52"/>
      <c r="T102" s="35"/>
      <c r="U102" s="35"/>
      <c r="V102" s="35"/>
      <c r="W102" s="35"/>
      <c r="X102" s="52"/>
      <c r="Y102" s="52"/>
      <c r="Z102" s="52"/>
    </row>
    <row r="103" spans="1:26">
      <c r="A103" s="53" t="str">
        <f>A102</f>
        <v>bln680505</v>
      </c>
      <c r="B103" s="34">
        <f>COUNTA($B$1:B102)</f>
        <v>96</v>
      </c>
      <c r="C103" s="35" t="s">
        <v>168</v>
      </c>
      <c r="D103" s="51"/>
      <c r="E103" s="52" t="s">
        <v>154</v>
      </c>
      <c r="F103" s="38"/>
      <c r="G103" s="35" t="s">
        <v>133</v>
      </c>
      <c r="H103" s="35"/>
      <c r="I103" s="35" t="s">
        <v>55</v>
      </c>
      <c r="J103" s="35" t="s">
        <v>169</v>
      </c>
      <c r="K103" s="34">
        <v>0</v>
      </c>
      <c r="L103" s="35" t="s">
        <v>0</v>
      </c>
      <c r="M103" s="50" t="s">
        <v>177</v>
      </c>
      <c r="N103" s="35"/>
      <c r="O103" s="35"/>
      <c r="P103" s="35"/>
      <c r="Q103" s="35"/>
      <c r="R103" s="35"/>
      <c r="S103" s="52"/>
      <c r="T103" s="35"/>
      <c r="U103" s="35"/>
      <c r="V103" s="35"/>
      <c r="W103" s="35"/>
      <c r="X103" s="52"/>
      <c r="Y103" s="52"/>
      <c r="Z103" s="52"/>
    </row>
    <row r="104" spans="1:26">
      <c r="A104" s="33" t="s">
        <v>412</v>
      </c>
      <c r="B104" s="34">
        <f>COUNTA($B$1:B103)</f>
        <v>97</v>
      </c>
      <c r="C104" s="35" t="s">
        <v>190</v>
      </c>
      <c r="D104" s="35"/>
      <c r="E104" s="35"/>
      <c r="F104" s="34"/>
      <c r="G104" s="35" t="s">
        <v>133</v>
      </c>
      <c r="H104" s="35"/>
      <c r="I104" s="35" t="s">
        <v>55</v>
      </c>
      <c r="J104" s="35" t="s">
        <v>87</v>
      </c>
      <c r="K104" s="34">
        <v>0</v>
      </c>
      <c r="L104" s="35" t="s">
        <v>147</v>
      </c>
      <c r="M104" s="36"/>
      <c r="N104" s="35"/>
      <c r="O104" s="35"/>
      <c r="P104" s="35"/>
      <c r="Q104" s="35"/>
      <c r="R104" s="35"/>
      <c r="S104" s="35"/>
      <c r="T104" s="35"/>
      <c r="U104" s="35"/>
      <c r="V104" s="35"/>
      <c r="W104" s="35"/>
      <c r="X104" s="35"/>
      <c r="Y104" s="35"/>
      <c r="Z104" s="35"/>
    </row>
    <row r="105" spans="1:26">
      <c r="A105" s="33" t="s">
        <v>412</v>
      </c>
      <c r="B105" s="34">
        <f>COUNTA($B$1:B104)</f>
        <v>98</v>
      </c>
      <c r="C105" s="35" t="s">
        <v>67</v>
      </c>
      <c r="D105" s="35"/>
      <c r="E105" s="35"/>
      <c r="F105" s="34"/>
      <c r="G105" s="35" t="s">
        <v>133</v>
      </c>
      <c r="H105" s="35"/>
      <c r="I105" s="35"/>
      <c r="J105" s="35"/>
      <c r="K105" s="34"/>
      <c r="L105" s="35" t="s">
        <v>67</v>
      </c>
      <c r="M105" s="36">
        <v>10</v>
      </c>
      <c r="N105" s="35"/>
      <c r="O105" s="35"/>
      <c r="P105" s="35"/>
      <c r="Q105" s="35"/>
      <c r="R105" s="36"/>
      <c r="S105" s="35"/>
      <c r="T105" s="35"/>
      <c r="U105" s="35"/>
      <c r="V105" s="35"/>
      <c r="W105" s="35"/>
      <c r="X105" s="35"/>
      <c r="Y105" s="35"/>
      <c r="Z105" s="35"/>
    </row>
    <row r="106" spans="1:26">
      <c r="A106" s="30" t="s">
        <v>191</v>
      </c>
      <c r="B106" s="31"/>
      <c r="C106" s="31"/>
      <c r="D106" s="32"/>
      <c r="E106" s="32"/>
      <c r="F106" s="31"/>
      <c r="G106" s="32"/>
      <c r="H106" s="32"/>
      <c r="I106" s="32"/>
      <c r="J106" s="32"/>
      <c r="K106" s="31"/>
      <c r="L106" s="32"/>
      <c r="M106" s="32"/>
      <c r="N106" s="32"/>
      <c r="O106" s="32"/>
      <c r="P106" s="32"/>
      <c r="Q106" s="32"/>
      <c r="R106" s="32"/>
      <c r="S106" s="32"/>
      <c r="T106" s="32"/>
      <c r="U106" s="32"/>
      <c r="V106" s="32"/>
      <c r="W106" s="32"/>
      <c r="X106" s="32"/>
      <c r="Y106" s="32"/>
      <c r="Z106" s="32"/>
    </row>
    <row r="107" spans="1:26" s="12" customFormat="1" ht="12.75" customHeight="1">
      <c r="A107" s="45" t="s">
        <v>412</v>
      </c>
      <c r="B107" s="34">
        <f>COUNTA($B$1:B106)</f>
        <v>99</v>
      </c>
      <c r="C107" s="46" t="s">
        <v>140</v>
      </c>
      <c r="D107" s="46"/>
      <c r="E107" s="46"/>
      <c r="F107" s="47"/>
      <c r="G107" s="46" t="s">
        <v>133</v>
      </c>
      <c r="H107" s="46"/>
      <c r="I107" s="46" t="s">
        <v>55</v>
      </c>
      <c r="J107" s="46" t="s">
        <v>141</v>
      </c>
      <c r="K107" s="47"/>
      <c r="L107" s="46" t="s">
        <v>142</v>
      </c>
      <c r="M107" s="48"/>
      <c r="N107" s="46"/>
      <c r="O107" s="46" t="s">
        <v>2</v>
      </c>
      <c r="P107" s="46"/>
      <c r="Q107" s="46"/>
      <c r="R107" s="49"/>
      <c r="S107" s="46"/>
      <c r="T107" s="46"/>
      <c r="U107" s="46"/>
      <c r="V107" s="46"/>
      <c r="W107" s="46"/>
      <c r="X107" s="46"/>
      <c r="Y107" s="46"/>
      <c r="Z107" s="46"/>
    </row>
    <row r="108" spans="1:26">
      <c r="A108" s="45" t="s">
        <v>412</v>
      </c>
      <c r="B108" s="34">
        <f>COUNTA($B$1:B107)</f>
        <v>100</v>
      </c>
      <c r="C108" s="46" t="s">
        <v>143</v>
      </c>
      <c r="D108" s="46"/>
      <c r="E108" s="46"/>
      <c r="F108" s="47"/>
      <c r="G108" s="46" t="s">
        <v>133</v>
      </c>
      <c r="H108" s="46"/>
      <c r="I108" s="46" t="s">
        <v>55</v>
      </c>
      <c r="J108" s="46" t="s">
        <v>141</v>
      </c>
      <c r="K108" s="47"/>
      <c r="L108" s="46" t="s">
        <v>98</v>
      </c>
      <c r="M108" s="48"/>
      <c r="N108" s="46" t="s">
        <v>99</v>
      </c>
      <c r="O108" s="46" t="s">
        <v>2</v>
      </c>
      <c r="P108" s="46"/>
      <c r="Q108" s="46"/>
      <c r="R108" s="49" t="s">
        <v>144</v>
      </c>
      <c r="S108" s="46"/>
      <c r="T108" s="46"/>
      <c r="U108" s="46"/>
      <c r="V108" s="46"/>
      <c r="W108" s="46"/>
      <c r="X108" s="46"/>
      <c r="Y108" s="46"/>
      <c r="Z108" s="46"/>
    </row>
    <row r="109" spans="1:26" s="17" customFormat="1">
      <c r="A109" s="45" t="s">
        <v>412</v>
      </c>
      <c r="B109" s="34">
        <f>COUNTA($B$1:B108)</f>
        <v>101</v>
      </c>
      <c r="C109" s="46" t="s">
        <v>145</v>
      </c>
      <c r="D109" s="46"/>
      <c r="E109" s="46"/>
      <c r="F109" s="47"/>
      <c r="G109" s="46" t="s">
        <v>133</v>
      </c>
      <c r="H109" s="46"/>
      <c r="I109" s="46" t="s">
        <v>55</v>
      </c>
      <c r="J109" s="46" t="s">
        <v>146</v>
      </c>
      <c r="K109" s="47"/>
      <c r="L109" s="46" t="s">
        <v>147</v>
      </c>
      <c r="M109" s="48"/>
      <c r="N109" s="46"/>
      <c r="O109" s="46" t="s">
        <v>2</v>
      </c>
      <c r="P109" s="46"/>
      <c r="Q109" s="46"/>
      <c r="R109" s="48"/>
      <c r="S109" s="46"/>
      <c r="T109" s="46"/>
      <c r="U109" s="46"/>
      <c r="V109" s="46"/>
      <c r="W109" s="46"/>
      <c r="X109" s="46"/>
      <c r="Y109" s="46"/>
      <c r="Z109" s="46"/>
    </row>
    <row r="110" spans="1:26" s="213" customFormat="1">
      <c r="A110" s="208" t="str">
        <f>IF(OR(Global!B2="QA"),"bln677971","N")</f>
        <v>N</v>
      </c>
      <c r="B110" s="209">
        <f>COUNTA($B$1:B109)</f>
        <v>102</v>
      </c>
      <c r="C110" s="210" t="s">
        <v>941</v>
      </c>
      <c r="D110" s="211"/>
      <c r="E110" s="212"/>
      <c r="F110" s="209"/>
      <c r="G110" s="210" t="s">
        <v>133</v>
      </c>
      <c r="H110" s="210"/>
      <c r="I110" s="210" t="s">
        <v>55</v>
      </c>
      <c r="J110" s="210" t="s">
        <v>107</v>
      </c>
      <c r="K110" s="209">
        <v>1</v>
      </c>
      <c r="L110" s="210" t="s">
        <v>98</v>
      </c>
      <c r="M110" s="210"/>
      <c r="N110" s="210" t="s">
        <v>99</v>
      </c>
      <c r="O110" s="210"/>
      <c r="P110" s="210"/>
      <c r="Q110" s="210"/>
      <c r="R110" s="210" t="s">
        <v>302</v>
      </c>
      <c r="S110" s="212"/>
      <c r="T110" s="210" t="s">
        <v>2</v>
      </c>
      <c r="U110" s="210"/>
      <c r="V110" s="210"/>
      <c r="W110" s="210"/>
      <c r="X110" s="212"/>
      <c r="Y110" s="212"/>
      <c r="Z110" s="212"/>
    </row>
    <row r="111" spans="1:26" s="213" customFormat="1">
      <c r="A111" s="208" t="str">
        <f>IF(OR(Global!B2="QA"),"bln677971","N")</f>
        <v>N</v>
      </c>
      <c r="B111" s="209">
        <f>COUNTA($B$1:B110)</f>
        <v>103</v>
      </c>
      <c r="C111" s="210" t="s">
        <v>942</v>
      </c>
      <c r="D111" s="211"/>
      <c r="E111" s="212"/>
      <c r="F111" s="209"/>
      <c r="G111" s="210" t="s">
        <v>133</v>
      </c>
      <c r="H111" s="210"/>
      <c r="I111" s="210" t="s">
        <v>55</v>
      </c>
      <c r="J111" s="210" t="s">
        <v>107</v>
      </c>
      <c r="K111" s="209">
        <v>2</v>
      </c>
      <c r="L111" s="210" t="s">
        <v>98</v>
      </c>
      <c r="M111" s="210"/>
      <c r="N111" s="210" t="s">
        <v>99</v>
      </c>
      <c r="O111" s="210"/>
      <c r="P111" s="210"/>
      <c r="Q111" s="210"/>
      <c r="R111" s="210" t="s">
        <v>196</v>
      </c>
      <c r="S111" s="212"/>
      <c r="T111" s="210" t="s">
        <v>2</v>
      </c>
      <c r="U111" s="210"/>
      <c r="V111" s="210"/>
      <c r="W111" s="210"/>
      <c r="X111" s="212"/>
      <c r="Y111" s="212"/>
      <c r="Z111" s="212"/>
    </row>
    <row r="112" spans="1:26" s="213" customFormat="1">
      <c r="A112" s="208" t="str">
        <f>IF(OR(Global!B2="PROD",Global!B2="UAT"),"bln680505","N")</f>
        <v>bln680505</v>
      </c>
      <c r="B112" s="209">
        <f>COUNTA($B$1:B111)</f>
        <v>104</v>
      </c>
      <c r="C112" s="210" t="s">
        <v>943</v>
      </c>
      <c r="D112" s="211"/>
      <c r="E112" s="212"/>
      <c r="F112" s="209"/>
      <c r="G112" s="210" t="s">
        <v>133</v>
      </c>
      <c r="H112" s="210"/>
      <c r="I112" s="210" t="s">
        <v>55</v>
      </c>
      <c r="J112" s="210" t="s">
        <v>107</v>
      </c>
      <c r="K112" s="209">
        <v>0</v>
      </c>
      <c r="L112" s="210" t="s">
        <v>98</v>
      </c>
      <c r="M112" s="210"/>
      <c r="N112" s="210" t="s">
        <v>99</v>
      </c>
      <c r="O112" s="210"/>
      <c r="P112" s="210"/>
      <c r="Q112" s="210"/>
      <c r="R112" s="210" t="s">
        <v>302</v>
      </c>
      <c r="S112" s="212"/>
      <c r="T112" s="210" t="s">
        <v>2</v>
      </c>
      <c r="U112" s="210"/>
      <c r="V112" s="210"/>
      <c r="W112" s="210"/>
      <c r="X112" s="212"/>
      <c r="Y112" s="212"/>
      <c r="Z112" s="212"/>
    </row>
    <row r="113" spans="1:26" s="213" customFormat="1">
      <c r="A113" s="208" t="str">
        <f>IF(OR(Global!B2="PROD",Global!B2="UAT"),"bln680505","N")</f>
        <v>bln680505</v>
      </c>
      <c r="B113" s="209">
        <f>COUNTA($B$1:B112)</f>
        <v>105</v>
      </c>
      <c r="C113" s="210" t="s">
        <v>944</v>
      </c>
      <c r="D113" s="211"/>
      <c r="E113" s="212"/>
      <c r="F113" s="209"/>
      <c r="G113" s="210" t="s">
        <v>133</v>
      </c>
      <c r="H113" s="210"/>
      <c r="I113" s="210" t="s">
        <v>55</v>
      </c>
      <c r="J113" s="210" t="s">
        <v>107</v>
      </c>
      <c r="K113" s="209">
        <v>1</v>
      </c>
      <c r="L113" s="210" t="s">
        <v>98</v>
      </c>
      <c r="M113" s="210"/>
      <c r="N113" s="210" t="s">
        <v>99</v>
      </c>
      <c r="O113" s="210"/>
      <c r="P113" s="210"/>
      <c r="Q113" s="210"/>
      <c r="R113" s="210" t="s">
        <v>196</v>
      </c>
      <c r="S113" s="212"/>
      <c r="T113" s="210" t="s">
        <v>2</v>
      </c>
      <c r="U113" s="210"/>
      <c r="V113" s="210"/>
      <c r="W113" s="210"/>
      <c r="X113" s="212"/>
      <c r="Y113" s="212"/>
      <c r="Z113" s="212"/>
    </row>
    <row r="114" spans="1:26" s="213" customFormat="1">
      <c r="A114" s="208" t="s">
        <v>412</v>
      </c>
      <c r="B114" s="209">
        <f>COUNTA($B$1:B113)</f>
        <v>106</v>
      </c>
      <c r="C114" s="210" t="s">
        <v>895</v>
      </c>
      <c r="D114" s="210"/>
      <c r="E114" s="210"/>
      <c r="F114" s="209"/>
      <c r="G114" s="210" t="s">
        <v>133</v>
      </c>
      <c r="H114" s="210"/>
      <c r="I114" s="210" t="s">
        <v>55</v>
      </c>
      <c r="J114" s="210" t="s">
        <v>896</v>
      </c>
      <c r="K114" s="209">
        <v>0</v>
      </c>
      <c r="L114" s="210" t="s">
        <v>147</v>
      </c>
      <c r="M114" s="214"/>
      <c r="N114" s="210"/>
      <c r="O114" s="210"/>
      <c r="P114" s="210"/>
      <c r="Q114" s="210"/>
      <c r="R114" s="210"/>
      <c r="S114" s="210"/>
      <c r="T114" s="210"/>
      <c r="U114" s="210"/>
      <c r="V114" s="210"/>
      <c r="W114" s="210"/>
      <c r="X114" s="210"/>
      <c r="Y114" s="210"/>
      <c r="Z114" s="210"/>
    </row>
    <row r="115" spans="1:26" s="213" customFormat="1">
      <c r="A115" s="208" t="s">
        <v>412</v>
      </c>
      <c r="B115" s="209">
        <f>COUNTA($B$1:B114)</f>
        <v>107</v>
      </c>
      <c r="C115" s="210" t="s">
        <v>897</v>
      </c>
      <c r="D115" s="211"/>
      <c r="E115" s="212"/>
      <c r="F115" s="209"/>
      <c r="G115" s="210" t="s">
        <v>133</v>
      </c>
      <c r="H115" s="210"/>
      <c r="I115" s="210" t="s">
        <v>55</v>
      </c>
      <c r="J115" s="210" t="s">
        <v>898</v>
      </c>
      <c r="K115" s="209">
        <v>0</v>
      </c>
      <c r="L115" s="210" t="s">
        <v>98</v>
      </c>
      <c r="M115" s="210"/>
      <c r="N115" s="210" t="s">
        <v>99</v>
      </c>
      <c r="O115" s="210"/>
      <c r="P115" s="210"/>
      <c r="Q115" s="210"/>
      <c r="R115" s="210" t="str">
        <f>M91</f>
        <v>Destination1</v>
      </c>
      <c r="S115" s="212"/>
      <c r="T115" s="210" t="s">
        <v>2</v>
      </c>
      <c r="U115" s="210"/>
      <c r="V115" s="210"/>
      <c r="W115" s="210"/>
      <c r="X115" s="212"/>
      <c r="Y115" s="212"/>
      <c r="Z115" s="212"/>
    </row>
    <row r="116" spans="1:26" s="213" customFormat="1">
      <c r="A116" s="208" t="s">
        <v>412</v>
      </c>
      <c r="B116" s="209">
        <f>COUNTA($B$1:B115)</f>
        <v>108</v>
      </c>
      <c r="C116" s="210" t="s">
        <v>297</v>
      </c>
      <c r="D116" s="215"/>
      <c r="E116" s="212"/>
      <c r="F116" s="209"/>
      <c r="G116" s="210" t="s">
        <v>133</v>
      </c>
      <c r="H116" s="210"/>
      <c r="I116" s="210" t="s">
        <v>55</v>
      </c>
      <c r="J116" s="210" t="s">
        <v>298</v>
      </c>
      <c r="K116" s="209">
        <v>0</v>
      </c>
      <c r="L116" s="210" t="s">
        <v>98</v>
      </c>
      <c r="M116" s="214"/>
      <c r="N116" s="210" t="s">
        <v>99</v>
      </c>
      <c r="O116" s="210"/>
      <c r="P116" s="210"/>
      <c r="Q116" s="210"/>
      <c r="R116" s="210" t="str">
        <f>TEXT(M94,"mm/dd/yyyy")</f>
        <v>DepDateValid</v>
      </c>
      <c r="S116" s="210"/>
      <c r="T116" s="210" t="s">
        <v>2</v>
      </c>
      <c r="U116" s="210"/>
      <c r="V116" s="210"/>
      <c r="W116" s="210"/>
      <c r="X116" s="210"/>
      <c r="Y116" s="210"/>
      <c r="Z116" s="210"/>
    </row>
    <row r="117" spans="1:26" s="213" customFormat="1">
      <c r="A117" s="208" t="s">
        <v>412</v>
      </c>
      <c r="B117" s="209">
        <f>COUNTA($B$1:B116)</f>
        <v>109</v>
      </c>
      <c r="C117" s="210" t="s">
        <v>299</v>
      </c>
      <c r="D117" s="215"/>
      <c r="E117" s="212"/>
      <c r="F117" s="209"/>
      <c r="G117" s="210" t="s">
        <v>133</v>
      </c>
      <c r="H117" s="210"/>
      <c r="I117" s="210" t="s">
        <v>55</v>
      </c>
      <c r="J117" s="210" t="s">
        <v>300</v>
      </c>
      <c r="K117" s="209">
        <v>0</v>
      </c>
      <c r="L117" s="210" t="s">
        <v>98</v>
      </c>
      <c r="M117" s="214"/>
      <c r="N117" s="210" t="s">
        <v>99</v>
      </c>
      <c r="O117" s="210"/>
      <c r="P117" s="210"/>
      <c r="Q117" s="210"/>
      <c r="R117" s="210" t="str">
        <f>TEXT(M95,"mm/dd/yyyy")</f>
        <v>RetDateValid</v>
      </c>
      <c r="S117" s="210"/>
      <c r="T117" s="210" t="s">
        <v>2</v>
      </c>
      <c r="U117" s="210"/>
      <c r="V117" s="210"/>
      <c r="W117" s="210"/>
      <c r="X117" s="210"/>
      <c r="Y117" s="210"/>
      <c r="Z117" s="210"/>
    </row>
    <row r="118" spans="1:26" s="213" customFormat="1">
      <c r="A118" s="208" t="s">
        <v>412</v>
      </c>
      <c r="B118" s="209">
        <f>COUNTA($B$1:B117)</f>
        <v>110</v>
      </c>
      <c r="C118" s="210" t="s">
        <v>900</v>
      </c>
      <c r="D118" s="215"/>
      <c r="E118" s="212"/>
      <c r="F118" s="209"/>
      <c r="G118" s="210" t="s">
        <v>133</v>
      </c>
      <c r="H118" s="210"/>
      <c r="I118" s="210" t="s">
        <v>55</v>
      </c>
      <c r="J118" s="210" t="s">
        <v>899</v>
      </c>
      <c r="K118" s="209">
        <v>0</v>
      </c>
      <c r="L118" s="210" t="s">
        <v>98</v>
      </c>
      <c r="M118" s="214"/>
      <c r="N118" s="210" t="s">
        <v>99</v>
      </c>
      <c r="O118" s="210"/>
      <c r="P118" s="210"/>
      <c r="Q118" s="210"/>
      <c r="R118" s="210"/>
      <c r="S118" s="210"/>
      <c r="T118" s="210"/>
      <c r="U118" s="210"/>
      <c r="V118" s="210"/>
      <c r="W118" s="210"/>
      <c r="X118" s="210"/>
      <c r="Y118" s="210"/>
      <c r="Z118" s="210"/>
    </row>
    <row r="119" spans="1:26" s="213" customFormat="1">
      <c r="A119" s="208" t="s">
        <v>412</v>
      </c>
      <c r="B119" s="209">
        <f>COUNTA($B$1:B118)</f>
        <v>111</v>
      </c>
      <c r="C119" s="210" t="s">
        <v>540</v>
      </c>
      <c r="D119" s="215"/>
      <c r="E119" s="212"/>
      <c r="F119" s="209"/>
      <c r="G119" s="210" t="s">
        <v>133</v>
      </c>
      <c r="H119" s="210"/>
      <c r="I119" s="210" t="s">
        <v>55</v>
      </c>
      <c r="J119" s="210" t="s">
        <v>901</v>
      </c>
      <c r="K119" s="209">
        <v>0</v>
      </c>
      <c r="L119" s="210" t="s">
        <v>98</v>
      </c>
      <c r="M119" s="214"/>
      <c r="N119" s="210" t="s">
        <v>99</v>
      </c>
      <c r="O119" s="210"/>
      <c r="P119" s="210"/>
      <c r="Q119" s="210"/>
      <c r="R119" s="210"/>
      <c r="S119" s="210"/>
      <c r="T119" s="210"/>
      <c r="U119" s="210"/>
      <c r="V119" s="210"/>
      <c r="W119" s="210"/>
      <c r="X119" s="210"/>
      <c r="Y119" s="210"/>
      <c r="Z119" s="210"/>
    </row>
    <row r="120" spans="1:26">
      <c r="A120" s="33" t="s">
        <v>412</v>
      </c>
      <c r="B120" s="34">
        <f>COUNTA($B$1:B119)</f>
        <v>112</v>
      </c>
      <c r="C120" s="35" t="s">
        <v>416</v>
      </c>
      <c r="D120" s="35"/>
      <c r="E120" s="35"/>
      <c r="F120" s="34"/>
      <c r="G120" s="35" t="s">
        <v>133</v>
      </c>
      <c r="H120" s="35"/>
      <c r="I120" s="35" t="s">
        <v>55</v>
      </c>
      <c r="J120" s="35" t="s">
        <v>195</v>
      </c>
      <c r="K120" s="34">
        <v>0</v>
      </c>
      <c r="L120" s="35" t="s">
        <v>147</v>
      </c>
      <c r="M120" s="36"/>
      <c r="N120" s="35"/>
      <c r="O120" s="35"/>
      <c r="P120" s="35"/>
      <c r="Q120" s="35"/>
      <c r="R120" s="35"/>
      <c r="S120" s="35"/>
      <c r="T120" s="35"/>
      <c r="U120" s="35"/>
      <c r="V120" s="35"/>
      <c r="W120" s="35"/>
      <c r="X120" s="35"/>
      <c r="Y120" s="35"/>
      <c r="Z120" s="35"/>
    </row>
    <row r="121" spans="1:26" s="17" customFormat="1">
      <c r="A121" s="33" t="s">
        <v>412</v>
      </c>
      <c r="B121" s="34">
        <f>COUNTA($B$1:B120)</f>
        <v>113</v>
      </c>
      <c r="C121" s="35" t="s">
        <v>67</v>
      </c>
      <c r="D121" s="35"/>
      <c r="E121" s="35"/>
      <c r="F121" s="34"/>
      <c r="G121" s="35" t="s">
        <v>133</v>
      </c>
      <c r="H121" s="35"/>
      <c r="I121" s="35"/>
      <c r="J121" s="35"/>
      <c r="K121" s="34"/>
      <c r="L121" s="35" t="s">
        <v>67</v>
      </c>
      <c r="M121" s="36">
        <v>10</v>
      </c>
      <c r="N121" s="35"/>
      <c r="O121" s="35"/>
      <c r="P121" s="35"/>
      <c r="Q121" s="35"/>
      <c r="R121" s="35"/>
      <c r="S121" s="35"/>
      <c r="T121" s="35"/>
      <c r="U121" s="35"/>
      <c r="V121" s="35"/>
      <c r="W121" s="35"/>
      <c r="X121" s="35"/>
      <c r="Y121" s="35"/>
      <c r="Z121" s="35"/>
    </row>
    <row r="122" spans="1:26">
      <c r="A122" s="30" t="s">
        <v>219</v>
      </c>
      <c r="B122" s="31"/>
      <c r="C122" s="31"/>
      <c r="D122" s="32"/>
      <c r="E122" s="32"/>
      <c r="F122" s="31"/>
      <c r="G122" s="32"/>
      <c r="H122" s="32"/>
      <c r="I122" s="32"/>
      <c r="J122" s="32"/>
      <c r="K122" s="31"/>
      <c r="L122" s="32"/>
      <c r="M122" s="32"/>
      <c r="N122" s="32"/>
      <c r="O122" s="32"/>
      <c r="P122" s="32"/>
      <c r="Q122" s="32"/>
      <c r="R122" s="32"/>
      <c r="S122" s="32"/>
      <c r="T122" s="32"/>
      <c r="U122" s="32"/>
      <c r="V122" s="32"/>
      <c r="W122" s="32"/>
      <c r="X122" s="32"/>
      <c r="Y122" s="32"/>
      <c r="Z122" s="32"/>
    </row>
    <row r="123" spans="1:26">
      <c r="A123" s="45" t="s">
        <v>412</v>
      </c>
      <c r="B123" s="34">
        <f>COUNTA($B$1:B122)</f>
        <v>114</v>
      </c>
      <c r="C123" s="46" t="s">
        <v>140</v>
      </c>
      <c r="D123" s="46"/>
      <c r="E123" s="46"/>
      <c r="F123" s="47"/>
      <c r="G123" s="46" t="s">
        <v>133</v>
      </c>
      <c r="H123" s="46"/>
      <c r="I123" s="46" t="s">
        <v>55</v>
      </c>
      <c r="J123" s="46" t="s">
        <v>141</v>
      </c>
      <c r="K123" s="47"/>
      <c r="L123" s="46" t="s">
        <v>142</v>
      </c>
      <c r="M123" s="48"/>
      <c r="N123" s="46"/>
      <c r="O123" s="46" t="s">
        <v>2</v>
      </c>
      <c r="P123" s="46"/>
      <c r="Q123" s="46"/>
      <c r="R123" s="49"/>
      <c r="S123" s="46"/>
      <c r="T123" s="46"/>
      <c r="U123" s="46"/>
      <c r="V123" s="46"/>
      <c r="W123" s="46"/>
      <c r="X123" s="46"/>
      <c r="Y123" s="46"/>
      <c r="Z123" s="46"/>
    </row>
    <row r="124" spans="1:26">
      <c r="A124" s="45" t="s">
        <v>412</v>
      </c>
      <c r="B124" s="34">
        <f>COUNTA($B$1:B123)</f>
        <v>115</v>
      </c>
      <c r="C124" s="46" t="s">
        <v>143</v>
      </c>
      <c r="D124" s="46"/>
      <c r="E124" s="46"/>
      <c r="F124" s="47"/>
      <c r="G124" s="46" t="s">
        <v>133</v>
      </c>
      <c r="H124" s="46"/>
      <c r="I124" s="46" t="s">
        <v>55</v>
      </c>
      <c r="J124" s="46" t="s">
        <v>141</v>
      </c>
      <c r="K124" s="47"/>
      <c r="L124" s="46" t="s">
        <v>98</v>
      </c>
      <c r="M124" s="48"/>
      <c r="N124" s="46" t="s">
        <v>99</v>
      </c>
      <c r="O124" s="46" t="s">
        <v>2</v>
      </c>
      <c r="P124" s="46"/>
      <c r="Q124" s="46"/>
      <c r="R124" s="49" t="s">
        <v>144</v>
      </c>
      <c r="S124" s="46"/>
      <c r="T124" s="46"/>
      <c r="U124" s="46"/>
      <c r="V124" s="46"/>
      <c r="W124" s="46"/>
      <c r="X124" s="46"/>
      <c r="Y124" s="46"/>
      <c r="Z124" s="46"/>
    </row>
    <row r="125" spans="1:26">
      <c r="A125" s="45" t="s">
        <v>412</v>
      </c>
      <c r="B125" s="34">
        <f>COUNTA($B$1:B124)</f>
        <v>116</v>
      </c>
      <c r="C125" s="46" t="s">
        <v>145</v>
      </c>
      <c r="D125" s="46"/>
      <c r="E125" s="46"/>
      <c r="F125" s="47"/>
      <c r="G125" s="46" t="s">
        <v>133</v>
      </c>
      <c r="H125" s="46"/>
      <c r="I125" s="46" t="s">
        <v>55</v>
      </c>
      <c r="J125" s="46" t="s">
        <v>146</v>
      </c>
      <c r="K125" s="47"/>
      <c r="L125" s="46" t="s">
        <v>147</v>
      </c>
      <c r="M125" s="48"/>
      <c r="N125" s="46"/>
      <c r="O125" s="46" t="s">
        <v>2</v>
      </c>
      <c r="P125" s="46"/>
      <c r="Q125" s="46"/>
      <c r="R125" s="48"/>
      <c r="S125" s="46"/>
      <c r="T125" s="46"/>
      <c r="U125" s="46"/>
      <c r="V125" s="46"/>
      <c r="W125" s="46"/>
      <c r="X125" s="46"/>
      <c r="Y125" s="46"/>
      <c r="Z125" s="46"/>
    </row>
    <row r="126" spans="1:26" s="213" customFormat="1">
      <c r="A126" s="208" t="s">
        <v>412</v>
      </c>
      <c r="B126" s="209">
        <f>COUNTA($B$1:B125)</f>
        <v>117</v>
      </c>
      <c r="C126" s="210" t="s">
        <v>895</v>
      </c>
      <c r="D126" s="210"/>
      <c r="E126" s="210"/>
      <c r="F126" s="209"/>
      <c r="G126" s="210" t="s">
        <v>133</v>
      </c>
      <c r="H126" s="210"/>
      <c r="I126" s="210" t="s">
        <v>55</v>
      </c>
      <c r="J126" s="210" t="s">
        <v>907</v>
      </c>
      <c r="K126" s="209">
        <v>0</v>
      </c>
      <c r="L126" s="210" t="s">
        <v>147</v>
      </c>
      <c r="M126" s="214"/>
      <c r="N126" s="210"/>
      <c r="O126" s="210"/>
      <c r="P126" s="210"/>
      <c r="Q126" s="210"/>
      <c r="R126" s="210"/>
      <c r="S126" s="210"/>
      <c r="T126" s="210"/>
      <c r="U126" s="210"/>
      <c r="V126" s="210"/>
      <c r="W126" s="210"/>
      <c r="X126" s="210"/>
      <c r="Y126" s="210"/>
      <c r="Z126" s="210"/>
    </row>
    <row r="127" spans="1:26" s="213" customFormat="1">
      <c r="A127" s="208" t="s">
        <v>412</v>
      </c>
      <c r="B127" s="209">
        <f>COUNTA($B$1:B126)</f>
        <v>118</v>
      </c>
      <c r="C127" s="210" t="s">
        <v>897</v>
      </c>
      <c r="D127" s="211"/>
      <c r="E127" s="212"/>
      <c r="F127" s="209"/>
      <c r="G127" s="210" t="s">
        <v>133</v>
      </c>
      <c r="H127" s="210"/>
      <c r="I127" s="210" t="s">
        <v>55</v>
      </c>
      <c r="J127" s="210" t="s">
        <v>898</v>
      </c>
      <c r="K127" s="209">
        <v>0</v>
      </c>
      <c r="L127" s="210" t="s">
        <v>98</v>
      </c>
      <c r="M127" s="210"/>
      <c r="N127" s="210" t="s">
        <v>99</v>
      </c>
      <c r="O127" s="210"/>
      <c r="P127" s="210"/>
      <c r="Q127" s="210"/>
      <c r="R127" s="210">
        <f>S115</f>
        <v>0</v>
      </c>
      <c r="S127" s="212"/>
      <c r="T127" s="210" t="s">
        <v>2</v>
      </c>
      <c r="U127" s="210"/>
      <c r="V127" s="210"/>
      <c r="W127" s="210"/>
      <c r="X127" s="212"/>
      <c r="Y127" s="212"/>
      <c r="Z127" s="212"/>
    </row>
    <row r="128" spans="1:26" s="213" customFormat="1">
      <c r="A128" s="208" t="s">
        <v>412</v>
      </c>
      <c r="B128" s="209">
        <f>COUNTA($B$1:B127)</f>
        <v>119</v>
      </c>
      <c r="C128" s="210" t="s">
        <v>297</v>
      </c>
      <c r="D128" s="215"/>
      <c r="E128" s="212"/>
      <c r="F128" s="209"/>
      <c r="G128" s="210" t="s">
        <v>133</v>
      </c>
      <c r="H128" s="210"/>
      <c r="I128" s="210" t="s">
        <v>55</v>
      </c>
      <c r="J128" s="210" t="s">
        <v>298</v>
      </c>
      <c r="K128" s="209">
        <v>0</v>
      </c>
      <c r="L128" s="210" t="s">
        <v>98</v>
      </c>
      <c r="M128" s="214"/>
      <c r="N128" s="210" t="s">
        <v>99</v>
      </c>
      <c r="O128" s="210"/>
      <c r="P128" s="210"/>
      <c r="Q128" s="210"/>
      <c r="R128" s="210">
        <f t="shared" ref="R128:R131" si="0">S116</f>
        <v>0</v>
      </c>
      <c r="S128" s="210"/>
      <c r="T128" s="210" t="s">
        <v>2</v>
      </c>
      <c r="U128" s="210"/>
      <c r="V128" s="210"/>
      <c r="W128" s="210"/>
      <c r="X128" s="210"/>
      <c r="Y128" s="210"/>
      <c r="Z128" s="210"/>
    </row>
    <row r="129" spans="1:26" s="213" customFormat="1">
      <c r="A129" s="208" t="s">
        <v>412</v>
      </c>
      <c r="B129" s="209">
        <f>COUNTA($B$1:B128)</f>
        <v>120</v>
      </c>
      <c r="C129" s="210" t="s">
        <v>299</v>
      </c>
      <c r="D129" s="215"/>
      <c r="E129" s="212"/>
      <c r="F129" s="209"/>
      <c r="G129" s="210" t="s">
        <v>133</v>
      </c>
      <c r="H129" s="210"/>
      <c r="I129" s="210" t="s">
        <v>55</v>
      </c>
      <c r="J129" s="210" t="s">
        <v>300</v>
      </c>
      <c r="K129" s="209">
        <v>0</v>
      </c>
      <c r="L129" s="210" t="s">
        <v>98</v>
      </c>
      <c r="M129" s="214"/>
      <c r="N129" s="210" t="s">
        <v>99</v>
      </c>
      <c r="O129" s="210"/>
      <c r="P129" s="210"/>
      <c r="Q129" s="210"/>
      <c r="R129" s="210">
        <f t="shared" si="0"/>
        <v>0</v>
      </c>
      <c r="S129" s="210"/>
      <c r="T129" s="210" t="s">
        <v>2</v>
      </c>
      <c r="U129" s="210"/>
      <c r="V129" s="210"/>
      <c r="W129" s="210"/>
      <c r="X129" s="210"/>
      <c r="Y129" s="210"/>
      <c r="Z129" s="210"/>
    </row>
    <row r="130" spans="1:26" s="213" customFormat="1">
      <c r="A130" s="208" t="s">
        <v>412</v>
      </c>
      <c r="B130" s="209">
        <f>COUNTA($B$1:B129)</f>
        <v>121</v>
      </c>
      <c r="C130" s="210" t="s">
        <v>903</v>
      </c>
      <c r="D130" s="215"/>
      <c r="E130" s="212"/>
      <c r="F130" s="209"/>
      <c r="G130" s="210" t="s">
        <v>133</v>
      </c>
      <c r="H130" s="210"/>
      <c r="I130" s="210" t="s">
        <v>55</v>
      </c>
      <c r="J130" s="210" t="s">
        <v>899</v>
      </c>
      <c r="K130" s="209">
        <v>0</v>
      </c>
      <c r="L130" s="210" t="s">
        <v>98</v>
      </c>
      <c r="M130" s="214"/>
      <c r="N130" s="210" t="s">
        <v>99</v>
      </c>
      <c r="O130" s="210"/>
      <c r="P130" s="210"/>
      <c r="Q130" s="210"/>
      <c r="R130" s="210">
        <f t="shared" si="0"/>
        <v>0</v>
      </c>
      <c r="S130" s="210"/>
      <c r="T130" s="210" t="s">
        <v>2</v>
      </c>
      <c r="U130" s="210"/>
      <c r="V130" s="210"/>
      <c r="W130" s="210"/>
      <c r="X130" s="210"/>
      <c r="Y130" s="210"/>
      <c r="Z130" s="210"/>
    </row>
    <row r="131" spans="1:26" s="213" customFormat="1">
      <c r="A131" s="208" t="s">
        <v>412</v>
      </c>
      <c r="B131" s="209">
        <f>COUNTA($B$1:B130)</f>
        <v>122</v>
      </c>
      <c r="C131" s="210" t="s">
        <v>904</v>
      </c>
      <c r="D131" s="215"/>
      <c r="E131" s="212"/>
      <c r="F131" s="209"/>
      <c r="G131" s="210" t="s">
        <v>133</v>
      </c>
      <c r="H131" s="210"/>
      <c r="I131" s="210" t="s">
        <v>55</v>
      </c>
      <c r="J131" s="210" t="s">
        <v>901</v>
      </c>
      <c r="K131" s="209">
        <v>0</v>
      </c>
      <c r="L131" s="210" t="s">
        <v>98</v>
      </c>
      <c r="M131" s="214"/>
      <c r="N131" s="210" t="s">
        <v>99</v>
      </c>
      <c r="O131" s="210"/>
      <c r="P131" s="210"/>
      <c r="Q131" s="210"/>
      <c r="R131" s="210">
        <f t="shared" si="0"/>
        <v>0</v>
      </c>
      <c r="S131" s="210"/>
      <c r="T131" s="210" t="s">
        <v>2</v>
      </c>
      <c r="U131" s="210"/>
      <c r="V131" s="210"/>
      <c r="W131" s="210"/>
      <c r="X131" s="210"/>
      <c r="Y131" s="210"/>
      <c r="Z131" s="210"/>
    </row>
    <row r="132" spans="1:26" s="213" customFormat="1">
      <c r="A132" s="208" t="s">
        <v>412</v>
      </c>
      <c r="B132" s="209">
        <f>COUNTA($B$1:B131)</f>
        <v>123</v>
      </c>
      <c r="C132" s="210" t="s">
        <v>905</v>
      </c>
      <c r="D132" s="215"/>
      <c r="E132" s="212"/>
      <c r="F132" s="209"/>
      <c r="G132" s="210" t="s">
        <v>133</v>
      </c>
      <c r="H132" s="210"/>
      <c r="I132" s="210" t="s">
        <v>55</v>
      </c>
      <c r="J132" s="210" t="s">
        <v>107</v>
      </c>
      <c r="K132" s="209">
        <v>0</v>
      </c>
      <c r="L132" s="210" t="s">
        <v>98</v>
      </c>
      <c r="M132" s="214"/>
      <c r="N132" s="210" t="s">
        <v>99</v>
      </c>
      <c r="O132" s="210"/>
      <c r="P132" s="210"/>
      <c r="Q132" s="210"/>
      <c r="R132" s="210"/>
      <c r="S132" s="210"/>
      <c r="T132" s="210"/>
      <c r="U132" s="210"/>
      <c r="V132" s="210"/>
      <c r="W132" s="210"/>
      <c r="X132" s="210"/>
      <c r="Y132" s="210"/>
      <c r="Z132" s="210"/>
    </row>
    <row r="133" spans="1:26" s="213" customFormat="1">
      <c r="A133" s="208" t="s">
        <v>412</v>
      </c>
      <c r="B133" s="209">
        <f>COUNTA($B$1:B132)</f>
        <v>124</v>
      </c>
      <c r="C133" s="210" t="s">
        <v>906</v>
      </c>
      <c r="D133" s="215"/>
      <c r="E133" s="212"/>
      <c r="F133" s="209"/>
      <c r="G133" s="210" t="s">
        <v>133</v>
      </c>
      <c r="H133" s="210"/>
      <c r="I133" s="210" t="s">
        <v>55</v>
      </c>
      <c r="J133" s="210" t="s">
        <v>838</v>
      </c>
      <c r="K133" s="209">
        <v>0</v>
      </c>
      <c r="L133" s="210" t="s">
        <v>98</v>
      </c>
      <c r="M133" s="214"/>
      <c r="N133" s="210" t="s">
        <v>99</v>
      </c>
      <c r="O133" s="210"/>
      <c r="P133" s="210"/>
      <c r="Q133" s="210"/>
      <c r="R133" s="210"/>
      <c r="S133" s="210"/>
      <c r="T133" s="210"/>
      <c r="U133" s="210"/>
      <c r="V133" s="210"/>
      <c r="W133" s="210"/>
      <c r="X133" s="210"/>
      <c r="Y133" s="210"/>
      <c r="Z133" s="210"/>
    </row>
    <row r="134" spans="1:26" s="213" customFormat="1">
      <c r="A134" s="208" t="s">
        <v>412</v>
      </c>
      <c r="B134" s="209">
        <f>COUNTA($B$1:B133)</f>
        <v>125</v>
      </c>
      <c r="C134" s="210" t="s">
        <v>902</v>
      </c>
      <c r="D134" s="215"/>
      <c r="E134" s="212"/>
      <c r="F134" s="209"/>
      <c r="G134" s="210" t="s">
        <v>133</v>
      </c>
      <c r="H134" s="210"/>
      <c r="I134" s="210" t="s">
        <v>55</v>
      </c>
      <c r="J134" s="210" t="s">
        <v>574</v>
      </c>
      <c r="K134" s="209">
        <v>0</v>
      </c>
      <c r="L134" s="210" t="s">
        <v>98</v>
      </c>
      <c r="M134" s="214"/>
      <c r="N134" s="210" t="s">
        <v>99</v>
      </c>
      <c r="O134" s="210"/>
      <c r="P134" s="210"/>
      <c r="Q134" s="210"/>
      <c r="R134" s="210"/>
      <c r="S134" s="210"/>
      <c r="T134" s="210"/>
      <c r="U134" s="210"/>
      <c r="V134" s="210"/>
      <c r="W134" s="210"/>
      <c r="X134" s="210"/>
      <c r="Y134" s="210"/>
      <c r="Z134" s="210"/>
    </row>
    <row r="135" spans="1:26">
      <c r="A135" s="33" t="s">
        <v>412</v>
      </c>
      <c r="B135" s="34">
        <f>COUNTA($B$1:B134)</f>
        <v>126</v>
      </c>
      <c r="C135" s="35" t="s">
        <v>220</v>
      </c>
      <c r="D135" s="35"/>
      <c r="E135" s="35"/>
      <c r="F135" s="34"/>
      <c r="G135" s="35" t="s">
        <v>133</v>
      </c>
      <c r="H135" s="35"/>
      <c r="I135" s="35" t="s">
        <v>55</v>
      </c>
      <c r="J135" s="35" t="s">
        <v>221</v>
      </c>
      <c r="K135" s="34">
        <v>0</v>
      </c>
      <c r="L135" s="35" t="s">
        <v>0</v>
      </c>
      <c r="M135" s="50" t="s">
        <v>222</v>
      </c>
      <c r="N135" s="35"/>
      <c r="O135" s="35"/>
      <c r="P135" s="35"/>
      <c r="Q135" s="35"/>
      <c r="R135" s="52"/>
      <c r="S135" s="35"/>
      <c r="T135" s="35"/>
      <c r="U135" s="35"/>
      <c r="V135" s="35"/>
      <c r="W135" s="35"/>
      <c r="X135" s="35"/>
      <c r="Y135" s="35"/>
      <c r="Z135" s="35"/>
    </row>
    <row r="136" spans="1:26">
      <c r="A136" s="33" t="s">
        <v>412</v>
      </c>
      <c r="B136" s="34">
        <f>COUNTA($B$1:B135)</f>
        <v>127</v>
      </c>
      <c r="C136" s="35" t="s">
        <v>103</v>
      </c>
      <c r="D136" s="35"/>
      <c r="E136" s="35"/>
      <c r="F136" s="34"/>
      <c r="G136" s="35" t="s">
        <v>133</v>
      </c>
      <c r="H136" s="35"/>
      <c r="I136" s="35" t="s">
        <v>55</v>
      </c>
      <c r="J136" s="35" t="s">
        <v>105</v>
      </c>
      <c r="K136" s="34">
        <v>0</v>
      </c>
      <c r="L136" s="35" t="s">
        <v>0</v>
      </c>
      <c r="M136" s="50" t="s">
        <v>223</v>
      </c>
      <c r="N136" s="35"/>
      <c r="O136" s="35"/>
      <c r="P136" s="35"/>
      <c r="Q136" s="35"/>
      <c r="R136" s="52"/>
      <c r="S136" s="35"/>
      <c r="T136" s="35"/>
      <c r="U136" s="35"/>
      <c r="V136" s="35"/>
      <c r="W136" s="35"/>
      <c r="X136" s="35"/>
      <c r="Y136" s="35"/>
      <c r="Z136" s="35"/>
    </row>
    <row r="137" spans="1:26" s="20" customFormat="1" ht="12.75" customHeight="1">
      <c r="A137" s="33" t="s">
        <v>412</v>
      </c>
      <c r="B137" s="34">
        <f>COUNTA($B$1:B136)</f>
        <v>128</v>
      </c>
      <c r="C137" s="35" t="s">
        <v>224</v>
      </c>
      <c r="D137" s="35"/>
      <c r="E137" s="35"/>
      <c r="F137" s="34"/>
      <c r="G137" s="35" t="s">
        <v>133</v>
      </c>
      <c r="H137" s="35"/>
      <c r="I137" s="35" t="s">
        <v>55</v>
      </c>
      <c r="J137" s="35" t="s">
        <v>83</v>
      </c>
      <c r="K137" s="34">
        <v>0</v>
      </c>
      <c r="L137" s="35" t="s">
        <v>0</v>
      </c>
      <c r="M137" s="50" t="s">
        <v>294</v>
      </c>
      <c r="N137" s="35"/>
      <c r="O137" s="35"/>
      <c r="P137" s="35"/>
      <c r="Q137" s="35"/>
      <c r="R137" s="52"/>
      <c r="S137" s="35"/>
      <c r="T137" s="35"/>
      <c r="U137" s="35"/>
      <c r="V137" s="35"/>
      <c r="W137" s="35"/>
      <c r="X137" s="35"/>
      <c r="Y137" s="35"/>
      <c r="Z137" s="35"/>
    </row>
    <row r="138" spans="1:26" s="16" customFormat="1" outlineLevel="1">
      <c r="A138" s="33" t="s">
        <v>412</v>
      </c>
      <c r="B138" s="34">
        <f>COUNTA($B$1:B137)</f>
        <v>129</v>
      </c>
      <c r="C138" s="35" t="s">
        <v>226</v>
      </c>
      <c r="D138" s="51"/>
      <c r="E138" s="52"/>
      <c r="F138" s="34"/>
      <c r="G138" s="35" t="s">
        <v>133</v>
      </c>
      <c r="H138" s="35"/>
      <c r="I138" s="35"/>
      <c r="J138" s="35"/>
      <c r="K138" s="34"/>
      <c r="L138" s="35" t="s">
        <v>227</v>
      </c>
      <c r="M138" s="36" t="s">
        <v>79</v>
      </c>
      <c r="N138" s="35"/>
      <c r="O138" s="35"/>
      <c r="P138" s="35"/>
      <c r="Q138" s="35"/>
      <c r="R138" s="35"/>
      <c r="S138" s="52"/>
      <c r="T138" s="35"/>
      <c r="U138" s="35"/>
      <c r="V138" s="35"/>
      <c r="W138" s="35"/>
      <c r="X138" s="52"/>
      <c r="Y138" s="52"/>
      <c r="Z138" s="52"/>
    </row>
    <row r="139" spans="1:26" s="16" customFormat="1" outlineLevel="1">
      <c r="A139" s="33" t="s">
        <v>412</v>
      </c>
      <c r="B139" s="34">
        <f>COUNTA($B$1:B138)</f>
        <v>130</v>
      </c>
      <c r="C139" s="35" t="s">
        <v>67</v>
      </c>
      <c r="D139" s="35"/>
      <c r="E139" s="35"/>
      <c r="F139" s="34"/>
      <c r="G139" s="35" t="s">
        <v>133</v>
      </c>
      <c r="H139" s="35"/>
      <c r="I139" s="35"/>
      <c r="J139" s="35"/>
      <c r="K139" s="34"/>
      <c r="L139" s="35" t="s">
        <v>67</v>
      </c>
      <c r="M139" s="36">
        <v>3</v>
      </c>
      <c r="N139" s="35"/>
      <c r="O139" s="35"/>
      <c r="P139" s="35"/>
      <c r="Q139" s="35"/>
      <c r="R139" s="36"/>
      <c r="S139" s="35"/>
      <c r="T139" s="35"/>
      <c r="U139" s="35"/>
      <c r="V139" s="35"/>
      <c r="W139" s="35"/>
      <c r="X139" s="35"/>
      <c r="Y139" s="35"/>
      <c r="Z139" s="35"/>
    </row>
    <row r="140" spans="1:26" s="16" customFormat="1" outlineLevel="1">
      <c r="A140" s="33" t="s">
        <v>412</v>
      </c>
      <c r="B140" s="34">
        <f>COUNTA($B$1:B139)</f>
        <v>131</v>
      </c>
      <c r="C140" s="35" t="s">
        <v>417</v>
      </c>
      <c r="D140" s="35"/>
      <c r="E140" s="35"/>
      <c r="F140" s="34"/>
      <c r="G140" s="35" t="s">
        <v>133</v>
      </c>
      <c r="H140" s="35"/>
      <c r="I140" s="35" t="s">
        <v>55</v>
      </c>
      <c r="J140" s="35" t="s">
        <v>418</v>
      </c>
      <c r="K140" s="34">
        <v>0</v>
      </c>
      <c r="L140" s="35" t="s">
        <v>147</v>
      </c>
      <c r="M140" s="36"/>
      <c r="N140" s="35"/>
      <c r="O140" s="35"/>
      <c r="P140" s="35"/>
      <c r="Q140" s="35"/>
      <c r="R140" s="35"/>
      <c r="S140" s="52"/>
      <c r="T140" s="35"/>
      <c r="U140" s="35"/>
      <c r="V140" s="35"/>
      <c r="W140" s="35"/>
      <c r="X140" s="52"/>
      <c r="Y140" s="52"/>
      <c r="Z140" s="52"/>
    </row>
    <row r="141" spans="1:26" s="16" customFormat="1" outlineLevel="1">
      <c r="A141" s="33" t="s">
        <v>412</v>
      </c>
      <c r="B141" s="34">
        <f>COUNTA($B$1:B140)</f>
        <v>132</v>
      </c>
      <c r="C141" s="35" t="s">
        <v>67</v>
      </c>
      <c r="D141" s="35"/>
      <c r="E141" s="35"/>
      <c r="F141" s="34"/>
      <c r="G141" s="35" t="s">
        <v>133</v>
      </c>
      <c r="H141" s="35"/>
      <c r="I141" s="35"/>
      <c r="J141" s="35"/>
      <c r="K141" s="34"/>
      <c r="L141" s="35" t="s">
        <v>67</v>
      </c>
      <c r="M141" s="36">
        <v>5</v>
      </c>
      <c r="N141" s="35"/>
      <c r="O141" s="35"/>
      <c r="P141" s="35"/>
      <c r="Q141" s="35"/>
      <c r="R141" s="36"/>
      <c r="S141" s="35"/>
      <c r="T141" s="35"/>
      <c r="U141" s="35"/>
      <c r="V141" s="35"/>
      <c r="W141" s="35"/>
      <c r="X141" s="35"/>
      <c r="Y141" s="35"/>
      <c r="Z141" s="35"/>
    </row>
    <row r="142" spans="1:26" s="11" customFormat="1">
      <c r="A142" s="33" t="s">
        <v>412</v>
      </c>
      <c r="B142" s="34">
        <f>COUNTA($B$1:B141)</f>
        <v>133</v>
      </c>
      <c r="C142" s="35" t="s">
        <v>190</v>
      </c>
      <c r="D142" s="35"/>
      <c r="E142" s="35"/>
      <c r="F142" s="34"/>
      <c r="G142" s="35" t="s">
        <v>133</v>
      </c>
      <c r="H142" s="35"/>
      <c r="I142" s="35" t="s">
        <v>55</v>
      </c>
      <c r="J142" s="35" t="s">
        <v>87</v>
      </c>
      <c r="K142" s="34">
        <v>0</v>
      </c>
      <c r="L142" s="35" t="s">
        <v>147</v>
      </c>
      <c r="M142" s="36"/>
      <c r="N142" s="35"/>
      <c r="O142" s="35"/>
      <c r="P142" s="35"/>
      <c r="Q142" s="35"/>
      <c r="R142" s="35"/>
      <c r="S142" s="35"/>
      <c r="T142" s="35"/>
      <c r="U142" s="35"/>
      <c r="V142" s="35"/>
      <c r="W142" s="35"/>
      <c r="X142" s="35"/>
      <c r="Y142" s="35"/>
      <c r="Z142" s="35"/>
    </row>
    <row r="143" spans="1:26">
      <c r="A143" s="33" t="s">
        <v>412</v>
      </c>
      <c r="B143" s="34">
        <f>COUNTA($B$1:B142)</f>
        <v>134</v>
      </c>
      <c r="C143" s="35" t="s">
        <v>67</v>
      </c>
      <c r="D143" s="35"/>
      <c r="E143" s="35"/>
      <c r="F143" s="34"/>
      <c r="G143" s="35" t="s">
        <v>133</v>
      </c>
      <c r="H143" s="35"/>
      <c r="I143" s="35"/>
      <c r="J143" s="35"/>
      <c r="K143" s="34"/>
      <c r="L143" s="35" t="s">
        <v>67</v>
      </c>
      <c r="M143" s="36">
        <v>10</v>
      </c>
      <c r="N143" s="35"/>
      <c r="O143" s="35"/>
      <c r="P143" s="35"/>
      <c r="Q143" s="35"/>
      <c r="R143" s="35"/>
      <c r="S143" s="35"/>
      <c r="T143" s="35"/>
      <c r="U143" s="35"/>
      <c r="V143" s="35"/>
      <c r="W143" s="35"/>
      <c r="X143" s="35"/>
      <c r="Y143" s="35"/>
      <c r="Z143" s="35"/>
    </row>
    <row r="144" spans="1:26">
      <c r="A144" s="33" t="s">
        <v>412</v>
      </c>
      <c r="B144" s="34">
        <f>COUNTA($B$1:B143)</f>
        <v>135</v>
      </c>
      <c r="C144" s="35" t="s">
        <v>805</v>
      </c>
      <c r="D144" s="51"/>
      <c r="E144" s="52"/>
      <c r="F144" s="34"/>
      <c r="G144" s="35" t="s">
        <v>133</v>
      </c>
      <c r="H144" s="35"/>
      <c r="I144" s="35" t="s">
        <v>55</v>
      </c>
      <c r="J144" s="35" t="s">
        <v>807</v>
      </c>
      <c r="K144" s="34"/>
      <c r="L144" s="35" t="s">
        <v>98</v>
      </c>
      <c r="M144" s="36"/>
      <c r="N144" s="35" t="s">
        <v>99</v>
      </c>
      <c r="O144" s="35"/>
      <c r="P144" s="35"/>
      <c r="Q144" s="35"/>
      <c r="R144" s="36" t="s">
        <v>806</v>
      </c>
      <c r="S144" s="35"/>
      <c r="T144" s="35" t="s">
        <v>2</v>
      </c>
      <c r="U144" s="35"/>
      <c r="V144" s="35"/>
      <c r="W144" s="35"/>
      <c r="X144" s="35"/>
      <c r="Y144" s="35"/>
      <c r="Z144" s="35"/>
    </row>
    <row r="145" spans="1:26" s="16" customFormat="1" outlineLevel="1">
      <c r="A145" s="33" t="s">
        <v>412</v>
      </c>
      <c r="B145" s="34">
        <f>COUNTA($B$1:B144)</f>
        <v>136</v>
      </c>
      <c r="C145" s="35" t="s">
        <v>228</v>
      </c>
      <c r="D145" s="35"/>
      <c r="E145" s="35"/>
      <c r="F145" s="34"/>
      <c r="G145" s="35" t="s">
        <v>133</v>
      </c>
      <c r="H145" s="35"/>
      <c r="I145" s="35" t="s">
        <v>55</v>
      </c>
      <c r="J145" s="35" t="s">
        <v>229</v>
      </c>
      <c r="K145" s="34">
        <v>0</v>
      </c>
      <c r="L145" s="35" t="s">
        <v>0</v>
      </c>
      <c r="M145" s="50" t="s">
        <v>230</v>
      </c>
      <c r="N145" s="35"/>
      <c r="O145" s="35"/>
      <c r="P145" s="35"/>
      <c r="Q145" s="35"/>
      <c r="R145" s="52"/>
      <c r="S145" s="35"/>
      <c r="T145" s="35"/>
      <c r="U145" s="35"/>
      <c r="V145" s="35"/>
      <c r="W145" s="35"/>
      <c r="X145" s="35"/>
      <c r="Y145" s="35"/>
      <c r="Z145" s="35"/>
    </row>
    <row r="146" spans="1:26" s="16" customFormat="1" outlineLevel="1">
      <c r="A146" s="33" t="s">
        <v>412</v>
      </c>
      <c r="B146" s="34">
        <f>COUNTA($B$1:B145)</f>
        <v>137</v>
      </c>
      <c r="C146" s="35" t="s">
        <v>228</v>
      </c>
      <c r="D146" s="35"/>
      <c r="E146" s="35"/>
      <c r="F146" s="34"/>
      <c r="G146" s="35" t="s">
        <v>133</v>
      </c>
      <c r="H146" s="35"/>
      <c r="I146" s="35" t="s">
        <v>55</v>
      </c>
      <c r="J146" s="35" t="s">
        <v>229</v>
      </c>
      <c r="K146" s="34">
        <v>0</v>
      </c>
      <c r="L146" s="35" t="s">
        <v>0</v>
      </c>
      <c r="M146" s="50" t="s">
        <v>230</v>
      </c>
      <c r="N146" s="35"/>
      <c r="O146" s="35"/>
      <c r="P146" s="35"/>
      <c r="Q146" s="35"/>
      <c r="R146" s="52"/>
      <c r="S146" s="35"/>
      <c r="T146" s="35"/>
      <c r="U146" s="35"/>
      <c r="V146" s="35"/>
      <c r="W146" s="35"/>
      <c r="X146" s="35"/>
      <c r="Y146" s="35"/>
      <c r="Z146" s="35"/>
    </row>
    <row r="147" spans="1:26" s="16" customFormat="1" outlineLevel="1">
      <c r="A147" s="33" t="s">
        <v>412</v>
      </c>
      <c r="B147" s="34">
        <f>COUNTA($B$1:B146)</f>
        <v>138</v>
      </c>
      <c r="C147" s="35" t="s">
        <v>89</v>
      </c>
      <c r="D147" s="35"/>
      <c r="E147" s="35"/>
      <c r="F147" s="34"/>
      <c r="G147" s="35" t="s">
        <v>133</v>
      </c>
      <c r="H147" s="35"/>
      <c r="I147" s="35" t="s">
        <v>55</v>
      </c>
      <c r="J147" s="35" t="s">
        <v>231</v>
      </c>
      <c r="K147" s="34">
        <v>0</v>
      </c>
      <c r="L147" s="35" t="s">
        <v>0</v>
      </c>
      <c r="M147" s="50" t="s">
        <v>816</v>
      </c>
      <c r="N147" s="35"/>
      <c r="O147" s="35"/>
      <c r="P147" s="35"/>
      <c r="Q147" s="35"/>
      <c r="R147" s="52"/>
      <c r="S147" s="35"/>
      <c r="T147" s="35"/>
      <c r="U147" s="35"/>
      <c r="V147" s="35"/>
      <c r="W147" s="35"/>
      <c r="X147" s="35"/>
      <c r="Y147" s="35"/>
      <c r="Z147" s="35"/>
    </row>
    <row r="148" spans="1:26" s="16" customFormat="1" outlineLevel="1">
      <c r="A148" s="33" t="s">
        <v>412</v>
      </c>
      <c r="B148" s="34">
        <f>COUNTA($B$1:B147)</f>
        <v>139</v>
      </c>
      <c r="C148" s="35" t="s">
        <v>232</v>
      </c>
      <c r="D148" s="35"/>
      <c r="E148" s="35"/>
      <c r="F148" s="34"/>
      <c r="G148" s="35" t="s">
        <v>133</v>
      </c>
      <c r="H148" s="35"/>
      <c r="I148" s="35" t="s">
        <v>55</v>
      </c>
      <c r="J148" s="35" t="s">
        <v>233</v>
      </c>
      <c r="K148" s="34">
        <v>0</v>
      </c>
      <c r="L148" s="35" t="s">
        <v>0</v>
      </c>
      <c r="M148" s="50" t="s">
        <v>818</v>
      </c>
      <c r="N148" s="35"/>
      <c r="O148" s="35"/>
      <c r="P148" s="35"/>
      <c r="Q148" s="35"/>
      <c r="R148" s="52"/>
      <c r="S148" s="35"/>
      <c r="T148" s="35"/>
      <c r="U148" s="35"/>
      <c r="V148" s="35"/>
      <c r="W148" s="35"/>
      <c r="X148" s="35"/>
      <c r="Y148" s="35"/>
      <c r="Z148" s="35"/>
    </row>
    <row r="149" spans="1:26">
      <c r="A149" s="33" t="s">
        <v>412</v>
      </c>
      <c r="B149" s="34">
        <f>COUNTA($B$1:B148)</f>
        <v>140</v>
      </c>
      <c r="C149" s="35" t="s">
        <v>235</v>
      </c>
      <c r="D149" s="35"/>
      <c r="E149" s="35"/>
      <c r="F149" s="34"/>
      <c r="G149" s="35" t="s">
        <v>133</v>
      </c>
      <c r="H149" s="35"/>
      <c r="I149" s="35" t="s">
        <v>55</v>
      </c>
      <c r="J149" s="35" t="s">
        <v>236</v>
      </c>
      <c r="K149" s="34">
        <v>0</v>
      </c>
      <c r="L149" s="35" t="s">
        <v>0</v>
      </c>
      <c r="M149" s="50" t="s">
        <v>282</v>
      </c>
      <c r="N149" s="35"/>
      <c r="O149" s="35"/>
      <c r="P149" s="35"/>
      <c r="Q149" s="35"/>
      <c r="R149" s="52"/>
      <c r="S149" s="35"/>
      <c r="T149" s="35"/>
      <c r="U149" s="35"/>
      <c r="V149" s="35"/>
      <c r="W149" s="35"/>
      <c r="X149" s="35"/>
      <c r="Y149" s="35"/>
      <c r="Z149" s="35"/>
    </row>
    <row r="150" spans="1:26">
      <c r="A150" s="33" t="s">
        <v>412</v>
      </c>
      <c r="B150" s="34">
        <f>COUNTA($B$1:B149)</f>
        <v>141</v>
      </c>
      <c r="C150" s="35" t="s">
        <v>238</v>
      </c>
      <c r="D150" s="35"/>
      <c r="E150" s="35"/>
      <c r="F150" s="34"/>
      <c r="G150" s="35" t="s">
        <v>133</v>
      </c>
      <c r="H150" s="35"/>
      <c r="I150" s="35" t="s">
        <v>55</v>
      </c>
      <c r="J150" s="35" t="s">
        <v>90</v>
      </c>
      <c r="K150" s="34">
        <v>0</v>
      </c>
      <c r="L150" s="35" t="s">
        <v>0</v>
      </c>
      <c r="M150" s="50" t="s">
        <v>283</v>
      </c>
      <c r="N150" s="35"/>
      <c r="O150" s="35"/>
      <c r="P150" s="35"/>
      <c r="Q150" s="35"/>
      <c r="R150" s="52"/>
      <c r="S150" s="35"/>
      <c r="T150" s="35"/>
      <c r="U150" s="35"/>
      <c r="V150" s="35"/>
      <c r="W150" s="35"/>
      <c r="X150" s="35"/>
      <c r="Y150" s="35"/>
      <c r="Z150" s="35"/>
    </row>
    <row r="151" spans="1:26">
      <c r="A151" s="33" t="s">
        <v>412</v>
      </c>
      <c r="B151" s="34">
        <f>COUNTA($B$1:B150)</f>
        <v>142</v>
      </c>
      <c r="C151" s="35" t="s">
        <v>240</v>
      </c>
      <c r="D151" s="35"/>
      <c r="E151" s="35"/>
      <c r="F151" s="34"/>
      <c r="G151" s="35" t="s">
        <v>133</v>
      </c>
      <c r="H151" s="35"/>
      <c r="I151" s="35" t="s">
        <v>55</v>
      </c>
      <c r="J151" s="35" t="s">
        <v>241</v>
      </c>
      <c r="K151" s="34">
        <v>0</v>
      </c>
      <c r="L151" s="35" t="s">
        <v>0</v>
      </c>
      <c r="M151" s="50" t="s">
        <v>242</v>
      </c>
      <c r="N151" s="35"/>
      <c r="O151" s="35"/>
      <c r="P151" s="35"/>
      <c r="Q151" s="35"/>
      <c r="R151" s="52"/>
      <c r="S151" s="35"/>
      <c r="T151" s="35"/>
      <c r="U151" s="35"/>
      <c r="V151" s="35"/>
      <c r="W151" s="35"/>
      <c r="X151" s="35"/>
      <c r="Y151" s="35"/>
      <c r="Z151" s="35"/>
    </row>
    <row r="152" spans="1:26">
      <c r="A152" s="33" t="s">
        <v>412</v>
      </c>
      <c r="B152" s="34">
        <f>COUNTA($B$1:B151)</f>
        <v>143</v>
      </c>
      <c r="C152" s="35" t="s">
        <v>226</v>
      </c>
      <c r="D152" s="51"/>
      <c r="E152" s="52"/>
      <c r="F152" s="34"/>
      <c r="G152" s="35" t="s">
        <v>133</v>
      </c>
      <c r="H152" s="35"/>
      <c r="I152" s="35"/>
      <c r="J152" s="35"/>
      <c r="K152" s="34"/>
      <c r="L152" s="35" t="s">
        <v>227</v>
      </c>
      <c r="M152" s="36" t="s">
        <v>79</v>
      </c>
      <c r="N152" s="35"/>
      <c r="O152" s="35"/>
      <c r="P152" s="35"/>
      <c r="Q152" s="35"/>
      <c r="R152" s="35"/>
      <c r="S152" s="52"/>
      <c r="T152" s="35"/>
      <c r="U152" s="35"/>
      <c r="V152" s="35"/>
      <c r="W152" s="35"/>
      <c r="X152" s="52"/>
      <c r="Y152" s="52"/>
      <c r="Z152" s="52"/>
    </row>
    <row r="153" spans="1:26" s="11" customFormat="1">
      <c r="A153" s="33" t="s">
        <v>412</v>
      </c>
      <c r="B153" s="34">
        <f>COUNTA($B$1:B152)</f>
        <v>144</v>
      </c>
      <c r="C153" s="35" t="s">
        <v>190</v>
      </c>
      <c r="D153" s="35"/>
      <c r="E153" s="35"/>
      <c r="F153" s="34"/>
      <c r="G153" s="35" t="s">
        <v>133</v>
      </c>
      <c r="H153" s="35"/>
      <c r="I153" s="35" t="s">
        <v>55</v>
      </c>
      <c r="J153" s="35" t="s">
        <v>87</v>
      </c>
      <c r="K153" s="34">
        <v>0</v>
      </c>
      <c r="L153" s="35" t="s">
        <v>147</v>
      </c>
      <c r="M153" s="36"/>
      <c r="N153" s="35"/>
      <c r="O153" s="35"/>
      <c r="P153" s="35"/>
      <c r="Q153" s="35"/>
      <c r="R153" s="35"/>
      <c r="S153" s="35"/>
      <c r="T153" s="35"/>
      <c r="U153" s="35"/>
      <c r="V153" s="35"/>
      <c r="W153" s="35"/>
      <c r="X153" s="35"/>
      <c r="Y153" s="35"/>
      <c r="Z153" s="35"/>
    </row>
    <row r="154" spans="1:26">
      <c r="A154" s="33" t="s">
        <v>412</v>
      </c>
      <c r="B154" s="34">
        <f>COUNTA($B$1:B153)</f>
        <v>145</v>
      </c>
      <c r="C154" s="35" t="s">
        <v>67</v>
      </c>
      <c r="D154" s="35"/>
      <c r="E154" s="35"/>
      <c r="F154" s="34"/>
      <c r="G154" s="35" t="s">
        <v>133</v>
      </c>
      <c r="H154" s="35"/>
      <c r="I154" s="35"/>
      <c r="J154" s="35"/>
      <c r="K154" s="34"/>
      <c r="L154" s="35" t="s">
        <v>67</v>
      </c>
      <c r="M154" s="36">
        <v>10</v>
      </c>
      <c r="N154" s="35"/>
      <c r="O154" s="35"/>
      <c r="P154" s="35"/>
      <c r="Q154" s="35"/>
      <c r="R154" s="35"/>
      <c r="S154" s="35"/>
      <c r="T154" s="35"/>
      <c r="U154" s="35"/>
      <c r="V154" s="35"/>
      <c r="W154" s="35"/>
      <c r="X154" s="35"/>
      <c r="Y154" s="35"/>
      <c r="Z154" s="35"/>
    </row>
    <row r="155" spans="1:26">
      <c r="A155" s="33" t="s">
        <v>412</v>
      </c>
      <c r="B155" s="34">
        <f>COUNTA($B$1:B154)</f>
        <v>146</v>
      </c>
      <c r="C155" s="35" t="s">
        <v>810</v>
      </c>
      <c r="D155" s="51"/>
      <c r="E155" s="52"/>
      <c r="F155" s="34"/>
      <c r="G155" s="35" t="s">
        <v>133</v>
      </c>
      <c r="H155" s="35"/>
      <c r="I155" s="35" t="s">
        <v>55</v>
      </c>
      <c r="J155" s="35" t="s">
        <v>807</v>
      </c>
      <c r="K155" s="34"/>
      <c r="L155" s="35" t="s">
        <v>98</v>
      </c>
      <c r="M155" s="36"/>
      <c r="N155" s="35" t="s">
        <v>99</v>
      </c>
      <c r="O155" s="35"/>
      <c r="P155" s="35"/>
      <c r="Q155" s="35"/>
      <c r="R155" s="36" t="s">
        <v>808</v>
      </c>
      <c r="S155" s="35"/>
      <c r="T155" s="35" t="s">
        <v>2</v>
      </c>
      <c r="U155" s="35"/>
      <c r="V155" s="35"/>
      <c r="W155" s="35"/>
      <c r="X155" s="35"/>
      <c r="Y155" s="35"/>
      <c r="Z155" s="35"/>
    </row>
    <row r="156" spans="1:26" s="16" customFormat="1" outlineLevel="1">
      <c r="A156" s="33" t="s">
        <v>412</v>
      </c>
      <c r="B156" s="34">
        <f>COUNTA($B$1:B155)</f>
        <v>147</v>
      </c>
      <c r="C156" s="35" t="s">
        <v>811</v>
      </c>
      <c r="D156" s="35"/>
      <c r="E156" s="35"/>
      <c r="F156" s="34"/>
      <c r="G156" s="35" t="s">
        <v>133</v>
      </c>
      <c r="H156" s="35"/>
      <c r="I156" s="35" t="s">
        <v>55</v>
      </c>
      <c r="J156" s="35" t="s">
        <v>233</v>
      </c>
      <c r="K156" s="34">
        <v>0</v>
      </c>
      <c r="L156" s="35" t="s">
        <v>0</v>
      </c>
      <c r="M156" s="50" t="s">
        <v>281</v>
      </c>
      <c r="N156" s="35"/>
      <c r="O156" s="35"/>
      <c r="P156" s="35"/>
      <c r="Q156" s="35"/>
      <c r="R156" s="52"/>
      <c r="S156" s="35"/>
      <c r="T156" s="35"/>
      <c r="U156" s="35"/>
      <c r="V156" s="35"/>
      <c r="W156" s="35"/>
      <c r="X156" s="35"/>
      <c r="Y156" s="35"/>
      <c r="Z156" s="35"/>
    </row>
    <row r="157" spans="1:26">
      <c r="A157" s="33" t="s">
        <v>412</v>
      </c>
      <c r="B157" s="34">
        <f>COUNTA($B$1:B156)</f>
        <v>148</v>
      </c>
      <c r="C157" s="35" t="s">
        <v>226</v>
      </c>
      <c r="D157" s="51"/>
      <c r="E157" s="52"/>
      <c r="F157" s="34"/>
      <c r="G157" s="35" t="s">
        <v>133</v>
      </c>
      <c r="H157" s="35"/>
      <c r="I157" s="35"/>
      <c r="J157" s="35"/>
      <c r="K157" s="34"/>
      <c r="L157" s="35" t="s">
        <v>227</v>
      </c>
      <c r="M157" s="36" t="s">
        <v>79</v>
      </c>
      <c r="N157" s="35"/>
      <c r="O157" s="35"/>
      <c r="P157" s="35"/>
      <c r="Q157" s="35"/>
      <c r="R157" s="35"/>
      <c r="S157" s="52"/>
      <c r="T157" s="35"/>
      <c r="U157" s="35"/>
      <c r="V157" s="35"/>
      <c r="W157" s="35"/>
      <c r="X157" s="52"/>
      <c r="Y157" s="52"/>
      <c r="Z157" s="52"/>
    </row>
    <row r="158" spans="1:26" s="11" customFormat="1">
      <c r="A158" s="33" t="s">
        <v>412</v>
      </c>
      <c r="B158" s="34">
        <f>COUNTA($B$1:B157)</f>
        <v>149</v>
      </c>
      <c r="C158" s="35" t="s">
        <v>190</v>
      </c>
      <c r="D158" s="35"/>
      <c r="E158" s="35"/>
      <c r="F158" s="34"/>
      <c r="G158" s="35" t="s">
        <v>133</v>
      </c>
      <c r="H158" s="35"/>
      <c r="I158" s="35" t="s">
        <v>55</v>
      </c>
      <c r="J158" s="35" t="s">
        <v>87</v>
      </c>
      <c r="K158" s="34">
        <v>0</v>
      </c>
      <c r="L158" s="35" t="s">
        <v>147</v>
      </c>
      <c r="M158" s="36"/>
      <c r="N158" s="35"/>
      <c r="O158" s="35"/>
      <c r="P158" s="35"/>
      <c r="Q158" s="35"/>
      <c r="R158" s="35"/>
      <c r="S158" s="35"/>
      <c r="T158" s="35"/>
      <c r="U158" s="35"/>
      <c r="V158" s="35"/>
      <c r="W158" s="35"/>
      <c r="X158" s="35"/>
      <c r="Y158" s="35"/>
      <c r="Z158" s="35"/>
    </row>
    <row r="159" spans="1:26">
      <c r="A159" s="33" t="s">
        <v>412</v>
      </c>
      <c r="B159" s="34">
        <f>COUNTA($B$1:B158)</f>
        <v>150</v>
      </c>
      <c r="C159" s="35" t="s">
        <v>67</v>
      </c>
      <c r="D159" s="35"/>
      <c r="E159" s="35"/>
      <c r="F159" s="34"/>
      <c r="G159" s="35" t="s">
        <v>133</v>
      </c>
      <c r="H159" s="35"/>
      <c r="I159" s="35"/>
      <c r="J159" s="35"/>
      <c r="K159" s="34"/>
      <c r="L159" s="35" t="s">
        <v>67</v>
      </c>
      <c r="M159" s="36">
        <v>10</v>
      </c>
      <c r="N159" s="35"/>
      <c r="O159" s="35"/>
      <c r="P159" s="35"/>
      <c r="Q159" s="35"/>
      <c r="R159" s="35"/>
      <c r="S159" s="35"/>
      <c r="T159" s="35"/>
      <c r="U159" s="35"/>
      <c r="V159" s="35"/>
      <c r="W159" s="35"/>
      <c r="X159" s="35"/>
      <c r="Y159" s="35"/>
      <c r="Z159" s="35"/>
    </row>
    <row r="160" spans="1:26">
      <c r="A160" s="30" t="s">
        <v>91</v>
      </c>
      <c r="B160" s="31"/>
      <c r="C160" s="31"/>
      <c r="D160" s="32"/>
      <c r="E160" s="32"/>
      <c r="F160" s="31"/>
      <c r="G160" s="32"/>
      <c r="H160" s="32"/>
      <c r="I160" s="32"/>
      <c r="J160" s="32"/>
      <c r="K160" s="31"/>
      <c r="L160" s="32"/>
      <c r="M160" s="32"/>
      <c r="N160" s="32"/>
      <c r="O160" s="32"/>
      <c r="P160" s="32"/>
      <c r="Q160" s="32"/>
      <c r="R160" s="32"/>
      <c r="S160" s="32"/>
      <c r="T160" s="32"/>
      <c r="U160" s="32"/>
      <c r="V160" s="32"/>
      <c r="W160" s="32"/>
      <c r="X160" s="32"/>
      <c r="Y160" s="32"/>
      <c r="Z160" s="32"/>
    </row>
    <row r="161" spans="1:26">
      <c r="A161" s="45" t="s">
        <v>412</v>
      </c>
      <c r="B161" s="34">
        <f>COUNTA($B$1:B160)</f>
        <v>151</v>
      </c>
      <c r="C161" s="46" t="s">
        <v>140</v>
      </c>
      <c r="D161" s="46"/>
      <c r="E161" s="46"/>
      <c r="F161" s="47"/>
      <c r="G161" s="46" t="s">
        <v>133</v>
      </c>
      <c r="H161" s="46"/>
      <c r="I161" s="46" t="s">
        <v>55</v>
      </c>
      <c r="J161" s="46" t="s">
        <v>141</v>
      </c>
      <c r="K161" s="47"/>
      <c r="L161" s="46" t="s">
        <v>142</v>
      </c>
      <c r="M161" s="48"/>
      <c r="N161" s="46"/>
      <c r="O161" s="46" t="s">
        <v>2</v>
      </c>
      <c r="P161" s="46"/>
      <c r="Q161" s="46"/>
      <c r="R161" s="49"/>
      <c r="S161" s="46"/>
      <c r="T161" s="46"/>
      <c r="U161" s="46"/>
      <c r="V161" s="46"/>
      <c r="W161" s="46"/>
      <c r="X161" s="46"/>
      <c r="Y161" s="46"/>
      <c r="Z161" s="46"/>
    </row>
    <row r="162" spans="1:26">
      <c r="A162" s="45" t="s">
        <v>412</v>
      </c>
      <c r="B162" s="34">
        <f>COUNTA($B$1:B161)</f>
        <v>152</v>
      </c>
      <c r="C162" s="46" t="s">
        <v>143</v>
      </c>
      <c r="D162" s="46"/>
      <c r="E162" s="46"/>
      <c r="F162" s="47"/>
      <c r="G162" s="46" t="s">
        <v>133</v>
      </c>
      <c r="H162" s="46"/>
      <c r="I162" s="46" t="s">
        <v>55</v>
      </c>
      <c r="J162" s="46" t="s">
        <v>141</v>
      </c>
      <c r="K162" s="47"/>
      <c r="L162" s="46" t="s">
        <v>98</v>
      </c>
      <c r="M162" s="48"/>
      <c r="N162" s="46" t="s">
        <v>99</v>
      </c>
      <c r="O162" s="46" t="s">
        <v>2</v>
      </c>
      <c r="P162" s="46"/>
      <c r="Q162" s="46"/>
      <c r="R162" s="49" t="s">
        <v>144</v>
      </c>
      <c r="S162" s="46"/>
      <c r="T162" s="46"/>
      <c r="U162" s="46"/>
      <c r="V162" s="46"/>
      <c r="W162" s="46"/>
      <c r="X162" s="46"/>
      <c r="Y162" s="46"/>
      <c r="Z162" s="46"/>
    </row>
    <row r="163" spans="1:26">
      <c r="A163" s="45" t="s">
        <v>412</v>
      </c>
      <c r="B163" s="34">
        <f>COUNTA($B$1:B162)</f>
        <v>153</v>
      </c>
      <c r="C163" s="46" t="s">
        <v>145</v>
      </c>
      <c r="D163" s="46"/>
      <c r="E163" s="46"/>
      <c r="F163" s="47"/>
      <c r="G163" s="46" t="s">
        <v>133</v>
      </c>
      <c r="H163" s="46"/>
      <c r="I163" s="46" t="s">
        <v>55</v>
      </c>
      <c r="J163" s="46" t="s">
        <v>146</v>
      </c>
      <c r="K163" s="47"/>
      <c r="L163" s="46" t="s">
        <v>147</v>
      </c>
      <c r="M163" s="48"/>
      <c r="N163" s="46"/>
      <c r="O163" s="46" t="s">
        <v>2</v>
      </c>
      <c r="P163" s="46"/>
      <c r="Q163" s="46"/>
      <c r="R163" s="48"/>
      <c r="S163" s="46"/>
      <c r="T163" s="46"/>
      <c r="U163" s="46"/>
      <c r="V163" s="46"/>
      <c r="W163" s="46"/>
      <c r="X163" s="46"/>
      <c r="Y163" s="46"/>
      <c r="Z163" s="46"/>
    </row>
    <row r="164" spans="1:26">
      <c r="A164" s="33" t="s">
        <v>412</v>
      </c>
      <c r="B164" s="34">
        <f>COUNTA($B$1:B163)</f>
        <v>154</v>
      </c>
      <c r="C164" s="35" t="s">
        <v>295</v>
      </c>
      <c r="D164" s="54"/>
      <c r="E164" s="52"/>
      <c r="F164" s="34"/>
      <c r="G164" s="35" t="s">
        <v>133</v>
      </c>
      <c r="H164" s="35"/>
      <c r="I164" s="35" t="s">
        <v>55</v>
      </c>
      <c r="J164" s="35" t="s">
        <v>296</v>
      </c>
      <c r="K164" s="34">
        <v>0</v>
      </c>
      <c r="L164" s="35" t="s">
        <v>98</v>
      </c>
      <c r="M164" s="36"/>
      <c r="N164" s="35" t="s">
        <v>99</v>
      </c>
      <c r="O164" s="35"/>
      <c r="P164" s="35"/>
      <c r="Q164" s="35"/>
      <c r="R164" s="35" t="str">
        <f>TEXT(M91,"")</f>
        <v>Destination1</v>
      </c>
      <c r="S164" s="35"/>
      <c r="T164" s="35" t="s">
        <v>2</v>
      </c>
      <c r="U164" s="35"/>
      <c r="V164" s="35"/>
      <c r="W164" s="35"/>
      <c r="X164" s="35"/>
      <c r="Y164" s="35"/>
      <c r="Z164" s="35"/>
    </row>
    <row r="165" spans="1:26">
      <c r="A165" s="33" t="str">
        <f>IF(Global!B2="QA","Y","N")</f>
        <v>N</v>
      </c>
      <c r="B165" s="34">
        <f>COUNTA($B$1:B164)</f>
        <v>155</v>
      </c>
      <c r="C165" s="35" t="s">
        <v>297</v>
      </c>
      <c r="D165" s="54"/>
      <c r="E165" s="52"/>
      <c r="F165" s="34"/>
      <c r="G165" s="35" t="s">
        <v>133</v>
      </c>
      <c r="H165" s="35"/>
      <c r="I165" s="35" t="s">
        <v>55</v>
      </c>
      <c r="J165" s="35" t="s">
        <v>298</v>
      </c>
      <c r="K165" s="34">
        <v>2</v>
      </c>
      <c r="L165" s="35" t="s">
        <v>98</v>
      </c>
      <c r="M165" s="36"/>
      <c r="N165" s="35" t="s">
        <v>99</v>
      </c>
      <c r="O165" s="35"/>
      <c r="P165" s="35"/>
      <c r="Q165" s="35"/>
      <c r="R165" s="35" t="str">
        <f>TEXT(M94,"mm/dd/yyyy")</f>
        <v>DepDateValid</v>
      </c>
      <c r="S165" s="35"/>
      <c r="T165" s="35" t="s">
        <v>2</v>
      </c>
      <c r="U165" s="35"/>
      <c r="V165" s="35"/>
      <c r="W165" s="35"/>
      <c r="X165" s="35"/>
      <c r="Y165" s="35"/>
      <c r="Z165" s="35"/>
    </row>
    <row r="166" spans="1:26">
      <c r="A166" s="33" t="str">
        <f>A165</f>
        <v>N</v>
      </c>
      <c r="B166" s="34">
        <f>COUNTA($B$1:B165)</f>
        <v>156</v>
      </c>
      <c r="C166" s="35" t="s">
        <v>299</v>
      </c>
      <c r="D166" s="54"/>
      <c r="E166" s="52"/>
      <c r="F166" s="34"/>
      <c r="G166" s="35" t="s">
        <v>133</v>
      </c>
      <c r="H166" s="35"/>
      <c r="I166" s="35" t="s">
        <v>55</v>
      </c>
      <c r="J166" s="35" t="s">
        <v>300</v>
      </c>
      <c r="K166" s="34">
        <v>2</v>
      </c>
      <c r="L166" s="35" t="s">
        <v>98</v>
      </c>
      <c r="M166" s="36"/>
      <c r="N166" s="35" t="s">
        <v>99</v>
      </c>
      <c r="O166" s="35"/>
      <c r="P166" s="35"/>
      <c r="Q166" s="35"/>
      <c r="R166" s="35" t="str">
        <f>TEXT(M95,"mm/dd/yyyy")</f>
        <v>RetDateValid</v>
      </c>
      <c r="S166" s="35"/>
      <c r="T166" s="35" t="s">
        <v>2</v>
      </c>
      <c r="U166" s="35"/>
      <c r="V166" s="35"/>
      <c r="W166" s="35"/>
      <c r="X166" s="35"/>
      <c r="Y166" s="35"/>
      <c r="Z166" s="35"/>
    </row>
    <row r="167" spans="1:26">
      <c r="A167" s="33" t="str">
        <f>A166</f>
        <v>N</v>
      </c>
      <c r="B167" s="34">
        <f>COUNTA($B$1:B166)</f>
        <v>157</v>
      </c>
      <c r="C167" s="35" t="s">
        <v>301</v>
      </c>
      <c r="D167" s="54"/>
      <c r="E167" s="52"/>
      <c r="F167" s="34"/>
      <c r="G167" s="35" t="s">
        <v>133</v>
      </c>
      <c r="H167" s="35"/>
      <c r="I167" s="35" t="s">
        <v>55</v>
      </c>
      <c r="J167" s="35" t="s">
        <v>107</v>
      </c>
      <c r="K167" s="34">
        <v>2</v>
      </c>
      <c r="L167" s="35" t="s">
        <v>98</v>
      </c>
      <c r="M167" s="36"/>
      <c r="N167" s="35" t="s">
        <v>99</v>
      </c>
      <c r="O167" s="35"/>
      <c r="P167" s="35"/>
      <c r="Q167" s="35"/>
      <c r="R167" s="35" t="s">
        <v>196</v>
      </c>
      <c r="S167" s="35"/>
      <c r="T167" s="35" t="s">
        <v>2</v>
      </c>
      <c r="U167" s="35"/>
      <c r="V167" s="35"/>
      <c r="W167" s="35"/>
      <c r="X167" s="35"/>
      <c r="Y167" s="35"/>
      <c r="Z167" s="35"/>
    </row>
    <row r="168" spans="1:26">
      <c r="A168" s="33" t="str">
        <f>IF(OR(Global!B2="UAT",Global!B2="PROD"),"Y","N")</f>
        <v>Y</v>
      </c>
      <c r="B168" s="34">
        <f>COUNTA($B$1:B167)</f>
        <v>158</v>
      </c>
      <c r="C168" s="35" t="s">
        <v>297</v>
      </c>
      <c r="D168" s="54"/>
      <c r="E168" s="52"/>
      <c r="F168" s="34"/>
      <c r="G168" s="35" t="s">
        <v>133</v>
      </c>
      <c r="H168" s="35"/>
      <c r="I168" s="35" t="s">
        <v>55</v>
      </c>
      <c r="J168" s="35" t="s">
        <v>824</v>
      </c>
      <c r="K168" s="34">
        <v>0</v>
      </c>
      <c r="L168" s="35" t="s">
        <v>98</v>
      </c>
      <c r="M168" s="36"/>
      <c r="N168" s="35" t="s">
        <v>99</v>
      </c>
      <c r="O168" s="35"/>
      <c r="P168" s="35"/>
      <c r="Q168" s="35"/>
      <c r="R168" s="35" t="str">
        <f>TEXT(M94,"mm/dd/yyyy")</f>
        <v>DepDateValid</v>
      </c>
      <c r="S168" s="35"/>
      <c r="T168" s="35" t="s">
        <v>2</v>
      </c>
      <c r="U168" s="35"/>
      <c r="V168" s="35"/>
      <c r="W168" s="35"/>
      <c r="X168" s="35"/>
      <c r="Y168" s="35"/>
      <c r="Z168" s="35"/>
    </row>
    <row r="169" spans="1:26">
      <c r="A169" s="33" t="str">
        <f>A168</f>
        <v>Y</v>
      </c>
      <c r="B169" s="34">
        <f>COUNTA($B$1:B168)</f>
        <v>159</v>
      </c>
      <c r="C169" s="35" t="s">
        <v>299</v>
      </c>
      <c r="D169" s="54"/>
      <c r="E169" s="52"/>
      <c r="F169" s="34"/>
      <c r="G169" s="35" t="s">
        <v>133</v>
      </c>
      <c r="H169" s="35"/>
      <c r="I169" s="35" t="s">
        <v>55</v>
      </c>
      <c r="J169" s="35" t="s">
        <v>825</v>
      </c>
      <c r="K169" s="34">
        <v>0</v>
      </c>
      <c r="L169" s="35" t="s">
        <v>98</v>
      </c>
      <c r="M169" s="36"/>
      <c r="N169" s="35" t="s">
        <v>99</v>
      </c>
      <c r="O169" s="35"/>
      <c r="P169" s="35"/>
      <c r="Q169" s="35"/>
      <c r="R169" s="35" t="str">
        <f>TEXT(M95,"mm/dd/yyyy")</f>
        <v>RetDateValid</v>
      </c>
      <c r="S169" s="35"/>
      <c r="T169" s="35" t="s">
        <v>2</v>
      </c>
      <c r="U169" s="35"/>
      <c r="V169" s="35"/>
      <c r="W169" s="35"/>
      <c r="X169" s="35"/>
      <c r="Y169" s="35"/>
      <c r="Z169" s="35"/>
    </row>
    <row r="170" spans="1:26">
      <c r="A170" s="33" t="str">
        <f>A169</f>
        <v>Y</v>
      </c>
      <c r="B170" s="34">
        <f>COUNTA($B$1:B169)</f>
        <v>160</v>
      </c>
      <c r="C170" s="35" t="s">
        <v>301</v>
      </c>
      <c r="D170" s="54"/>
      <c r="E170" s="52"/>
      <c r="F170" s="34"/>
      <c r="G170" s="35" t="s">
        <v>133</v>
      </c>
      <c r="H170" s="35"/>
      <c r="I170" s="35" t="s">
        <v>55</v>
      </c>
      <c r="J170" s="35" t="s">
        <v>826</v>
      </c>
      <c r="K170" s="34">
        <v>0</v>
      </c>
      <c r="L170" s="35" t="s">
        <v>98</v>
      </c>
      <c r="M170" s="36"/>
      <c r="N170" s="35" t="s">
        <v>99</v>
      </c>
      <c r="O170" s="35"/>
      <c r="P170" s="35"/>
      <c r="Q170" s="35"/>
      <c r="R170" s="35" t="s">
        <v>196</v>
      </c>
      <c r="S170" s="35"/>
      <c r="T170" s="35" t="s">
        <v>2</v>
      </c>
      <c r="U170" s="35"/>
      <c r="V170" s="35"/>
      <c r="W170" s="35"/>
      <c r="X170" s="35"/>
      <c r="Y170" s="35"/>
      <c r="Z170" s="35"/>
    </row>
    <row r="171" spans="1:26">
      <c r="A171" s="33" t="s">
        <v>412</v>
      </c>
      <c r="B171" s="34">
        <f>COUNTA($B$1:B170)</f>
        <v>161</v>
      </c>
      <c r="C171" s="35" t="s">
        <v>310</v>
      </c>
      <c r="D171" s="51"/>
      <c r="E171" s="52"/>
      <c r="F171" s="34"/>
      <c r="G171" s="35" t="s">
        <v>133</v>
      </c>
      <c r="H171" s="35"/>
      <c r="I171" s="35" t="s">
        <v>55</v>
      </c>
      <c r="J171" s="35" t="s">
        <v>311</v>
      </c>
      <c r="K171" s="34">
        <v>0</v>
      </c>
      <c r="L171" s="35" t="s">
        <v>98</v>
      </c>
      <c r="M171" s="36"/>
      <c r="N171" s="35" t="s">
        <v>99</v>
      </c>
      <c r="O171" s="35"/>
      <c r="P171" s="35"/>
      <c r="Q171" s="35"/>
      <c r="R171" s="36"/>
      <c r="S171" s="35"/>
      <c r="T171" s="35"/>
      <c r="U171" s="35"/>
      <c r="V171" s="35"/>
      <c r="W171" s="35"/>
      <c r="X171" s="35"/>
      <c r="Y171" s="35"/>
      <c r="Z171" s="35"/>
    </row>
    <row r="172" spans="1:26">
      <c r="A172" s="33" t="s">
        <v>412</v>
      </c>
      <c r="B172" s="34">
        <f>COUNTA($B$1:B171)</f>
        <v>162</v>
      </c>
      <c r="C172" s="35" t="s">
        <v>67</v>
      </c>
      <c r="D172" s="35"/>
      <c r="E172" s="35"/>
      <c r="F172" s="34"/>
      <c r="G172" s="35" t="s">
        <v>133</v>
      </c>
      <c r="H172" s="35"/>
      <c r="I172" s="35"/>
      <c r="J172" s="35"/>
      <c r="K172" s="34"/>
      <c r="L172" s="35" t="s">
        <v>67</v>
      </c>
      <c r="M172" s="36">
        <v>2</v>
      </c>
      <c r="N172" s="35"/>
      <c r="O172" s="35"/>
      <c r="P172" s="35"/>
      <c r="Q172" s="35"/>
      <c r="R172" s="36"/>
      <c r="S172" s="35"/>
      <c r="T172" s="35"/>
      <c r="U172" s="35"/>
      <c r="V172" s="35"/>
      <c r="W172" s="35"/>
      <c r="X172" s="35"/>
      <c r="Y172" s="35"/>
      <c r="Z172" s="35"/>
    </row>
    <row r="173" spans="1:26">
      <c r="A173" s="33" t="s">
        <v>412</v>
      </c>
      <c r="B173" s="34">
        <f>COUNTA($B$1:B172)</f>
        <v>163</v>
      </c>
      <c r="C173" s="35" t="s">
        <v>93</v>
      </c>
      <c r="D173" s="35"/>
      <c r="E173" s="35"/>
      <c r="F173" s="34"/>
      <c r="G173" s="35" t="s">
        <v>133</v>
      </c>
      <c r="H173" s="35"/>
      <c r="I173" s="35" t="s">
        <v>55</v>
      </c>
      <c r="J173" s="35" t="s">
        <v>92</v>
      </c>
      <c r="K173" s="34">
        <v>0</v>
      </c>
      <c r="L173" s="35" t="s">
        <v>0</v>
      </c>
      <c r="M173" s="50" t="s">
        <v>261</v>
      </c>
      <c r="N173" s="35"/>
      <c r="O173" s="35"/>
      <c r="P173" s="35"/>
      <c r="Q173" s="35"/>
      <c r="R173" s="52"/>
      <c r="S173" s="35"/>
      <c r="T173" s="35"/>
      <c r="U173" s="35"/>
      <c r="V173" s="35"/>
      <c r="W173" s="35"/>
      <c r="X173" s="35"/>
      <c r="Y173" s="35"/>
      <c r="Z173" s="35"/>
    </row>
    <row r="174" spans="1:26">
      <c r="A174" s="33" t="s">
        <v>412</v>
      </c>
      <c r="B174" s="34">
        <f>COUNTA($B$1:B173)</f>
        <v>164</v>
      </c>
      <c r="C174" s="35" t="s">
        <v>262</v>
      </c>
      <c r="D174" s="35"/>
      <c r="E174" s="35"/>
      <c r="F174" s="34"/>
      <c r="G174" s="35" t="s">
        <v>133</v>
      </c>
      <c r="H174" s="35"/>
      <c r="I174" s="35"/>
      <c r="J174" s="35"/>
      <c r="K174" s="34">
        <v>2</v>
      </c>
      <c r="L174" s="35" t="s">
        <v>95</v>
      </c>
      <c r="M174" s="35"/>
      <c r="N174" s="35"/>
      <c r="O174" s="35"/>
      <c r="P174" s="35"/>
      <c r="Q174" s="35"/>
      <c r="R174" s="52"/>
      <c r="S174" s="35"/>
      <c r="T174" s="35"/>
      <c r="U174" s="35"/>
      <c r="V174" s="35"/>
      <c r="W174" s="35"/>
      <c r="X174" s="35"/>
      <c r="Y174" s="35"/>
      <c r="Z174" s="35"/>
    </row>
    <row r="175" spans="1:26">
      <c r="A175" s="33" t="s">
        <v>412</v>
      </c>
      <c r="B175" s="34">
        <f>COUNTA($B$1:B174)</f>
        <v>165</v>
      </c>
      <c r="C175" s="35" t="s">
        <v>94</v>
      </c>
      <c r="D175" s="35"/>
      <c r="E175" s="35"/>
      <c r="F175" s="34"/>
      <c r="G175" s="35" t="s">
        <v>133</v>
      </c>
      <c r="H175" s="35"/>
      <c r="I175" s="35" t="s">
        <v>55</v>
      </c>
      <c r="J175" s="35" t="s">
        <v>263</v>
      </c>
      <c r="K175" s="34">
        <v>0</v>
      </c>
      <c r="L175" s="35" t="s">
        <v>0</v>
      </c>
      <c r="M175" s="50" t="s">
        <v>264</v>
      </c>
      <c r="N175" s="35"/>
      <c r="O175" s="35"/>
      <c r="P175" s="35"/>
      <c r="Q175" s="35"/>
      <c r="R175" s="52"/>
      <c r="S175" s="35"/>
      <c r="T175" s="35"/>
      <c r="U175" s="35"/>
      <c r="V175" s="35"/>
      <c r="W175" s="35"/>
      <c r="X175" s="35"/>
      <c r="Y175" s="35"/>
      <c r="Z175" s="35"/>
    </row>
    <row r="176" spans="1:26">
      <c r="A176" s="33" t="s">
        <v>412</v>
      </c>
      <c r="B176" s="34">
        <f>COUNTA($B$1:B175)</f>
        <v>166</v>
      </c>
      <c r="C176" s="35" t="s">
        <v>262</v>
      </c>
      <c r="D176" s="35"/>
      <c r="E176" s="35"/>
      <c r="F176" s="34"/>
      <c r="G176" s="35" t="s">
        <v>133</v>
      </c>
      <c r="H176" s="35"/>
      <c r="I176" s="35"/>
      <c r="J176" s="35"/>
      <c r="K176" s="34">
        <v>0</v>
      </c>
      <c r="L176" s="35" t="s">
        <v>96</v>
      </c>
      <c r="M176" s="35"/>
      <c r="N176" s="35"/>
      <c r="O176" s="35"/>
      <c r="P176" s="35"/>
      <c r="Q176" s="35"/>
      <c r="R176" s="52"/>
      <c r="S176" s="35"/>
      <c r="T176" s="35"/>
      <c r="U176" s="35"/>
      <c r="V176" s="35"/>
      <c r="W176" s="35"/>
      <c r="X176" s="35"/>
      <c r="Y176" s="35"/>
      <c r="Z176" s="35"/>
    </row>
    <row r="177" spans="1:26">
      <c r="A177" s="33" t="s">
        <v>412</v>
      </c>
      <c r="B177" s="34">
        <f>COUNTA($B$1:B176)</f>
        <v>167</v>
      </c>
      <c r="C177" s="35" t="s">
        <v>262</v>
      </c>
      <c r="D177" s="35"/>
      <c r="E177" s="35"/>
      <c r="F177" s="34"/>
      <c r="G177" s="35" t="s">
        <v>133</v>
      </c>
      <c r="H177" s="35"/>
      <c r="I177" s="35"/>
      <c r="J177" s="35"/>
      <c r="K177" s="34">
        <v>2</v>
      </c>
      <c r="L177" s="35" t="s">
        <v>95</v>
      </c>
      <c r="M177" s="35"/>
      <c r="N177" s="35"/>
      <c r="O177" s="35"/>
      <c r="P177" s="35"/>
      <c r="Q177" s="35"/>
      <c r="R177" s="52"/>
      <c r="S177" s="35"/>
      <c r="T177" s="35"/>
      <c r="U177" s="35"/>
      <c r="V177" s="35"/>
      <c r="W177" s="35"/>
      <c r="X177" s="35"/>
      <c r="Y177" s="35"/>
      <c r="Z177" s="35"/>
    </row>
    <row r="178" spans="1:26">
      <c r="A178" s="217" t="s">
        <v>21</v>
      </c>
      <c r="B178" s="218">
        <f>COUNTA($B$1:B177)</f>
        <v>168</v>
      </c>
      <c r="C178" s="219" t="s">
        <v>226</v>
      </c>
      <c r="D178" s="51"/>
      <c r="E178" s="52"/>
      <c r="F178" s="34"/>
      <c r="G178" s="35" t="s">
        <v>133</v>
      </c>
      <c r="H178" s="35"/>
      <c r="I178" s="35"/>
      <c r="J178" s="35"/>
      <c r="K178" s="34"/>
      <c r="L178" s="35" t="s">
        <v>227</v>
      </c>
      <c r="M178" s="36" t="s">
        <v>79</v>
      </c>
      <c r="N178" s="35"/>
      <c r="O178" s="35"/>
      <c r="P178" s="35"/>
      <c r="Q178" s="35"/>
      <c r="R178" s="35"/>
      <c r="S178" s="52"/>
      <c r="T178" s="35"/>
      <c r="U178" s="35"/>
      <c r="V178" s="35"/>
      <c r="W178" s="35"/>
      <c r="X178" s="52"/>
      <c r="Y178" s="52"/>
      <c r="Z178" s="52"/>
    </row>
    <row r="179" spans="1:26">
      <c r="A179" s="217" t="s">
        <v>21</v>
      </c>
      <c r="B179" s="218">
        <f>COUNTA($B$1:B178)</f>
        <v>169</v>
      </c>
      <c r="C179" s="219" t="s">
        <v>265</v>
      </c>
      <c r="D179" s="35"/>
      <c r="E179" s="35"/>
      <c r="F179" s="34"/>
      <c r="G179" s="35" t="s">
        <v>133</v>
      </c>
      <c r="H179" s="35"/>
      <c r="I179" s="35"/>
      <c r="J179" s="35"/>
      <c r="K179" s="34"/>
      <c r="L179" s="35" t="s">
        <v>227</v>
      </c>
      <c r="M179" s="50" t="s">
        <v>266</v>
      </c>
      <c r="N179" s="35"/>
      <c r="O179" s="35"/>
      <c r="P179" s="35"/>
      <c r="Q179" s="35"/>
      <c r="R179" s="52"/>
      <c r="S179" s="35"/>
      <c r="T179" s="35"/>
      <c r="U179" s="35"/>
      <c r="V179" s="35"/>
      <c r="W179" s="35"/>
      <c r="X179" s="35"/>
      <c r="Y179" s="35"/>
      <c r="Z179" s="35"/>
    </row>
    <row r="180" spans="1:26">
      <c r="A180" s="217" t="s">
        <v>21</v>
      </c>
      <c r="B180" s="218">
        <f>COUNTA($B$1:B179)</f>
        <v>170</v>
      </c>
      <c r="C180" s="219" t="s">
        <v>267</v>
      </c>
      <c r="D180" s="35"/>
      <c r="E180" s="35"/>
      <c r="F180" s="34"/>
      <c r="G180" s="35" t="s">
        <v>133</v>
      </c>
      <c r="H180" s="35"/>
      <c r="I180" s="35"/>
      <c r="J180" s="35"/>
      <c r="K180" s="34"/>
      <c r="L180" s="35" t="s">
        <v>227</v>
      </c>
      <c r="M180" s="50" t="s">
        <v>268</v>
      </c>
      <c r="N180" s="35"/>
      <c r="O180" s="35"/>
      <c r="P180" s="35"/>
      <c r="Q180" s="35"/>
      <c r="R180" s="52"/>
      <c r="S180" s="35"/>
      <c r="T180" s="35"/>
      <c r="U180" s="35"/>
      <c r="V180" s="35"/>
      <c r="W180" s="35"/>
      <c r="X180" s="35"/>
      <c r="Y180" s="35"/>
      <c r="Z180" s="35"/>
    </row>
    <row r="181" spans="1:26">
      <c r="A181" s="217" t="s">
        <v>21</v>
      </c>
      <c r="B181" s="218">
        <f>COUNTA($B$1:B180)</f>
        <v>171</v>
      </c>
      <c r="C181" s="219" t="s">
        <v>226</v>
      </c>
      <c r="D181" s="51"/>
      <c r="E181" s="52"/>
      <c r="F181" s="34"/>
      <c r="G181" s="35" t="s">
        <v>133</v>
      </c>
      <c r="H181" s="35"/>
      <c r="I181" s="35"/>
      <c r="J181" s="35"/>
      <c r="K181" s="34"/>
      <c r="L181" s="35" t="s">
        <v>227</v>
      </c>
      <c r="M181" s="36" t="s">
        <v>79</v>
      </c>
      <c r="N181" s="35"/>
      <c r="O181" s="35"/>
      <c r="P181" s="35"/>
      <c r="Q181" s="35"/>
      <c r="R181" s="35"/>
      <c r="S181" s="52"/>
      <c r="T181" s="35"/>
      <c r="U181" s="35"/>
      <c r="V181" s="35"/>
      <c r="W181" s="35"/>
      <c r="X181" s="52"/>
      <c r="Y181" s="52"/>
      <c r="Z181" s="52"/>
    </row>
    <row r="182" spans="1:26" s="19" customFormat="1" outlineLevel="1">
      <c r="A182" s="33" t="s">
        <v>412</v>
      </c>
      <c r="B182" s="34">
        <f>COUNTA($B$1:B181)</f>
        <v>172</v>
      </c>
      <c r="C182" s="35" t="s">
        <v>948</v>
      </c>
      <c r="D182" s="35"/>
      <c r="E182" s="35"/>
      <c r="F182" s="34"/>
      <c r="G182" s="35" t="s">
        <v>133</v>
      </c>
      <c r="H182" s="35"/>
      <c r="I182" s="35" t="s">
        <v>55</v>
      </c>
      <c r="J182" s="35" t="s">
        <v>949</v>
      </c>
      <c r="K182" s="34">
        <v>0</v>
      </c>
      <c r="L182" s="35" t="s">
        <v>34</v>
      </c>
      <c r="M182" s="35"/>
      <c r="N182" s="35"/>
      <c r="O182" s="35"/>
      <c r="P182" s="35"/>
      <c r="Q182" s="35"/>
      <c r="R182" s="35"/>
      <c r="S182" s="35"/>
      <c r="T182" s="35"/>
      <c r="U182" s="35"/>
      <c r="V182" s="35"/>
      <c r="W182" s="35"/>
      <c r="X182" s="35"/>
      <c r="Y182" s="35"/>
      <c r="Z182" s="35"/>
    </row>
    <row r="183" spans="1:26" s="19" customFormat="1" outlineLevel="1">
      <c r="A183" s="33" t="s">
        <v>412</v>
      </c>
      <c r="B183" s="34">
        <f>COUNTA($B$1:B182)</f>
        <v>173</v>
      </c>
      <c r="C183" s="35" t="s">
        <v>67</v>
      </c>
      <c r="D183" s="35"/>
      <c r="E183" s="35"/>
      <c r="F183" s="34"/>
      <c r="G183" s="35" t="s">
        <v>133</v>
      </c>
      <c r="H183" s="35"/>
      <c r="I183" s="35"/>
      <c r="J183" s="35"/>
      <c r="K183" s="34"/>
      <c r="L183" s="35" t="s">
        <v>67</v>
      </c>
      <c r="M183" s="36">
        <v>2</v>
      </c>
      <c r="N183" s="35"/>
      <c r="O183" s="35"/>
      <c r="P183" s="35"/>
      <c r="Q183" s="35"/>
      <c r="R183" s="35"/>
      <c r="S183" s="35"/>
      <c r="T183" s="35"/>
      <c r="U183" s="35"/>
      <c r="V183" s="35"/>
      <c r="W183" s="35"/>
      <c r="X183" s="35"/>
      <c r="Y183" s="35"/>
      <c r="Z183" s="35"/>
    </row>
    <row r="184" spans="1:26" s="19" customFormat="1" outlineLevel="1">
      <c r="A184" s="33" t="s">
        <v>412</v>
      </c>
      <c r="B184" s="34">
        <f>COUNTA($B$1:B183)</f>
        <v>174</v>
      </c>
      <c r="C184" s="35" t="s">
        <v>952</v>
      </c>
      <c r="D184" s="35"/>
      <c r="E184" s="35"/>
      <c r="F184" s="34"/>
      <c r="G184" s="35" t="s">
        <v>133</v>
      </c>
      <c r="H184" s="35"/>
      <c r="I184" s="35" t="s">
        <v>55</v>
      </c>
      <c r="J184" s="35" t="s">
        <v>949</v>
      </c>
      <c r="K184" s="34">
        <v>0</v>
      </c>
      <c r="L184" s="35" t="s">
        <v>951</v>
      </c>
      <c r="M184" s="50" t="s">
        <v>266</v>
      </c>
      <c r="N184" s="35"/>
      <c r="O184" s="35"/>
      <c r="P184" s="35"/>
      <c r="Q184" s="35"/>
      <c r="R184" s="35"/>
      <c r="S184" s="35"/>
      <c r="T184" s="35"/>
      <c r="U184" s="35"/>
      <c r="V184" s="35"/>
      <c r="W184" s="35"/>
      <c r="X184" s="35"/>
      <c r="Y184" s="35"/>
      <c r="Z184" s="35"/>
    </row>
    <row r="185" spans="1:26" s="19" customFormat="1" outlineLevel="1">
      <c r="A185" s="33" t="s">
        <v>412</v>
      </c>
      <c r="B185" s="34">
        <f>COUNTA($B$1:B184)</f>
        <v>175</v>
      </c>
      <c r="C185" s="35" t="s">
        <v>953</v>
      </c>
      <c r="D185" s="35"/>
      <c r="E185" s="35"/>
      <c r="F185" s="34"/>
      <c r="G185" s="35" t="s">
        <v>133</v>
      </c>
      <c r="H185" s="35"/>
      <c r="I185" s="35" t="s">
        <v>55</v>
      </c>
      <c r="J185" s="35" t="s">
        <v>949</v>
      </c>
      <c r="K185" s="34">
        <v>0</v>
      </c>
      <c r="L185" s="35" t="s">
        <v>951</v>
      </c>
      <c r="M185" s="50" t="s">
        <v>268</v>
      </c>
      <c r="N185" s="35"/>
      <c r="O185" s="35"/>
      <c r="P185" s="35"/>
      <c r="Q185" s="35"/>
      <c r="R185" s="35"/>
      <c r="S185" s="35"/>
      <c r="T185" s="35"/>
      <c r="U185" s="35"/>
      <c r="V185" s="35"/>
      <c r="W185" s="35"/>
      <c r="X185" s="35"/>
      <c r="Y185" s="35"/>
      <c r="Z185" s="35"/>
    </row>
    <row r="186" spans="1:26">
      <c r="A186" s="33" t="s">
        <v>412</v>
      </c>
      <c r="B186" s="34">
        <f>COUNTA($B$1:B185)</f>
        <v>176</v>
      </c>
      <c r="C186" s="247" t="s">
        <v>226</v>
      </c>
      <c r="D186" s="51"/>
      <c r="E186" s="52"/>
      <c r="F186" s="34"/>
      <c r="G186" s="35" t="s">
        <v>133</v>
      </c>
      <c r="H186" s="35"/>
      <c r="I186" s="35"/>
      <c r="J186" s="35"/>
      <c r="K186" s="34"/>
      <c r="L186" s="35" t="s">
        <v>227</v>
      </c>
      <c r="M186" s="36" t="s">
        <v>79</v>
      </c>
      <c r="N186" s="35"/>
      <c r="O186" s="35"/>
      <c r="P186" s="35"/>
      <c r="Q186" s="35"/>
      <c r="R186" s="35"/>
      <c r="S186" s="52"/>
      <c r="T186" s="35"/>
      <c r="U186" s="35"/>
      <c r="V186" s="35"/>
      <c r="W186" s="35"/>
      <c r="X186" s="52"/>
      <c r="Y186" s="52"/>
      <c r="Z186" s="52"/>
    </row>
    <row r="187" spans="1:26" s="19" customFormat="1" outlineLevel="1">
      <c r="A187" s="33" t="s">
        <v>412</v>
      </c>
      <c r="B187" s="34">
        <f>COUNTA($B$1:B186)</f>
        <v>177</v>
      </c>
      <c r="C187" s="35" t="s">
        <v>67</v>
      </c>
      <c r="D187" s="35"/>
      <c r="E187" s="35"/>
      <c r="F187" s="34"/>
      <c r="G187" s="35" t="s">
        <v>133</v>
      </c>
      <c r="H187" s="35"/>
      <c r="I187" s="35"/>
      <c r="J187" s="35"/>
      <c r="K187" s="34"/>
      <c r="L187" s="35" t="s">
        <v>67</v>
      </c>
      <c r="M187" s="36">
        <v>2</v>
      </c>
      <c r="N187" s="35"/>
      <c r="O187" s="35"/>
      <c r="P187" s="35"/>
      <c r="Q187" s="35"/>
      <c r="R187" s="35"/>
      <c r="S187" s="35"/>
      <c r="T187" s="35"/>
      <c r="U187" s="35"/>
      <c r="V187" s="35"/>
      <c r="W187" s="35"/>
      <c r="X187" s="35"/>
      <c r="Y187" s="35"/>
      <c r="Z187" s="35"/>
    </row>
    <row r="188" spans="1:26">
      <c r="A188" s="33" t="s">
        <v>412</v>
      </c>
      <c r="B188" s="34">
        <f>COUNTA($B$1:B187)</f>
        <v>178</v>
      </c>
      <c r="C188" s="35" t="s">
        <v>262</v>
      </c>
      <c r="D188" s="35"/>
      <c r="E188" s="35"/>
      <c r="F188" s="34"/>
      <c r="G188" s="35" t="s">
        <v>133</v>
      </c>
      <c r="H188" s="35"/>
      <c r="I188" s="35"/>
      <c r="J188" s="35"/>
      <c r="K188" s="34">
        <v>0</v>
      </c>
      <c r="L188" s="35" t="s">
        <v>96</v>
      </c>
      <c r="M188" s="35"/>
      <c r="N188" s="35"/>
      <c r="O188" s="35"/>
      <c r="P188" s="35"/>
      <c r="Q188" s="35"/>
      <c r="R188" s="52"/>
      <c r="S188" s="35"/>
      <c r="T188" s="35"/>
      <c r="U188" s="35"/>
      <c r="V188" s="35"/>
      <c r="W188" s="35"/>
      <c r="X188" s="35"/>
      <c r="Y188" s="35"/>
      <c r="Z188" s="35"/>
    </row>
    <row r="189" spans="1:26">
      <c r="A189" s="33" t="s">
        <v>412</v>
      </c>
      <c r="B189" s="34">
        <f>COUNTA($B$1:B188)</f>
        <v>179</v>
      </c>
      <c r="C189" s="35" t="s">
        <v>67</v>
      </c>
      <c r="D189" s="35"/>
      <c r="E189" s="35"/>
      <c r="F189" s="34"/>
      <c r="G189" s="35" t="s">
        <v>133</v>
      </c>
      <c r="H189" s="35"/>
      <c r="I189" s="35"/>
      <c r="J189" s="35"/>
      <c r="K189" s="34"/>
      <c r="L189" s="35" t="s">
        <v>67</v>
      </c>
      <c r="M189" s="36">
        <v>2</v>
      </c>
      <c r="N189" s="35"/>
      <c r="O189" s="35"/>
      <c r="P189" s="35"/>
      <c r="Q189" s="35"/>
      <c r="R189" s="36"/>
      <c r="S189" s="35"/>
      <c r="T189" s="35"/>
      <c r="U189" s="35"/>
      <c r="V189" s="35"/>
      <c r="W189" s="35"/>
      <c r="X189" s="35"/>
      <c r="Y189" s="35"/>
      <c r="Z189" s="35"/>
    </row>
    <row r="190" spans="1:26">
      <c r="A190" s="33" t="s">
        <v>412</v>
      </c>
      <c r="B190" s="34">
        <f>COUNTA($B$1:B189)</f>
        <v>180</v>
      </c>
      <c r="C190" s="35" t="s">
        <v>312</v>
      </c>
      <c r="D190" s="51"/>
      <c r="E190" s="52" t="s">
        <v>154</v>
      </c>
      <c r="F190" s="34"/>
      <c r="G190" s="35" t="s">
        <v>133</v>
      </c>
      <c r="H190" s="35"/>
      <c r="I190" s="35" t="s">
        <v>55</v>
      </c>
      <c r="J190" s="35" t="s">
        <v>313</v>
      </c>
      <c r="K190" s="34">
        <v>0</v>
      </c>
      <c r="L190" s="35" t="s">
        <v>147</v>
      </c>
      <c r="M190" s="36"/>
      <c r="N190" s="35"/>
      <c r="O190" s="35"/>
      <c r="P190" s="35"/>
      <c r="Q190" s="35"/>
      <c r="R190" s="35"/>
      <c r="S190" s="52"/>
      <c r="T190" s="35"/>
      <c r="U190" s="35"/>
      <c r="V190" s="35"/>
      <c r="W190" s="35"/>
      <c r="X190" s="52"/>
      <c r="Y190" s="52"/>
      <c r="Z190" s="52"/>
    </row>
    <row r="191" spans="1:26">
      <c r="A191" s="33" t="s">
        <v>412</v>
      </c>
      <c r="B191" s="34">
        <f>COUNTA($B$1:B190)</f>
        <v>181</v>
      </c>
      <c r="C191" s="35" t="s">
        <v>67</v>
      </c>
      <c r="D191" s="35"/>
      <c r="E191" s="35"/>
      <c r="F191" s="34"/>
      <c r="G191" s="35" t="s">
        <v>133</v>
      </c>
      <c r="H191" s="35"/>
      <c r="I191" s="35"/>
      <c r="J191" s="35"/>
      <c r="K191" s="34"/>
      <c r="L191" s="35" t="s">
        <v>67</v>
      </c>
      <c r="M191" s="36">
        <v>2</v>
      </c>
      <c r="N191" s="35"/>
      <c r="O191" s="35"/>
      <c r="P191" s="35"/>
      <c r="Q191" s="35"/>
      <c r="R191" s="36"/>
      <c r="S191" s="35"/>
      <c r="T191" s="35"/>
      <c r="U191" s="35"/>
      <c r="V191" s="35"/>
      <c r="W191" s="35"/>
      <c r="X191" s="35"/>
      <c r="Y191" s="35"/>
      <c r="Z191" s="35"/>
    </row>
    <row r="192" spans="1:26">
      <c r="A192" s="33" t="str">
        <f>IF(OR(Global!B2="QA",Global!B2="UAT"),"bln680505","N")</f>
        <v>bln680505</v>
      </c>
      <c r="B192" s="34">
        <f>COUNTA($B$1:B191)</f>
        <v>182</v>
      </c>
      <c r="C192" s="35" t="s">
        <v>190</v>
      </c>
      <c r="D192" s="35"/>
      <c r="E192" s="35"/>
      <c r="F192" s="34"/>
      <c r="G192" s="35" t="s">
        <v>133</v>
      </c>
      <c r="H192" s="35"/>
      <c r="I192" s="35" t="s">
        <v>55</v>
      </c>
      <c r="J192" s="35" t="s">
        <v>87</v>
      </c>
      <c r="K192" s="34">
        <v>0</v>
      </c>
      <c r="L192" s="35" t="s">
        <v>147</v>
      </c>
      <c r="M192" s="36"/>
      <c r="N192" s="35"/>
      <c r="O192" s="35"/>
      <c r="P192" s="35"/>
      <c r="Q192" s="35"/>
      <c r="R192" s="35"/>
      <c r="S192" s="35"/>
      <c r="T192" s="35"/>
      <c r="U192" s="35"/>
      <c r="V192" s="35"/>
      <c r="W192" s="35"/>
      <c r="X192" s="35"/>
      <c r="Y192" s="35"/>
      <c r="Z192" s="35"/>
    </row>
    <row r="193" spans="1:26">
      <c r="A193" s="33" t="str">
        <f>A192</f>
        <v>bln680505</v>
      </c>
      <c r="B193" s="34">
        <f>COUNTA($B$1:B192)</f>
        <v>183</v>
      </c>
      <c r="C193" s="35" t="s">
        <v>67</v>
      </c>
      <c r="D193" s="35"/>
      <c r="E193" s="35"/>
      <c r="F193" s="34"/>
      <c r="G193" s="35" t="s">
        <v>133</v>
      </c>
      <c r="H193" s="35"/>
      <c r="I193" s="35"/>
      <c r="J193" s="35"/>
      <c r="K193" s="34"/>
      <c r="L193" s="35" t="s">
        <v>67</v>
      </c>
      <c r="M193" s="36">
        <v>10</v>
      </c>
      <c r="N193" s="35"/>
      <c r="O193" s="35"/>
      <c r="P193" s="35"/>
      <c r="Q193" s="35"/>
      <c r="R193" s="36"/>
      <c r="S193" s="35"/>
      <c r="T193" s="35"/>
      <c r="U193" s="35"/>
      <c r="V193" s="35"/>
      <c r="W193" s="35"/>
      <c r="X193" s="35"/>
      <c r="Y193" s="35"/>
      <c r="Z193" s="35"/>
    </row>
    <row r="194" spans="1:26">
      <c r="A194" s="30" t="s">
        <v>100</v>
      </c>
      <c r="B194" s="31"/>
      <c r="C194" s="31"/>
      <c r="D194" s="32"/>
      <c r="E194" s="32"/>
      <c r="F194" s="31"/>
      <c r="G194" s="32"/>
      <c r="H194" s="32"/>
      <c r="I194" s="32"/>
      <c r="J194" s="32"/>
      <c r="K194" s="31"/>
      <c r="L194" s="32"/>
      <c r="M194" s="32"/>
      <c r="N194" s="32"/>
      <c r="O194" s="32"/>
      <c r="P194" s="32"/>
      <c r="Q194" s="32"/>
      <c r="R194" s="32"/>
      <c r="S194" s="32"/>
      <c r="T194" s="32"/>
      <c r="U194" s="32"/>
      <c r="V194" s="32"/>
      <c r="W194" s="32"/>
      <c r="X194" s="32"/>
      <c r="Y194" s="32"/>
      <c r="Z194" s="32"/>
    </row>
    <row r="195" spans="1:26">
      <c r="A195" s="45" t="str">
        <f>A192</f>
        <v>bln680505</v>
      </c>
      <c r="B195" s="34">
        <f>COUNTA($B$1:B194)</f>
        <v>184</v>
      </c>
      <c r="C195" s="46" t="s">
        <v>140</v>
      </c>
      <c r="D195" s="46"/>
      <c r="E195" s="46"/>
      <c r="F195" s="47"/>
      <c r="G195" s="46" t="s">
        <v>133</v>
      </c>
      <c r="H195" s="46"/>
      <c r="I195" s="46" t="s">
        <v>55</v>
      </c>
      <c r="J195" s="46" t="s">
        <v>141</v>
      </c>
      <c r="K195" s="47"/>
      <c r="L195" s="46" t="s">
        <v>142</v>
      </c>
      <c r="M195" s="48"/>
      <c r="N195" s="46"/>
      <c r="O195" s="46" t="s">
        <v>2</v>
      </c>
      <c r="P195" s="46"/>
      <c r="Q195" s="46"/>
      <c r="R195" s="49"/>
      <c r="S195" s="46"/>
      <c r="T195" s="46"/>
      <c r="U195" s="46"/>
      <c r="V195" s="46"/>
      <c r="W195" s="46"/>
      <c r="X195" s="46"/>
      <c r="Y195" s="46"/>
      <c r="Z195" s="46"/>
    </row>
    <row r="196" spans="1:26">
      <c r="A196" s="45" t="str">
        <f>A195</f>
        <v>bln680505</v>
      </c>
      <c r="B196" s="34">
        <f>COUNTA($B$1:B195)</f>
        <v>185</v>
      </c>
      <c r="C196" s="46" t="s">
        <v>143</v>
      </c>
      <c r="D196" s="46"/>
      <c r="E196" s="46"/>
      <c r="F196" s="47"/>
      <c r="G196" s="46" t="s">
        <v>133</v>
      </c>
      <c r="H196" s="46"/>
      <c r="I196" s="46" t="s">
        <v>55</v>
      </c>
      <c r="J196" s="46" t="s">
        <v>141</v>
      </c>
      <c r="K196" s="47"/>
      <c r="L196" s="46" t="s">
        <v>98</v>
      </c>
      <c r="M196" s="48"/>
      <c r="N196" s="46" t="s">
        <v>99</v>
      </c>
      <c r="O196" s="46" t="s">
        <v>2</v>
      </c>
      <c r="P196" s="46"/>
      <c r="Q196" s="46"/>
      <c r="R196" s="49" t="s">
        <v>144</v>
      </c>
      <c r="S196" s="46"/>
      <c r="T196" s="46"/>
      <c r="U196" s="46"/>
      <c r="V196" s="46"/>
      <c r="W196" s="46"/>
      <c r="X196" s="46"/>
      <c r="Y196" s="46"/>
      <c r="Z196" s="46"/>
    </row>
    <row r="197" spans="1:26">
      <c r="A197" s="45" t="str">
        <f>A196</f>
        <v>bln680505</v>
      </c>
      <c r="B197" s="34">
        <f>COUNTA($B$1:B196)</f>
        <v>186</v>
      </c>
      <c r="C197" s="46" t="s">
        <v>145</v>
      </c>
      <c r="D197" s="46"/>
      <c r="E197" s="46"/>
      <c r="F197" s="47"/>
      <c r="G197" s="46" t="s">
        <v>133</v>
      </c>
      <c r="H197" s="46"/>
      <c r="I197" s="46" t="s">
        <v>55</v>
      </c>
      <c r="J197" s="46" t="s">
        <v>146</v>
      </c>
      <c r="K197" s="47"/>
      <c r="L197" s="46" t="s">
        <v>147</v>
      </c>
      <c r="M197" s="48"/>
      <c r="N197" s="46"/>
      <c r="O197" s="46" t="s">
        <v>2</v>
      </c>
      <c r="P197" s="46"/>
      <c r="Q197" s="46"/>
      <c r="R197" s="48"/>
      <c r="S197" s="46"/>
      <c r="T197" s="46"/>
      <c r="U197" s="46"/>
      <c r="V197" s="46"/>
      <c r="W197" s="46"/>
      <c r="X197" s="46"/>
      <c r="Y197" s="46"/>
      <c r="Z197" s="46"/>
    </row>
    <row r="198" spans="1:26">
      <c r="A198" s="33" t="str">
        <f>A192</f>
        <v>bln680505</v>
      </c>
      <c r="B198" s="34">
        <f>COUNTA($B$1:B197)</f>
        <v>187</v>
      </c>
      <c r="C198" s="35" t="s">
        <v>67</v>
      </c>
      <c r="D198" s="35"/>
      <c r="E198" s="35"/>
      <c r="F198" s="34"/>
      <c r="G198" s="35" t="s">
        <v>133</v>
      </c>
      <c r="H198" s="35"/>
      <c r="I198" s="35"/>
      <c r="J198" s="35"/>
      <c r="K198" s="34"/>
      <c r="L198" s="35" t="s">
        <v>67</v>
      </c>
      <c r="M198" s="36">
        <v>3</v>
      </c>
      <c r="N198" s="35"/>
      <c r="O198" s="35"/>
      <c r="P198" s="35"/>
      <c r="Q198" s="35"/>
      <c r="R198" s="36"/>
      <c r="S198" s="35"/>
      <c r="T198" s="35"/>
      <c r="U198" s="35"/>
      <c r="V198" s="35"/>
      <c r="W198" s="35"/>
      <c r="X198" s="35"/>
      <c r="Y198" s="35"/>
      <c r="Z198" s="35"/>
    </row>
    <row r="199" spans="1:26">
      <c r="A199" s="33" t="str">
        <f>A198</f>
        <v>bln680505</v>
      </c>
      <c r="B199" s="34">
        <f>COUNTA($B$1:B198)</f>
        <v>188</v>
      </c>
      <c r="C199" s="35" t="s">
        <v>314</v>
      </c>
      <c r="D199" s="35"/>
      <c r="E199" s="35"/>
      <c r="F199" s="34"/>
      <c r="G199" s="35" t="s">
        <v>133</v>
      </c>
      <c r="H199" s="35"/>
      <c r="I199" s="35" t="s">
        <v>55</v>
      </c>
      <c r="J199" s="35" t="s">
        <v>315</v>
      </c>
      <c r="K199" s="34">
        <v>0</v>
      </c>
      <c r="L199" s="35" t="s">
        <v>98</v>
      </c>
      <c r="M199" s="35"/>
      <c r="N199" s="35" t="s">
        <v>99</v>
      </c>
      <c r="O199" s="35"/>
      <c r="P199" s="35"/>
      <c r="Q199" s="35"/>
      <c r="R199" s="55" t="s">
        <v>316</v>
      </c>
      <c r="S199" s="35"/>
      <c r="T199" s="35" t="s">
        <v>2</v>
      </c>
      <c r="U199" s="35"/>
      <c r="V199" s="35"/>
      <c r="W199" s="35"/>
      <c r="X199" s="35"/>
      <c r="Y199" s="35"/>
      <c r="Z199" s="35"/>
    </row>
    <row r="200" spans="1:26">
      <c r="A200" s="33" t="str">
        <f t="shared" ref="A200:A205" si="1">A199</f>
        <v>bln680505</v>
      </c>
      <c r="B200" s="34">
        <f>COUNTA($B$1:B199)</f>
        <v>189</v>
      </c>
      <c r="C200" s="56" t="s">
        <v>317</v>
      </c>
      <c r="D200" s="57"/>
      <c r="E200" s="58" t="s">
        <v>154</v>
      </c>
      <c r="F200" s="59"/>
      <c r="G200" s="35" t="s">
        <v>133</v>
      </c>
      <c r="H200" s="56"/>
      <c r="I200" s="56" t="s">
        <v>55</v>
      </c>
      <c r="J200" s="56" t="s">
        <v>318</v>
      </c>
      <c r="K200" s="59"/>
      <c r="L200" s="56" t="s">
        <v>98</v>
      </c>
      <c r="M200" s="56"/>
      <c r="N200" s="56" t="s">
        <v>99</v>
      </c>
      <c r="O200" s="56"/>
      <c r="P200" s="56"/>
      <c r="Q200" s="56"/>
      <c r="R200" s="58" t="s">
        <v>319</v>
      </c>
      <c r="S200" s="58" t="s">
        <v>319</v>
      </c>
      <c r="T200" s="56" t="s">
        <v>2</v>
      </c>
      <c r="U200" s="56"/>
      <c r="V200" s="56"/>
      <c r="W200" s="35"/>
      <c r="X200" s="35"/>
      <c r="Y200" s="35"/>
      <c r="Z200" s="35"/>
    </row>
    <row r="201" spans="1:26">
      <c r="A201" s="33" t="str">
        <f t="shared" si="1"/>
        <v>bln680505</v>
      </c>
      <c r="B201" s="34">
        <f>COUNTA($B$1:B200)</f>
        <v>190</v>
      </c>
      <c r="C201" s="56" t="s">
        <v>320</v>
      </c>
      <c r="D201" s="57"/>
      <c r="E201" s="58" t="s">
        <v>154</v>
      </c>
      <c r="F201" s="59"/>
      <c r="G201" s="35" t="s">
        <v>133</v>
      </c>
      <c r="H201" s="56"/>
      <c r="I201" s="56" t="s">
        <v>55</v>
      </c>
      <c r="J201" s="56" t="s">
        <v>321</v>
      </c>
      <c r="K201" s="59"/>
      <c r="L201" s="56" t="s">
        <v>98</v>
      </c>
      <c r="M201" s="56"/>
      <c r="N201" s="56" t="s">
        <v>99</v>
      </c>
      <c r="O201" s="56"/>
      <c r="P201" s="56"/>
      <c r="Q201" s="56"/>
      <c r="R201" s="58" t="s">
        <v>322</v>
      </c>
      <c r="S201" s="58" t="s">
        <v>322</v>
      </c>
      <c r="T201" s="56" t="s">
        <v>2</v>
      </c>
      <c r="U201" s="56"/>
      <c r="V201" s="56"/>
      <c r="W201" s="35"/>
      <c r="X201" s="35"/>
      <c r="Y201" s="35"/>
      <c r="Z201" s="35"/>
    </row>
    <row r="202" spans="1:26">
      <c r="A202" s="33" t="str">
        <f t="shared" si="1"/>
        <v>bln680505</v>
      </c>
      <c r="B202" s="34">
        <f>COUNTA($B$1:B201)</f>
        <v>191</v>
      </c>
      <c r="C202" s="56" t="s">
        <v>323</v>
      </c>
      <c r="D202" s="57"/>
      <c r="E202" s="58"/>
      <c r="F202" s="59"/>
      <c r="G202" s="35" t="s">
        <v>133</v>
      </c>
      <c r="H202" s="56"/>
      <c r="I202" s="56" t="s">
        <v>55</v>
      </c>
      <c r="J202" s="56" t="s">
        <v>324</v>
      </c>
      <c r="K202" s="59"/>
      <c r="L202" s="56" t="s">
        <v>98</v>
      </c>
      <c r="M202" s="56"/>
      <c r="N202" s="56" t="s">
        <v>99</v>
      </c>
      <c r="O202" s="56"/>
      <c r="P202" s="56"/>
      <c r="Q202" s="56"/>
      <c r="R202" s="58" t="s">
        <v>101</v>
      </c>
      <c r="S202" s="56"/>
      <c r="T202" s="56" t="s">
        <v>2</v>
      </c>
      <c r="U202" s="56"/>
      <c r="V202" s="56"/>
      <c r="W202" s="35"/>
      <c r="X202" s="35"/>
      <c r="Y202" s="35"/>
      <c r="Z202" s="35"/>
    </row>
    <row r="203" spans="1:26">
      <c r="A203" s="33" t="str">
        <f t="shared" si="1"/>
        <v>bln680505</v>
      </c>
      <c r="B203" s="34">
        <f>COUNTA($B$1:B202)</f>
        <v>192</v>
      </c>
      <c r="C203" s="56" t="s">
        <v>325</v>
      </c>
      <c r="D203" s="57"/>
      <c r="E203" s="58"/>
      <c r="F203" s="59"/>
      <c r="G203" s="35" t="s">
        <v>133</v>
      </c>
      <c r="H203" s="56"/>
      <c r="I203" s="56" t="s">
        <v>55</v>
      </c>
      <c r="J203" s="56" t="s">
        <v>326</v>
      </c>
      <c r="K203" s="59"/>
      <c r="L203" s="56" t="s">
        <v>98</v>
      </c>
      <c r="M203" s="56"/>
      <c r="N203" s="56" t="s">
        <v>99</v>
      </c>
      <c r="O203" s="56"/>
      <c r="P203" s="56"/>
      <c r="Q203" s="56"/>
      <c r="R203" s="58" t="s">
        <v>322</v>
      </c>
      <c r="S203" s="56"/>
      <c r="T203" s="56" t="s">
        <v>2</v>
      </c>
      <c r="U203" s="56"/>
      <c r="V203" s="56"/>
      <c r="W203" s="35"/>
      <c r="X203" s="52"/>
      <c r="Y203" s="52"/>
      <c r="Z203" s="52"/>
    </row>
    <row r="204" spans="1:26">
      <c r="A204" s="33" t="str">
        <f t="shared" si="1"/>
        <v>bln680505</v>
      </c>
      <c r="B204" s="34">
        <f>COUNTA($B$1:B203)</f>
        <v>193</v>
      </c>
      <c r="C204" s="35" t="s">
        <v>327</v>
      </c>
      <c r="D204" s="51"/>
      <c r="E204" s="52"/>
      <c r="F204" s="34"/>
      <c r="G204" s="35" t="s">
        <v>133</v>
      </c>
      <c r="H204" s="35"/>
      <c r="I204" s="35" t="s">
        <v>55</v>
      </c>
      <c r="J204" s="35" t="s">
        <v>328</v>
      </c>
      <c r="K204" s="34">
        <v>0</v>
      </c>
      <c r="L204" s="35" t="s">
        <v>98</v>
      </c>
      <c r="M204" s="35"/>
      <c r="N204" s="35" t="s">
        <v>99</v>
      </c>
      <c r="O204" s="35"/>
      <c r="P204" s="35"/>
      <c r="Q204" s="35"/>
      <c r="R204" s="35"/>
      <c r="S204" s="35" t="s">
        <v>329</v>
      </c>
      <c r="T204" s="35"/>
      <c r="U204" s="35"/>
      <c r="V204" s="35"/>
      <c r="W204" s="35"/>
      <c r="X204" s="35"/>
      <c r="Y204" s="35"/>
      <c r="Z204" s="35"/>
    </row>
    <row r="205" spans="1:26">
      <c r="A205" s="33" t="str">
        <f t="shared" si="1"/>
        <v>bln680505</v>
      </c>
      <c r="B205" s="34">
        <f>COUNTA($B$1:B204)</f>
        <v>194</v>
      </c>
      <c r="C205" s="35" t="s">
        <v>330</v>
      </c>
      <c r="D205" s="35"/>
      <c r="E205" s="35"/>
      <c r="F205" s="34"/>
      <c r="G205" s="35" t="s">
        <v>133</v>
      </c>
      <c r="H205" s="35"/>
      <c r="I205" s="35" t="s">
        <v>55</v>
      </c>
      <c r="J205" s="35" t="s">
        <v>107</v>
      </c>
      <c r="K205" s="34">
        <v>0</v>
      </c>
      <c r="L205" s="35" t="s">
        <v>98</v>
      </c>
      <c r="M205" s="36"/>
      <c r="N205" s="35" t="s">
        <v>99</v>
      </c>
      <c r="O205" s="35"/>
      <c r="P205" s="35"/>
      <c r="Q205" s="35"/>
      <c r="R205" s="36" t="s">
        <v>196</v>
      </c>
      <c r="S205" s="35"/>
      <c r="T205" s="35" t="s">
        <v>2</v>
      </c>
      <c r="U205" s="35"/>
      <c r="V205" s="35"/>
      <c r="W205" s="35"/>
      <c r="X205" s="52"/>
      <c r="Y205" s="52"/>
      <c r="Z205" s="52"/>
    </row>
    <row r="206" spans="1:26">
      <c r="A206" s="33" t="s">
        <v>21</v>
      </c>
      <c r="B206" s="34">
        <f>COUNTA($B$1:B205)</f>
        <v>195</v>
      </c>
      <c r="C206" s="35" t="s">
        <v>331</v>
      </c>
      <c r="D206" s="35"/>
      <c r="E206" s="35"/>
      <c r="F206" s="34"/>
      <c r="G206" s="35" t="s">
        <v>133</v>
      </c>
      <c r="H206" s="35"/>
      <c r="I206" s="35" t="s">
        <v>55</v>
      </c>
      <c r="J206" s="35" t="s">
        <v>332</v>
      </c>
      <c r="K206" s="34"/>
      <c r="L206" s="35" t="s">
        <v>98</v>
      </c>
      <c r="M206" s="36"/>
      <c r="N206" s="35" t="s">
        <v>99</v>
      </c>
      <c r="O206" s="35"/>
      <c r="P206" s="35"/>
      <c r="Q206" s="35"/>
      <c r="R206" s="52" t="s">
        <v>333</v>
      </c>
      <c r="S206" s="35"/>
      <c r="T206" s="35" t="s">
        <v>2</v>
      </c>
      <c r="U206" s="35"/>
      <c r="V206" s="35"/>
      <c r="W206" s="35"/>
      <c r="X206" s="35"/>
      <c r="Y206" s="35"/>
      <c r="Z206" s="35"/>
    </row>
    <row r="207" spans="1:26">
      <c r="A207" s="33" t="s">
        <v>21</v>
      </c>
      <c r="B207" s="34">
        <f>COUNTA($B$1:B206)</f>
        <v>196</v>
      </c>
      <c r="C207" s="35" t="s">
        <v>334</v>
      </c>
      <c r="D207" s="35"/>
      <c r="E207" s="35"/>
      <c r="F207" s="34"/>
      <c r="G207" s="35" t="s">
        <v>133</v>
      </c>
      <c r="H207" s="35"/>
      <c r="I207" s="35" t="s">
        <v>55</v>
      </c>
      <c r="J207" s="35" t="s">
        <v>335</v>
      </c>
      <c r="K207" s="34"/>
      <c r="L207" s="35" t="s">
        <v>98</v>
      </c>
      <c r="M207" s="36"/>
      <c r="N207" s="35" t="s">
        <v>99</v>
      </c>
      <c r="O207" s="35"/>
      <c r="P207" s="35"/>
      <c r="Q207" s="35"/>
      <c r="R207" s="52" t="s">
        <v>336</v>
      </c>
      <c r="S207" s="35"/>
      <c r="T207" s="35" t="s">
        <v>2</v>
      </c>
      <c r="U207" s="35"/>
      <c r="V207" s="35"/>
      <c r="W207" s="35"/>
      <c r="X207" s="52"/>
      <c r="Y207" s="52"/>
      <c r="Z207" s="52"/>
    </row>
    <row r="208" spans="1:26">
      <c r="A208" s="33" t="s">
        <v>21</v>
      </c>
      <c r="B208" s="34">
        <f>COUNTA($B$1:B207)</f>
        <v>197</v>
      </c>
      <c r="C208" s="35" t="s">
        <v>337</v>
      </c>
      <c r="D208" s="35"/>
      <c r="E208" s="35"/>
      <c r="F208" s="34"/>
      <c r="G208" s="35" t="s">
        <v>133</v>
      </c>
      <c r="H208" s="35"/>
      <c r="I208" s="35" t="s">
        <v>55</v>
      </c>
      <c r="J208" s="35" t="s">
        <v>338</v>
      </c>
      <c r="K208" s="34"/>
      <c r="L208" s="35" t="s">
        <v>98</v>
      </c>
      <c r="M208" s="36"/>
      <c r="N208" s="35" t="s">
        <v>99</v>
      </c>
      <c r="O208" s="35"/>
      <c r="P208" s="35"/>
      <c r="Q208" s="35"/>
      <c r="R208" s="52" t="s">
        <v>339</v>
      </c>
      <c r="S208" s="35"/>
      <c r="T208" s="35" t="s">
        <v>2</v>
      </c>
      <c r="U208" s="35"/>
      <c r="V208" s="35"/>
      <c r="W208" s="35"/>
      <c r="X208" s="35"/>
      <c r="Y208" s="35"/>
      <c r="Z208" s="35"/>
    </row>
    <row r="209" spans="1:26">
      <c r="A209" s="33" t="s">
        <v>21</v>
      </c>
      <c r="B209" s="34">
        <f>COUNTA($B$1:B208)</f>
        <v>198</v>
      </c>
      <c r="C209" s="35" t="s">
        <v>340</v>
      </c>
      <c r="D209" s="35"/>
      <c r="E209" s="35"/>
      <c r="F209" s="34"/>
      <c r="G209" s="35" t="s">
        <v>133</v>
      </c>
      <c r="H209" s="35"/>
      <c r="I209" s="35" t="s">
        <v>55</v>
      </c>
      <c r="J209" s="35" t="s">
        <v>341</v>
      </c>
      <c r="K209" s="34"/>
      <c r="L209" s="35" t="s">
        <v>98</v>
      </c>
      <c r="M209" s="36"/>
      <c r="N209" s="35" t="s">
        <v>99</v>
      </c>
      <c r="O209" s="35"/>
      <c r="P209" s="35"/>
      <c r="Q209" s="35"/>
      <c r="R209" s="52" t="s">
        <v>342</v>
      </c>
      <c r="S209" s="35"/>
      <c r="T209" s="35" t="s">
        <v>2</v>
      </c>
      <c r="U209" s="35"/>
      <c r="V209" s="35"/>
      <c r="W209" s="35"/>
      <c r="X209" s="52"/>
      <c r="Y209" s="52"/>
      <c r="Z209" s="52"/>
    </row>
    <row r="210" spans="1:26">
      <c r="A210" s="33" t="s">
        <v>21</v>
      </c>
      <c r="B210" s="34">
        <f>COUNTA($B$1:B209)</f>
        <v>199</v>
      </c>
      <c r="C210" s="35" t="s">
        <v>343</v>
      </c>
      <c r="D210" s="35"/>
      <c r="E210" s="35"/>
      <c r="F210" s="34"/>
      <c r="G210" s="35" t="s">
        <v>133</v>
      </c>
      <c r="H210" s="35"/>
      <c r="I210" s="35" t="s">
        <v>55</v>
      </c>
      <c r="J210" s="35" t="s">
        <v>344</v>
      </c>
      <c r="K210" s="34"/>
      <c r="L210" s="35" t="s">
        <v>98</v>
      </c>
      <c r="M210" s="36"/>
      <c r="N210" s="35" t="s">
        <v>99</v>
      </c>
      <c r="O210" s="35"/>
      <c r="P210" s="35"/>
      <c r="Q210" s="35"/>
      <c r="R210" s="52" t="s">
        <v>345</v>
      </c>
      <c r="S210" s="35"/>
      <c r="T210" s="35" t="s">
        <v>2</v>
      </c>
      <c r="U210" s="35"/>
      <c r="V210" s="35"/>
      <c r="W210" s="35"/>
      <c r="X210" s="35"/>
      <c r="Y210" s="35"/>
      <c r="Z210" s="35"/>
    </row>
    <row r="211" spans="1:26">
      <c r="A211" s="33" t="s">
        <v>21</v>
      </c>
      <c r="B211" s="34">
        <f>COUNTA($B$1:B210)</f>
        <v>200</v>
      </c>
      <c r="C211" s="35" t="s">
        <v>346</v>
      </c>
      <c r="D211" s="35"/>
      <c r="E211" s="35"/>
      <c r="F211" s="34"/>
      <c r="G211" s="35" t="s">
        <v>133</v>
      </c>
      <c r="H211" s="35"/>
      <c r="I211" s="35" t="s">
        <v>55</v>
      </c>
      <c r="J211" s="35" t="s">
        <v>347</v>
      </c>
      <c r="K211" s="34"/>
      <c r="L211" s="35" t="s">
        <v>98</v>
      </c>
      <c r="M211" s="36"/>
      <c r="N211" s="35" t="s">
        <v>99</v>
      </c>
      <c r="O211" s="35"/>
      <c r="P211" s="35"/>
      <c r="Q211" s="35"/>
      <c r="R211" s="52" t="s">
        <v>348</v>
      </c>
      <c r="S211" s="35"/>
      <c r="T211" s="35" t="s">
        <v>2</v>
      </c>
      <c r="U211" s="35"/>
      <c r="V211" s="35"/>
      <c r="W211" s="35"/>
      <c r="X211" s="52"/>
      <c r="Y211" s="52"/>
      <c r="Z211" s="52"/>
    </row>
    <row r="212" spans="1:26">
      <c r="A212" s="33" t="str">
        <f>A205</f>
        <v>bln680505</v>
      </c>
      <c r="B212" s="34">
        <f>COUNTA($B$1:B211)</f>
        <v>201</v>
      </c>
      <c r="C212" s="35" t="s">
        <v>349</v>
      </c>
      <c r="D212" s="35"/>
      <c r="E212" s="35"/>
      <c r="F212" s="34"/>
      <c r="G212" s="35" t="s">
        <v>133</v>
      </c>
      <c r="H212" s="35"/>
      <c r="I212" s="35" t="s">
        <v>55</v>
      </c>
      <c r="J212" s="35" t="s">
        <v>350</v>
      </c>
      <c r="K212" s="34"/>
      <c r="L212" s="35" t="s">
        <v>98</v>
      </c>
      <c r="M212" s="36"/>
      <c r="N212" s="35" t="s">
        <v>99</v>
      </c>
      <c r="O212" s="35"/>
      <c r="P212" s="35"/>
      <c r="Q212" s="35"/>
      <c r="R212" s="52" t="s">
        <v>351</v>
      </c>
      <c r="S212" s="35"/>
      <c r="T212" s="35" t="s">
        <v>2</v>
      </c>
      <c r="U212" s="35"/>
      <c r="V212" s="35"/>
      <c r="W212" s="35"/>
      <c r="X212" s="35"/>
      <c r="Y212" s="35"/>
      <c r="Z212" s="35"/>
    </row>
    <row r="213" spans="1:26">
      <c r="A213" s="33" t="str">
        <f>A212</f>
        <v>bln680505</v>
      </c>
      <c r="B213" s="34">
        <f>COUNTA($B$1:B212)</f>
        <v>202</v>
      </c>
      <c r="C213" s="35" t="s">
        <v>352</v>
      </c>
      <c r="D213" s="35"/>
      <c r="E213" s="35"/>
      <c r="F213" s="34"/>
      <c r="G213" s="35" t="s">
        <v>133</v>
      </c>
      <c r="H213" s="35"/>
      <c r="I213" s="35" t="s">
        <v>55</v>
      </c>
      <c r="J213" s="35" t="s">
        <v>353</v>
      </c>
      <c r="K213" s="34"/>
      <c r="L213" s="35" t="s">
        <v>98</v>
      </c>
      <c r="M213" s="36"/>
      <c r="N213" s="35" t="s">
        <v>99</v>
      </c>
      <c r="O213" s="35"/>
      <c r="P213" s="35"/>
      <c r="Q213" s="35"/>
      <c r="R213" s="36" t="str">
        <f>TEXT(M91,"0")</f>
        <v>Destination1</v>
      </c>
      <c r="S213" s="35"/>
      <c r="T213" s="35" t="s">
        <v>2</v>
      </c>
      <c r="U213" s="35"/>
      <c r="V213" s="35"/>
      <c r="W213" s="35"/>
      <c r="X213" s="35"/>
      <c r="Y213" s="35"/>
      <c r="Z213" s="35"/>
    </row>
    <row r="214" spans="1:26">
      <c r="A214" s="33" t="str">
        <f t="shared" ref="A214:A222" si="2">A213</f>
        <v>bln680505</v>
      </c>
      <c r="B214" s="34">
        <f>COUNTA($B$1:B213)</f>
        <v>203</v>
      </c>
      <c r="C214" s="35" t="s">
        <v>354</v>
      </c>
      <c r="D214" s="35"/>
      <c r="E214" s="35"/>
      <c r="F214" s="34"/>
      <c r="G214" s="35" t="s">
        <v>133</v>
      </c>
      <c r="H214" s="35"/>
      <c r="I214" s="35" t="s">
        <v>55</v>
      </c>
      <c r="J214" s="35" t="s">
        <v>355</v>
      </c>
      <c r="K214" s="34"/>
      <c r="L214" s="35" t="s">
        <v>98</v>
      </c>
      <c r="M214" s="36"/>
      <c r="N214" s="35" t="s">
        <v>99</v>
      </c>
      <c r="O214" s="35"/>
      <c r="P214" s="35"/>
      <c r="Q214" s="35"/>
      <c r="R214" s="36" t="str">
        <f>TEXT(M94,"mm/dd/yyyy")</f>
        <v>DepDateValid</v>
      </c>
      <c r="S214" s="35"/>
      <c r="T214" s="35" t="s">
        <v>2</v>
      </c>
      <c r="U214" s="35"/>
      <c r="V214" s="35"/>
      <c r="W214" s="35"/>
      <c r="X214" s="35"/>
      <c r="Y214" s="35"/>
      <c r="Z214" s="35"/>
    </row>
    <row r="215" spans="1:26">
      <c r="A215" s="33" t="str">
        <f t="shared" si="2"/>
        <v>bln680505</v>
      </c>
      <c r="B215" s="34">
        <f>COUNTA($B$1:B214)</f>
        <v>204</v>
      </c>
      <c r="C215" s="35" t="s">
        <v>356</v>
      </c>
      <c r="D215" s="35"/>
      <c r="E215" s="35"/>
      <c r="F215" s="34"/>
      <c r="G215" s="35" t="s">
        <v>133</v>
      </c>
      <c r="H215" s="35"/>
      <c r="I215" s="35" t="s">
        <v>55</v>
      </c>
      <c r="J215" s="35" t="s">
        <v>357</v>
      </c>
      <c r="K215" s="34"/>
      <c r="L215" s="35" t="s">
        <v>98</v>
      </c>
      <c r="M215" s="36"/>
      <c r="N215" s="35" t="s">
        <v>99</v>
      </c>
      <c r="O215" s="35"/>
      <c r="P215" s="35"/>
      <c r="Q215" s="35"/>
      <c r="R215" s="36" t="str">
        <f>TEXT(M95,"mm/dd/yyyy")</f>
        <v>RetDateValid</v>
      </c>
      <c r="S215" s="35"/>
      <c r="T215" s="35" t="s">
        <v>2</v>
      </c>
      <c r="U215" s="35"/>
      <c r="V215" s="35"/>
      <c r="W215" s="35"/>
      <c r="X215" s="35"/>
      <c r="Y215" s="35"/>
      <c r="Z215" s="35"/>
    </row>
    <row r="216" spans="1:26">
      <c r="A216" s="33" t="str">
        <f t="shared" si="2"/>
        <v>bln680505</v>
      </c>
      <c r="B216" s="34">
        <f>COUNTA($B$1:B215)</f>
        <v>205</v>
      </c>
      <c r="C216" s="35" t="s">
        <v>358</v>
      </c>
      <c r="D216" s="35"/>
      <c r="E216" s="35"/>
      <c r="F216" s="34"/>
      <c r="G216" s="35" t="s">
        <v>133</v>
      </c>
      <c r="H216" s="35"/>
      <c r="I216" s="35" t="s">
        <v>55</v>
      </c>
      <c r="J216" s="35" t="s">
        <v>359</v>
      </c>
      <c r="K216" s="34"/>
      <c r="L216" s="35" t="s">
        <v>98</v>
      </c>
      <c r="M216" s="36"/>
      <c r="N216" s="35" t="s">
        <v>99</v>
      </c>
      <c r="O216" s="35"/>
      <c r="P216" s="35"/>
      <c r="Q216" s="35"/>
      <c r="R216" s="36" t="s">
        <v>196</v>
      </c>
      <c r="S216" s="52"/>
      <c r="T216" s="35" t="s">
        <v>2</v>
      </c>
      <c r="U216" s="35"/>
      <c r="V216" s="35"/>
      <c r="W216" s="35"/>
      <c r="X216" s="35"/>
      <c r="Y216" s="35"/>
      <c r="Z216" s="35"/>
    </row>
    <row r="217" spans="1:26">
      <c r="A217" s="33" t="str">
        <f t="shared" si="2"/>
        <v>bln680505</v>
      </c>
      <c r="B217" s="34">
        <f>COUNTA($B$1:B216)</f>
        <v>206</v>
      </c>
      <c r="C217" s="35" t="s">
        <v>360</v>
      </c>
      <c r="D217" s="35"/>
      <c r="E217" s="35"/>
      <c r="F217" s="34"/>
      <c r="G217" s="35" t="s">
        <v>133</v>
      </c>
      <c r="H217" s="35"/>
      <c r="I217" s="35" t="s">
        <v>55</v>
      </c>
      <c r="J217" s="35" t="s">
        <v>361</v>
      </c>
      <c r="K217" s="34"/>
      <c r="L217" s="35" t="s">
        <v>98</v>
      </c>
      <c r="M217" s="36"/>
      <c r="N217" s="35" t="s">
        <v>99</v>
      </c>
      <c r="O217" s="35"/>
      <c r="P217" s="35"/>
      <c r="Q217" s="35"/>
      <c r="R217" s="36"/>
      <c r="S217" s="35"/>
      <c r="T217" s="35"/>
      <c r="U217" s="35"/>
      <c r="V217" s="35"/>
      <c r="W217" s="35"/>
      <c r="X217" s="35"/>
      <c r="Y217" s="35"/>
      <c r="Z217" s="35"/>
    </row>
    <row r="218" spans="1:26">
      <c r="A218" s="33" t="str">
        <f t="shared" si="2"/>
        <v>bln680505</v>
      </c>
      <c r="B218" s="34">
        <f>COUNTA($B$1:B217)</f>
        <v>207</v>
      </c>
      <c r="C218" s="35" t="s">
        <v>362</v>
      </c>
      <c r="D218" s="35"/>
      <c r="E218" s="35"/>
      <c r="F218" s="34"/>
      <c r="G218" s="35" t="s">
        <v>133</v>
      </c>
      <c r="H218" s="35"/>
      <c r="I218" s="35" t="s">
        <v>55</v>
      </c>
      <c r="J218" s="35" t="s">
        <v>363</v>
      </c>
      <c r="K218" s="34"/>
      <c r="L218" s="35" t="s">
        <v>98</v>
      </c>
      <c r="M218" s="36"/>
      <c r="N218" s="35" t="s">
        <v>99</v>
      </c>
      <c r="O218" s="35"/>
      <c r="P218" s="35"/>
      <c r="Q218" s="35"/>
      <c r="R218" s="36"/>
      <c r="S218" s="35"/>
      <c r="T218" s="35"/>
      <c r="U218" s="35"/>
      <c r="V218" s="35"/>
      <c r="W218" s="35"/>
      <c r="X218" s="35"/>
      <c r="Y218" s="35"/>
      <c r="Z218" s="35"/>
    </row>
    <row r="219" spans="1:26">
      <c r="A219" s="33" t="str">
        <f t="shared" si="2"/>
        <v>bln680505</v>
      </c>
      <c r="B219" s="34">
        <f>COUNTA($B$1:B218)</f>
        <v>208</v>
      </c>
      <c r="C219" s="35" t="s">
        <v>364</v>
      </c>
      <c r="D219" s="35"/>
      <c r="E219" s="35"/>
      <c r="F219" s="34"/>
      <c r="G219" s="35" t="s">
        <v>133</v>
      </c>
      <c r="H219" s="35"/>
      <c r="I219" s="35" t="s">
        <v>55</v>
      </c>
      <c r="J219" s="35" t="s">
        <v>365</v>
      </c>
      <c r="K219" s="34"/>
      <c r="L219" s="35" t="s">
        <v>98</v>
      </c>
      <c r="M219" s="36"/>
      <c r="N219" s="35" t="s">
        <v>99</v>
      </c>
      <c r="O219" s="35"/>
      <c r="P219" s="35"/>
      <c r="Q219" s="35"/>
      <c r="R219" s="55" t="str">
        <f>TEXT(M137,"mm/dd/yyyy")</f>
        <v>BirthDate1</v>
      </c>
      <c r="S219" s="35"/>
      <c r="T219" s="35" t="s">
        <v>2</v>
      </c>
      <c r="U219" s="35"/>
      <c r="V219" s="35"/>
      <c r="W219" s="35"/>
      <c r="X219" s="35"/>
      <c r="Y219" s="35"/>
      <c r="Z219" s="35"/>
    </row>
    <row r="220" spans="1:26">
      <c r="A220" s="33" t="str">
        <f t="shared" si="2"/>
        <v>bln680505</v>
      </c>
      <c r="B220" s="34">
        <f>COUNTA($B$1:B219)</f>
        <v>209</v>
      </c>
      <c r="C220" s="35" t="s">
        <v>366</v>
      </c>
      <c r="D220" s="35"/>
      <c r="E220" s="35"/>
      <c r="F220" s="34"/>
      <c r="G220" s="35" t="s">
        <v>133</v>
      </c>
      <c r="H220" s="35"/>
      <c r="I220" s="35" t="s">
        <v>55</v>
      </c>
      <c r="J220" s="35" t="s">
        <v>367</v>
      </c>
      <c r="K220" s="34"/>
      <c r="L220" s="35" t="s">
        <v>98</v>
      </c>
      <c r="M220" s="36"/>
      <c r="N220" s="35" t="s">
        <v>99</v>
      </c>
      <c r="O220" s="35"/>
      <c r="P220" s="35"/>
      <c r="Q220" s="35"/>
      <c r="R220" s="55" t="str">
        <f>TEXT(M149,"0")</f>
        <v>Phone1</v>
      </c>
      <c r="S220" s="35"/>
      <c r="T220" s="35" t="s">
        <v>2</v>
      </c>
      <c r="U220" s="35"/>
      <c r="V220" s="35"/>
      <c r="W220" s="35"/>
      <c r="X220" s="35"/>
      <c r="Y220" s="35"/>
      <c r="Z220" s="35"/>
    </row>
    <row r="221" spans="1:26">
      <c r="A221" s="33" t="str">
        <f t="shared" si="2"/>
        <v>bln680505</v>
      </c>
      <c r="B221" s="34">
        <f>COUNTA($B$1:B220)</f>
        <v>210</v>
      </c>
      <c r="C221" s="35" t="s">
        <v>368</v>
      </c>
      <c r="D221" s="35"/>
      <c r="E221" s="35"/>
      <c r="F221" s="34"/>
      <c r="G221" s="35" t="s">
        <v>133</v>
      </c>
      <c r="H221" s="35"/>
      <c r="I221" s="35" t="s">
        <v>55</v>
      </c>
      <c r="J221" s="35" t="s">
        <v>369</v>
      </c>
      <c r="K221" s="34">
        <v>2</v>
      </c>
      <c r="L221" s="35" t="s">
        <v>98</v>
      </c>
      <c r="M221" s="36"/>
      <c r="N221" s="35" t="s">
        <v>99</v>
      </c>
      <c r="O221" s="35"/>
      <c r="P221" s="35"/>
      <c r="Q221" s="35"/>
      <c r="R221" s="36" t="s">
        <v>196</v>
      </c>
      <c r="S221" s="35"/>
      <c r="T221" s="35" t="s">
        <v>2</v>
      </c>
      <c r="U221" s="35"/>
      <c r="V221" s="35"/>
      <c r="W221" s="35"/>
      <c r="X221" s="35"/>
      <c r="Y221" s="35"/>
      <c r="Z221" s="35"/>
    </row>
    <row r="222" spans="1:26">
      <c r="A222" s="33" t="str">
        <f t="shared" si="2"/>
        <v>bln680505</v>
      </c>
      <c r="B222" s="34">
        <f>COUNTA($B$1:B221)</f>
        <v>211</v>
      </c>
      <c r="C222" s="35" t="s">
        <v>370</v>
      </c>
      <c r="D222" s="35"/>
      <c r="E222" s="35"/>
      <c r="F222" s="34"/>
      <c r="G222" s="35" t="s">
        <v>133</v>
      </c>
      <c r="H222" s="35"/>
      <c r="I222" s="35" t="s">
        <v>55</v>
      </c>
      <c r="J222" s="35" t="s">
        <v>371</v>
      </c>
      <c r="K222" s="34"/>
      <c r="L222" s="35" t="s">
        <v>98</v>
      </c>
      <c r="M222" s="36"/>
      <c r="N222" s="35" t="s">
        <v>99</v>
      </c>
      <c r="O222" s="35"/>
      <c r="P222" s="35"/>
      <c r="Q222" s="35"/>
      <c r="R222" s="36"/>
      <c r="S222" s="35"/>
      <c r="T222" s="35"/>
      <c r="U222" s="35"/>
      <c r="V222" s="35"/>
      <c r="W222" s="35"/>
      <c r="X222" s="35"/>
      <c r="Y222" s="35"/>
      <c r="Z222" s="35"/>
    </row>
    <row r="223" spans="1:26">
      <c r="A223" s="33" t="s">
        <v>21</v>
      </c>
      <c r="B223" s="34">
        <f>COUNTA($B$1:B222)</f>
        <v>212</v>
      </c>
      <c r="C223" s="35" t="s">
        <v>372</v>
      </c>
      <c r="D223" s="35"/>
      <c r="E223" s="35"/>
      <c r="F223" s="34"/>
      <c r="G223" s="35" t="s">
        <v>133</v>
      </c>
      <c r="H223" s="35"/>
      <c r="I223" s="35" t="s">
        <v>55</v>
      </c>
      <c r="J223" s="35" t="s">
        <v>488</v>
      </c>
      <c r="K223" s="34"/>
      <c r="L223" s="35" t="s">
        <v>98</v>
      </c>
      <c r="M223" s="36"/>
      <c r="N223" s="35" t="s">
        <v>99</v>
      </c>
      <c r="O223" s="35"/>
      <c r="P223" s="35"/>
      <c r="Q223" s="35"/>
      <c r="R223" s="52" t="s">
        <v>197</v>
      </c>
      <c r="S223" s="35"/>
      <c r="T223" s="35" t="s">
        <v>2</v>
      </c>
      <c r="U223" s="35"/>
      <c r="V223" s="35"/>
      <c r="W223" s="35"/>
      <c r="X223" s="52"/>
      <c r="Y223" s="52"/>
      <c r="Z223" s="52"/>
    </row>
    <row r="224" spans="1:26">
      <c r="A224" s="33" t="s">
        <v>21</v>
      </c>
      <c r="B224" s="34">
        <f>COUNTA($B$1:B223)</f>
        <v>213</v>
      </c>
      <c r="C224" s="35" t="s">
        <v>374</v>
      </c>
      <c r="D224" s="35"/>
      <c r="E224" s="35"/>
      <c r="F224" s="34"/>
      <c r="G224" s="35" t="s">
        <v>133</v>
      </c>
      <c r="H224" s="35"/>
      <c r="I224" s="35" t="s">
        <v>55</v>
      </c>
      <c r="J224" s="35" t="s">
        <v>375</v>
      </c>
      <c r="K224" s="34"/>
      <c r="L224" s="35" t="s">
        <v>98</v>
      </c>
      <c r="M224" s="36"/>
      <c r="N224" s="35" t="s">
        <v>99</v>
      </c>
      <c r="O224" s="35"/>
      <c r="P224" s="35"/>
      <c r="Q224" s="35"/>
      <c r="R224" s="52"/>
      <c r="S224" s="35"/>
      <c r="T224" s="35"/>
      <c r="U224" s="35"/>
      <c r="V224" s="35"/>
      <c r="W224" s="35"/>
      <c r="X224" s="52"/>
      <c r="Y224" s="52"/>
      <c r="Z224" s="52"/>
    </row>
    <row r="225" spans="1:26">
      <c r="A225" s="33" t="s">
        <v>21</v>
      </c>
      <c r="B225" s="34">
        <f>COUNTA($B$1:B224)</f>
        <v>214</v>
      </c>
      <c r="C225" s="35" t="s">
        <v>376</v>
      </c>
      <c r="D225" s="35"/>
      <c r="E225" s="35"/>
      <c r="F225" s="34"/>
      <c r="G225" s="35" t="s">
        <v>133</v>
      </c>
      <c r="H225" s="35"/>
      <c r="I225" s="35" t="s">
        <v>55</v>
      </c>
      <c r="J225" s="35" t="s">
        <v>373</v>
      </c>
      <c r="K225" s="34"/>
      <c r="L225" s="35" t="s">
        <v>98</v>
      </c>
      <c r="M225" s="36"/>
      <c r="N225" s="35" t="s">
        <v>99</v>
      </c>
      <c r="O225" s="35"/>
      <c r="P225" s="35"/>
      <c r="Q225" s="35"/>
      <c r="R225" s="52" t="s">
        <v>199</v>
      </c>
      <c r="S225" s="35"/>
      <c r="T225" s="35" t="s">
        <v>2</v>
      </c>
      <c r="U225" s="35"/>
      <c r="V225" s="35"/>
      <c r="W225" s="35"/>
      <c r="X225" s="52"/>
      <c r="Y225" s="52"/>
      <c r="Z225" s="52"/>
    </row>
    <row r="226" spans="1:26">
      <c r="A226" s="33" t="s">
        <v>21</v>
      </c>
      <c r="B226" s="34">
        <f>COUNTA($B$1:B225)</f>
        <v>215</v>
      </c>
      <c r="C226" s="35" t="s">
        <v>378</v>
      </c>
      <c r="D226" s="35"/>
      <c r="E226" s="35"/>
      <c r="F226" s="34"/>
      <c r="G226" s="35" t="s">
        <v>133</v>
      </c>
      <c r="H226" s="35"/>
      <c r="I226" s="35" t="s">
        <v>55</v>
      </c>
      <c r="J226" s="35" t="s">
        <v>379</v>
      </c>
      <c r="K226" s="34"/>
      <c r="L226" s="35" t="s">
        <v>98</v>
      </c>
      <c r="M226" s="36"/>
      <c r="N226" s="35" t="s">
        <v>99</v>
      </c>
      <c r="O226" s="35"/>
      <c r="P226" s="35"/>
      <c r="Q226" s="35"/>
      <c r="R226" s="52"/>
      <c r="S226" s="35"/>
      <c r="T226" s="35"/>
      <c r="U226" s="35"/>
      <c r="V226" s="35"/>
      <c r="W226" s="35"/>
      <c r="X226" s="52"/>
      <c r="Y226" s="52"/>
      <c r="Z226" s="52"/>
    </row>
    <row r="227" spans="1:26">
      <c r="A227" s="33" t="s">
        <v>21</v>
      </c>
      <c r="B227" s="34">
        <f>COUNTA($B$1:B226)</f>
        <v>216</v>
      </c>
      <c r="C227" s="35" t="s">
        <v>380</v>
      </c>
      <c r="D227" s="35"/>
      <c r="E227" s="35"/>
      <c r="F227" s="34"/>
      <c r="G227" s="35" t="s">
        <v>133</v>
      </c>
      <c r="H227" s="35"/>
      <c r="I227" s="35" t="s">
        <v>55</v>
      </c>
      <c r="J227" s="35" t="s">
        <v>377</v>
      </c>
      <c r="K227" s="34"/>
      <c r="L227" s="35" t="s">
        <v>98</v>
      </c>
      <c r="M227" s="36"/>
      <c r="N227" s="35" t="s">
        <v>99</v>
      </c>
      <c r="O227" s="35"/>
      <c r="P227" s="35"/>
      <c r="Q227" s="35"/>
      <c r="R227" s="52" t="s">
        <v>309</v>
      </c>
      <c r="S227" s="35"/>
      <c r="T227" s="35" t="s">
        <v>2</v>
      </c>
      <c r="U227" s="35"/>
      <c r="V227" s="35"/>
      <c r="W227" s="35"/>
      <c r="X227" s="52"/>
      <c r="Y227" s="52"/>
      <c r="Z227" s="52"/>
    </row>
    <row r="228" spans="1:26">
      <c r="A228" s="33" t="s">
        <v>21</v>
      </c>
      <c r="B228" s="34">
        <f>COUNTA($B$1:B227)</f>
        <v>217</v>
      </c>
      <c r="C228" s="35" t="s">
        <v>381</v>
      </c>
      <c r="D228" s="35"/>
      <c r="E228" s="35"/>
      <c r="F228" s="34"/>
      <c r="G228" s="35" t="s">
        <v>133</v>
      </c>
      <c r="H228" s="35"/>
      <c r="I228" s="35" t="s">
        <v>55</v>
      </c>
      <c r="J228" s="35" t="s">
        <v>382</v>
      </c>
      <c r="K228" s="34"/>
      <c r="L228" s="35" t="s">
        <v>98</v>
      </c>
      <c r="M228" s="36"/>
      <c r="N228" s="35" t="s">
        <v>99</v>
      </c>
      <c r="O228" s="35"/>
      <c r="P228" s="35"/>
      <c r="Q228" s="35"/>
      <c r="R228" s="52"/>
      <c r="S228" s="35"/>
      <c r="T228" s="35"/>
      <c r="U228" s="35"/>
      <c r="V228" s="35"/>
      <c r="W228" s="35"/>
      <c r="X228" s="52"/>
      <c r="Y228" s="52"/>
      <c r="Z228" s="52"/>
    </row>
    <row r="229" spans="1:26">
      <c r="A229" s="33" t="str">
        <f>A222</f>
        <v>bln680505</v>
      </c>
      <c r="B229" s="34">
        <f>COUNTA($B$1:B228)</f>
        <v>218</v>
      </c>
      <c r="C229" s="35" t="s">
        <v>383</v>
      </c>
      <c r="D229" s="35"/>
      <c r="E229" s="35"/>
      <c r="F229" s="34"/>
      <c r="G229" s="35" t="s">
        <v>133</v>
      </c>
      <c r="H229" s="35"/>
      <c r="I229" s="35" t="s">
        <v>55</v>
      </c>
      <c r="J229" s="35" t="s">
        <v>384</v>
      </c>
      <c r="K229" s="34"/>
      <c r="L229" s="35" t="s">
        <v>98</v>
      </c>
      <c r="M229" s="36"/>
      <c r="N229" s="35" t="s">
        <v>99</v>
      </c>
      <c r="O229" s="35"/>
      <c r="P229" s="35"/>
      <c r="Q229" s="35"/>
      <c r="R229" s="36">
        <f>S171</f>
        <v>0</v>
      </c>
      <c r="S229" s="35"/>
      <c r="T229" s="35" t="s">
        <v>2</v>
      </c>
      <c r="U229" s="35"/>
      <c r="V229" s="35"/>
      <c r="W229" s="35"/>
      <c r="X229" s="35"/>
      <c r="Y229" s="35"/>
      <c r="Z229" s="35"/>
    </row>
    <row r="230" spans="1:26">
      <c r="A230" s="33" t="str">
        <f>A229</f>
        <v>bln680505</v>
      </c>
      <c r="B230" s="34">
        <f>COUNTA($B$1:B229)</f>
        <v>219</v>
      </c>
      <c r="C230" s="56" t="s">
        <v>67</v>
      </c>
      <c r="D230" s="57"/>
      <c r="E230" s="58" t="s">
        <v>154</v>
      </c>
      <c r="F230" s="59"/>
      <c r="G230" s="35" t="s">
        <v>133</v>
      </c>
      <c r="H230" s="56"/>
      <c r="I230" s="56"/>
      <c r="J230" s="56"/>
      <c r="K230" s="59"/>
      <c r="L230" s="56" t="s">
        <v>67</v>
      </c>
      <c r="M230" s="60">
        <v>4</v>
      </c>
      <c r="N230" s="35"/>
      <c r="O230" s="35"/>
      <c r="P230" s="35"/>
      <c r="Q230" s="35"/>
      <c r="R230" s="36"/>
      <c r="S230" s="52"/>
      <c r="T230" s="35"/>
      <c r="U230" s="35"/>
      <c r="V230" s="35"/>
      <c r="W230" s="35"/>
      <c r="X230" s="52"/>
      <c r="Y230" s="52"/>
      <c r="Z230" s="52"/>
    </row>
    <row r="231" spans="1:26">
      <c r="A231" s="30" t="s">
        <v>411</v>
      </c>
      <c r="B231" s="31"/>
      <c r="C231" s="31"/>
      <c r="D231" s="32"/>
      <c r="E231" s="32"/>
      <c r="F231" s="31"/>
      <c r="G231" s="32"/>
      <c r="H231" s="32"/>
      <c r="I231" s="32"/>
      <c r="J231" s="32"/>
      <c r="K231" s="31"/>
      <c r="L231" s="32"/>
      <c r="M231" s="32"/>
      <c r="N231" s="32"/>
      <c r="O231" s="32"/>
      <c r="P231" s="32"/>
      <c r="Q231" s="32"/>
      <c r="R231" s="32"/>
      <c r="S231" s="32"/>
      <c r="T231" s="32"/>
      <c r="U231" s="32"/>
      <c r="V231" s="32"/>
      <c r="W231" s="32"/>
      <c r="X231" s="32"/>
      <c r="Y231" s="32"/>
      <c r="Z231" s="32"/>
    </row>
    <row r="232" spans="1:26">
      <c r="A232" s="33" t="s">
        <v>412</v>
      </c>
      <c r="B232" s="34">
        <f>COUNTA($B$1:B231)</f>
        <v>220</v>
      </c>
      <c r="C232" s="61" t="s">
        <v>97</v>
      </c>
      <c r="D232" s="61"/>
      <c r="E232" s="61"/>
      <c r="F232" s="62"/>
      <c r="G232" s="61" t="s">
        <v>133</v>
      </c>
      <c r="H232" s="61"/>
      <c r="I232" s="61"/>
      <c r="J232" s="61"/>
      <c r="K232" s="62"/>
      <c r="L232" s="61" t="s">
        <v>97</v>
      </c>
      <c r="M232" s="63"/>
      <c r="N232" s="61"/>
      <c r="O232" s="61"/>
      <c r="P232" s="61"/>
      <c r="Q232" s="61"/>
      <c r="R232" s="61"/>
      <c r="S232" s="61"/>
      <c r="T232" s="61"/>
      <c r="U232" s="35"/>
      <c r="V232" s="35"/>
      <c r="W232" s="35"/>
      <c r="X232" s="35"/>
      <c r="Y232" s="35"/>
      <c r="Z232" s="35"/>
    </row>
  </sheetData>
  <pageMargins left="0.7" right="0.7" top="0.75" bottom="0.75" header="0.3" footer="0.3"/>
  <pageSetup orientation="portrait" r:id="rId1"/>
  <headerFooter>
    <oddFooter>&amp;L_x000D_&amp;1#&amp;"Aptos"&amp;10&amp;K000000 INTERNAL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4E644-3216-4E42-B3FB-55305700C39D}">
  <sheetPr>
    <tabColor theme="6"/>
  </sheetPr>
  <dimension ref="A1:IL2"/>
  <sheetViews>
    <sheetView showGridLines="0" zoomScale="92" zoomScaleNormal="92" workbookViewId="0">
      <pane xSplit="2" ySplit="1" topLeftCell="C2" activePane="bottomRight" state="frozen"/>
      <selection pane="topRight" activeCell="C1" sqref="C1"/>
      <selection pane="bottomLeft" activeCell="A2" sqref="A2"/>
      <selection pane="bottomRight" activeCell="H2" sqref="H2"/>
    </sheetView>
  </sheetViews>
  <sheetFormatPr defaultColWidth="9.140625" defaultRowHeight="12.75"/>
  <cols>
    <col min="1" max="1" width="23.42578125" style="15" bestFit="1" customWidth="1"/>
    <col min="2" max="2" width="12" style="15" bestFit="1" customWidth="1"/>
    <col min="3" max="3" width="11.140625" style="15" customWidth="1"/>
    <col min="4" max="4" width="8.140625" style="15" bestFit="1" customWidth="1"/>
    <col min="5" max="5" width="16.42578125" style="15" bestFit="1" customWidth="1"/>
    <col min="6" max="7" width="18.42578125" style="15" customWidth="1"/>
    <col min="8" max="8" width="42.5703125" style="15" bestFit="1" customWidth="1"/>
    <col min="9" max="9" width="13.85546875" style="15" bestFit="1" customWidth="1"/>
    <col min="10" max="10" width="10.5703125" style="15" bestFit="1" customWidth="1"/>
    <col min="11" max="11" width="41.42578125" style="15" bestFit="1" customWidth="1"/>
    <col min="12" max="12" width="15.140625" style="15" bestFit="1" customWidth="1"/>
    <col min="13" max="13" width="19.140625" style="15" bestFit="1" customWidth="1"/>
    <col min="14" max="14" width="20" style="15" bestFit="1" customWidth="1"/>
    <col min="15" max="15" width="20" style="15" customWidth="1"/>
    <col min="16" max="16" width="20.85546875" style="15" bestFit="1" customWidth="1"/>
    <col min="17" max="17" width="20" style="15" customWidth="1"/>
    <col min="18" max="18" width="20.85546875" style="15" bestFit="1" customWidth="1"/>
    <col min="19" max="19" width="12.28515625" style="15" bestFit="1" customWidth="1"/>
    <col min="20" max="20" width="11.85546875" style="15" customWidth="1"/>
    <col min="21" max="21" width="10.5703125" style="15" bestFit="1" customWidth="1"/>
    <col min="22" max="22" width="10.5703125" style="15" customWidth="1"/>
    <col min="23" max="23" width="11.7109375" style="15" customWidth="1"/>
    <col min="24" max="24" width="13.85546875" style="15" bestFit="1" customWidth="1"/>
    <col min="25" max="25" width="11.7109375" style="15" bestFit="1" customWidth="1"/>
    <col min="26" max="26" width="19.140625" style="15" bestFit="1" customWidth="1"/>
    <col min="27" max="27" width="12.42578125" style="15" bestFit="1" customWidth="1"/>
    <col min="28" max="28" width="14" style="15" bestFit="1" customWidth="1"/>
    <col min="29" max="29" width="13.42578125" style="15" bestFit="1" customWidth="1"/>
    <col min="30" max="30" width="9.7109375" style="15" bestFit="1" customWidth="1"/>
    <col min="31" max="31" width="7.85546875" style="15" bestFit="1" customWidth="1"/>
    <col min="32" max="32" width="11.42578125" style="15" bestFit="1" customWidth="1"/>
    <col min="33" max="33" width="9.85546875" style="15" bestFit="1" customWidth="1"/>
    <col min="34" max="37" width="17.85546875" style="15" bestFit="1" customWidth="1"/>
    <col min="38" max="41" width="22.85546875" style="15" bestFit="1" customWidth="1"/>
    <col min="42" max="43" width="18.42578125" style="15" bestFit="1" customWidth="1"/>
    <col min="44" max="44" width="28.5703125" style="15" bestFit="1" customWidth="1"/>
    <col min="45" max="45" width="27.28515625" style="15" bestFit="1" customWidth="1"/>
    <col min="46" max="48" width="18.42578125" style="15" customWidth="1"/>
    <col min="49" max="49" width="18.42578125" style="15" bestFit="1" customWidth="1"/>
    <col min="50" max="50" width="16.140625" style="15" bestFit="1" customWidth="1"/>
    <col min="51" max="16384" width="9.140625" style="15"/>
  </cols>
  <sheetData>
    <row r="1" spans="1:246" s="146" customFormat="1" ht="12.95" customHeight="1">
      <c r="A1" s="141" t="s">
        <v>78</v>
      </c>
      <c r="B1" s="142" t="s">
        <v>5</v>
      </c>
      <c r="C1" s="143" t="s">
        <v>84</v>
      </c>
      <c r="D1" s="143" t="s">
        <v>76</v>
      </c>
      <c r="E1" s="142" t="s">
        <v>412</v>
      </c>
      <c r="F1" s="142" t="s">
        <v>134</v>
      </c>
      <c r="G1" s="142" t="s">
        <v>11</v>
      </c>
      <c r="H1" s="142" t="s">
        <v>57</v>
      </c>
      <c r="I1" s="142" t="s">
        <v>604</v>
      </c>
      <c r="J1" s="142" t="s">
        <v>329</v>
      </c>
      <c r="K1" s="142" t="s">
        <v>139</v>
      </c>
      <c r="L1" s="142" t="s">
        <v>605</v>
      </c>
      <c r="M1" s="142" t="s">
        <v>152</v>
      </c>
      <c r="N1" s="142" t="s">
        <v>606</v>
      </c>
      <c r="O1" s="142" t="s">
        <v>274</v>
      </c>
      <c r="P1" s="142" t="s">
        <v>607</v>
      </c>
      <c r="Q1" s="142" t="s">
        <v>608</v>
      </c>
      <c r="R1" s="142" t="s">
        <v>609</v>
      </c>
      <c r="S1" s="142" t="s">
        <v>610</v>
      </c>
      <c r="T1" s="142" t="s">
        <v>611</v>
      </c>
      <c r="U1" s="142" t="s">
        <v>612</v>
      </c>
      <c r="V1" s="142" t="s">
        <v>613</v>
      </c>
      <c r="W1" s="142" t="s">
        <v>614</v>
      </c>
      <c r="X1" s="142" t="s">
        <v>615</v>
      </c>
      <c r="Y1" s="142" t="s">
        <v>616</v>
      </c>
      <c r="Z1" s="142" t="s">
        <v>617</v>
      </c>
      <c r="AA1" s="142" t="s">
        <v>618</v>
      </c>
      <c r="AB1" s="142" t="s">
        <v>619</v>
      </c>
      <c r="AC1" s="142" t="s">
        <v>620</v>
      </c>
      <c r="AD1" s="142" t="s">
        <v>621</v>
      </c>
      <c r="AE1" s="142" t="s">
        <v>622</v>
      </c>
      <c r="AF1" s="142" t="s">
        <v>623</v>
      </c>
      <c r="AG1" s="142" t="s">
        <v>624</v>
      </c>
      <c r="AH1" s="142" t="s">
        <v>625</v>
      </c>
      <c r="AI1" s="142" t="s">
        <v>626</v>
      </c>
      <c r="AJ1" s="142" t="s">
        <v>627</v>
      </c>
      <c r="AK1" s="142" t="s">
        <v>628</v>
      </c>
      <c r="AL1" s="142" t="s">
        <v>629</v>
      </c>
      <c r="AM1" s="142" t="s">
        <v>630</v>
      </c>
      <c r="AN1" s="142" t="s">
        <v>631</v>
      </c>
      <c r="AO1" s="142" t="s">
        <v>632</v>
      </c>
      <c r="AP1" s="142" t="s">
        <v>633</v>
      </c>
      <c r="AQ1" s="142" t="s">
        <v>634</v>
      </c>
      <c r="AR1" s="142" t="s">
        <v>635</v>
      </c>
      <c r="AS1" s="142" t="s">
        <v>636</v>
      </c>
      <c r="AT1" s="142" t="s">
        <v>637</v>
      </c>
      <c r="AU1" s="142" t="s">
        <v>638</v>
      </c>
      <c r="AV1" s="142" t="s">
        <v>155</v>
      </c>
      <c r="AW1" s="142" t="s">
        <v>440</v>
      </c>
      <c r="AX1" s="142" t="s">
        <v>275</v>
      </c>
      <c r="AY1" s="142" t="s">
        <v>157</v>
      </c>
      <c r="AZ1" s="142" t="s">
        <v>441</v>
      </c>
      <c r="BA1" s="142" t="s">
        <v>276</v>
      </c>
      <c r="BB1" s="142" t="s">
        <v>160</v>
      </c>
      <c r="BC1" s="142" t="s">
        <v>639</v>
      </c>
      <c r="BD1" s="142" t="s">
        <v>640</v>
      </c>
      <c r="BE1" s="142" t="s">
        <v>641</v>
      </c>
      <c r="BF1" s="142" t="s">
        <v>642</v>
      </c>
      <c r="BG1" s="142" t="s">
        <v>643</v>
      </c>
      <c r="BH1" s="142" t="s">
        <v>644</v>
      </c>
      <c r="BI1" s="142" t="s">
        <v>164</v>
      </c>
      <c r="BJ1" s="142" t="s">
        <v>278</v>
      </c>
      <c r="BK1" s="142" t="s">
        <v>645</v>
      </c>
      <c r="BL1" s="142" t="s">
        <v>646</v>
      </c>
      <c r="BM1" s="142" t="s">
        <v>647</v>
      </c>
      <c r="BN1" s="142" t="s">
        <v>648</v>
      </c>
      <c r="BO1" s="142" t="s">
        <v>649</v>
      </c>
      <c r="BP1" s="142" t="s">
        <v>650</v>
      </c>
      <c r="BQ1" s="142" t="s">
        <v>651</v>
      </c>
      <c r="BR1" s="142" t="s">
        <v>652</v>
      </c>
      <c r="BS1" s="142" t="s">
        <v>653</v>
      </c>
      <c r="BT1" s="142" t="s">
        <v>654</v>
      </c>
      <c r="BU1" s="142" t="s">
        <v>655</v>
      </c>
      <c r="BV1" s="142" t="s">
        <v>656</v>
      </c>
      <c r="BW1" s="142" t="s">
        <v>657</v>
      </c>
      <c r="BX1" s="142" t="s">
        <v>658</v>
      </c>
      <c r="BY1" s="142" t="s">
        <v>659</v>
      </c>
      <c r="BZ1" s="142" t="s">
        <v>660</v>
      </c>
      <c r="CA1" s="142" t="s">
        <v>661</v>
      </c>
      <c r="CB1" s="142" t="s">
        <v>662</v>
      </c>
      <c r="CC1" s="142" t="s">
        <v>663</v>
      </c>
      <c r="CD1" s="142" t="s">
        <v>664</v>
      </c>
      <c r="CE1" s="142" t="s">
        <v>665</v>
      </c>
      <c r="CF1" s="142" t="s">
        <v>666</v>
      </c>
      <c r="CG1" s="142" t="s">
        <v>667</v>
      </c>
      <c r="CH1" s="142" t="s">
        <v>668</v>
      </c>
      <c r="CI1" s="142" t="s">
        <v>669</v>
      </c>
      <c r="CJ1" s="142" t="s">
        <v>670</v>
      </c>
      <c r="CK1" s="142" t="s">
        <v>671</v>
      </c>
      <c r="CL1" s="142" t="s">
        <v>672</v>
      </c>
      <c r="CM1" s="142" t="s">
        <v>673</v>
      </c>
      <c r="CN1" s="142" t="s">
        <v>674</v>
      </c>
      <c r="CO1" s="142" t="s">
        <v>675</v>
      </c>
      <c r="CP1" s="142" t="s">
        <v>676</v>
      </c>
      <c r="CQ1" s="142" t="s">
        <v>677</v>
      </c>
      <c r="CR1" s="142" t="s">
        <v>678</v>
      </c>
      <c r="CS1" s="142" t="s">
        <v>679</v>
      </c>
      <c r="CT1" s="142" t="s">
        <v>680</v>
      </c>
      <c r="CU1" s="142" t="s">
        <v>681</v>
      </c>
      <c r="CV1" s="142" t="s">
        <v>682</v>
      </c>
      <c r="CW1" s="142" t="s">
        <v>683</v>
      </c>
      <c r="CX1" s="142" t="s">
        <v>684</v>
      </c>
      <c r="CY1" s="142" t="s">
        <v>685</v>
      </c>
      <c r="CZ1" s="142" t="s">
        <v>686</v>
      </c>
      <c r="DA1" s="142" t="s">
        <v>687</v>
      </c>
      <c r="DB1" s="142" t="s">
        <v>688</v>
      </c>
      <c r="DC1" s="142" t="s">
        <v>689</v>
      </c>
      <c r="DD1" s="142" t="s">
        <v>690</v>
      </c>
      <c r="DE1" s="142" t="s">
        <v>691</v>
      </c>
      <c r="DF1" s="142" t="s">
        <v>692</v>
      </c>
      <c r="DG1" s="142" t="s">
        <v>693</v>
      </c>
      <c r="DH1" s="142" t="s">
        <v>694</v>
      </c>
      <c r="DI1" s="142" t="s">
        <v>695</v>
      </c>
      <c r="DJ1" s="142" t="s">
        <v>696</v>
      </c>
      <c r="DK1" s="142" t="s">
        <v>167</v>
      </c>
      <c r="DL1" s="142" t="s">
        <v>170</v>
      </c>
      <c r="DM1" s="142" t="s">
        <v>697</v>
      </c>
      <c r="DN1" s="142" t="s">
        <v>174</v>
      </c>
      <c r="DO1" s="142" t="s">
        <v>177</v>
      </c>
      <c r="DP1" s="142" t="s">
        <v>288</v>
      </c>
      <c r="DQ1" s="142" t="s">
        <v>291</v>
      </c>
      <c r="DR1" s="142" t="s">
        <v>698</v>
      </c>
      <c r="DS1" s="142" t="s">
        <v>180</v>
      </c>
      <c r="DT1" s="142" t="s">
        <v>183</v>
      </c>
      <c r="DU1" s="142" t="s">
        <v>245</v>
      </c>
      <c r="DV1" s="142" t="s">
        <v>248</v>
      </c>
      <c r="DW1" s="142" t="s">
        <v>251</v>
      </c>
      <c r="DX1" s="142" t="s">
        <v>186</v>
      </c>
      <c r="DY1" s="142" t="s">
        <v>189</v>
      </c>
      <c r="DZ1" s="142" t="s">
        <v>254</v>
      </c>
      <c r="EA1" s="142" t="s">
        <v>257</v>
      </c>
      <c r="EB1" s="142" t="s">
        <v>260</v>
      </c>
      <c r="EC1" s="142" t="s">
        <v>699</v>
      </c>
      <c r="ED1" s="142" t="s">
        <v>700</v>
      </c>
      <c r="EE1" s="142" t="s">
        <v>701</v>
      </c>
      <c r="EF1" s="142" t="s">
        <v>702</v>
      </c>
      <c r="EG1" s="142" t="s">
        <v>703</v>
      </c>
      <c r="EH1" s="142" t="s">
        <v>704</v>
      </c>
      <c r="EI1" s="142" t="s">
        <v>705</v>
      </c>
      <c r="EJ1" s="142" t="s">
        <v>706</v>
      </c>
      <c r="EK1" s="142" t="s">
        <v>707</v>
      </c>
      <c r="EL1" s="142" t="s">
        <v>708</v>
      </c>
      <c r="EM1" s="142" t="s">
        <v>709</v>
      </c>
      <c r="EN1" s="142" t="s">
        <v>710</v>
      </c>
      <c r="EO1" s="142" t="s">
        <v>711</v>
      </c>
      <c r="EP1" s="142" t="s">
        <v>712</v>
      </c>
      <c r="EQ1" s="142" t="s">
        <v>713</v>
      </c>
      <c r="ER1" s="142" t="s">
        <v>714</v>
      </c>
      <c r="ES1" s="142" t="s">
        <v>715</v>
      </c>
      <c r="ET1" s="142" t="s">
        <v>716</v>
      </c>
      <c r="EU1" s="142" t="s">
        <v>717</v>
      </c>
      <c r="EV1" s="142" t="s">
        <v>718</v>
      </c>
      <c r="EW1" s="142" t="s">
        <v>719</v>
      </c>
      <c r="EX1" s="142" t="s">
        <v>720</v>
      </c>
      <c r="EY1" s="142" t="s">
        <v>721</v>
      </c>
      <c r="EZ1" s="142" t="s">
        <v>722</v>
      </c>
      <c r="FA1" s="142" t="s">
        <v>723</v>
      </c>
      <c r="FB1" s="142" t="s">
        <v>724</v>
      </c>
      <c r="FC1" s="142" t="s">
        <v>725</v>
      </c>
      <c r="FD1" s="142" t="s">
        <v>726</v>
      </c>
      <c r="FE1" s="142" t="s">
        <v>727</v>
      </c>
      <c r="FF1" s="142" t="s">
        <v>728</v>
      </c>
      <c r="FG1" s="142" t="s">
        <v>203</v>
      </c>
      <c r="FH1" s="142" t="s">
        <v>206</v>
      </c>
      <c r="FI1" s="142" t="s">
        <v>211</v>
      </c>
      <c r="FJ1" s="142" t="s">
        <v>212</v>
      </c>
      <c r="FK1" s="142" t="s">
        <v>214</v>
      </c>
      <c r="FL1" s="142" t="s">
        <v>215</v>
      </c>
      <c r="FM1" s="142" t="s">
        <v>527</v>
      </c>
      <c r="FN1" s="142" t="s">
        <v>528</v>
      </c>
      <c r="FO1" s="142" t="s">
        <v>529</v>
      </c>
      <c r="FP1" s="142" t="s">
        <v>530</v>
      </c>
      <c r="FQ1" s="142" t="s">
        <v>222</v>
      </c>
      <c r="FR1" s="142" t="s">
        <v>223</v>
      </c>
      <c r="FS1" s="142" t="s">
        <v>225</v>
      </c>
      <c r="FT1" s="142" t="s">
        <v>729</v>
      </c>
      <c r="FU1" s="142" t="s">
        <v>294</v>
      </c>
      <c r="FV1" s="142" t="s">
        <v>230</v>
      </c>
      <c r="FW1" s="142" t="s">
        <v>104</v>
      </c>
      <c r="FX1" s="142" t="s">
        <v>234</v>
      </c>
      <c r="FY1" s="142" t="s">
        <v>818</v>
      </c>
      <c r="FZ1" s="142" t="s">
        <v>816</v>
      </c>
      <c r="GA1" s="142" t="s">
        <v>281</v>
      </c>
      <c r="GB1" s="142" t="s">
        <v>237</v>
      </c>
      <c r="GC1" s="142" t="s">
        <v>282</v>
      </c>
      <c r="GD1" s="142" t="s">
        <v>239</v>
      </c>
      <c r="GE1" s="142" t="s">
        <v>283</v>
      </c>
      <c r="GF1" s="142" t="s">
        <v>242</v>
      </c>
      <c r="GG1" s="142" t="s">
        <v>261</v>
      </c>
      <c r="GH1" s="142" t="s">
        <v>264</v>
      </c>
      <c r="GI1" s="142" t="s">
        <v>730</v>
      </c>
      <c r="GJ1" s="142" t="s">
        <v>266</v>
      </c>
      <c r="GK1" s="142" t="s">
        <v>268</v>
      </c>
      <c r="GL1" s="144" t="s">
        <v>731</v>
      </c>
      <c r="GM1" s="144" t="s">
        <v>732</v>
      </c>
      <c r="GN1" s="144" t="s">
        <v>733</v>
      </c>
      <c r="GO1" s="144" t="s">
        <v>734</v>
      </c>
      <c r="GP1" s="144" t="s">
        <v>605</v>
      </c>
      <c r="GQ1" s="144" t="s">
        <v>735</v>
      </c>
      <c r="GR1" s="144" t="s">
        <v>736</v>
      </c>
      <c r="GS1" s="144" t="s">
        <v>737</v>
      </c>
      <c r="GT1" s="144" t="s">
        <v>738</v>
      </c>
      <c r="GU1" s="144" t="s">
        <v>736</v>
      </c>
      <c r="GV1" s="144" t="s">
        <v>739</v>
      </c>
      <c r="GW1" s="144" t="s">
        <v>740</v>
      </c>
      <c r="GX1" s="144" t="s">
        <v>736</v>
      </c>
      <c r="GY1" s="144" t="s">
        <v>741</v>
      </c>
      <c r="GZ1" s="144" t="s">
        <v>742</v>
      </c>
      <c r="HA1" s="144" t="s">
        <v>743</v>
      </c>
      <c r="HB1" s="144" t="s">
        <v>744</v>
      </c>
      <c r="HC1" s="144" t="s">
        <v>745</v>
      </c>
      <c r="HD1" s="144" t="s">
        <v>743</v>
      </c>
      <c r="HE1" s="144" t="s">
        <v>746</v>
      </c>
      <c r="HF1" s="144" t="s">
        <v>747</v>
      </c>
      <c r="HG1" s="144" t="s">
        <v>743</v>
      </c>
      <c r="HH1" s="144" t="s">
        <v>748</v>
      </c>
      <c r="HI1" s="144" t="s">
        <v>749</v>
      </c>
      <c r="HJ1" s="144" t="s">
        <v>743</v>
      </c>
      <c r="HK1" s="144" t="s">
        <v>750</v>
      </c>
      <c r="HL1" s="144" t="s">
        <v>751</v>
      </c>
      <c r="HM1" s="144" t="s">
        <v>752</v>
      </c>
      <c r="HN1" s="144" t="s">
        <v>753</v>
      </c>
      <c r="HO1" s="144" t="s">
        <v>754</v>
      </c>
      <c r="HP1" s="144" t="s">
        <v>755</v>
      </c>
      <c r="HQ1" s="144" t="s">
        <v>756</v>
      </c>
      <c r="HR1" s="144" t="s">
        <v>757</v>
      </c>
      <c r="HS1" s="144" t="s">
        <v>758</v>
      </c>
      <c r="HT1" s="144" t="s">
        <v>759</v>
      </c>
      <c r="HU1" s="144" t="s">
        <v>760</v>
      </c>
      <c r="HV1" s="144" t="s">
        <v>761</v>
      </c>
      <c r="HW1" s="144" t="s">
        <v>762</v>
      </c>
      <c r="HX1" s="144" t="s">
        <v>763</v>
      </c>
      <c r="HY1" s="144" t="s">
        <v>764</v>
      </c>
      <c r="HZ1" s="144" t="s">
        <v>765</v>
      </c>
      <c r="IA1" s="144" t="s">
        <v>766</v>
      </c>
      <c r="IB1" s="144" t="s">
        <v>767</v>
      </c>
      <c r="IC1" s="144" t="s">
        <v>768</v>
      </c>
      <c r="ID1" s="144" t="s">
        <v>769</v>
      </c>
      <c r="IE1" s="144" t="s">
        <v>770</v>
      </c>
      <c r="IF1" s="144" t="s">
        <v>771</v>
      </c>
      <c r="IG1" s="144" t="s">
        <v>772</v>
      </c>
      <c r="IH1" s="144" t="s">
        <v>773</v>
      </c>
      <c r="II1" s="145" t="s">
        <v>774</v>
      </c>
      <c r="IJ1" s="145" t="s">
        <v>775</v>
      </c>
      <c r="IK1" s="145" t="s">
        <v>776</v>
      </c>
      <c r="IL1" s="145" t="s">
        <v>777</v>
      </c>
    </row>
    <row r="2" spans="1:246" s="160" customFormat="1" ht="12.75" customHeight="1">
      <c r="A2" s="142" t="s">
        <v>412</v>
      </c>
      <c r="B2" s="142" t="s">
        <v>2</v>
      </c>
      <c r="C2" s="142" t="s">
        <v>2</v>
      </c>
      <c r="D2" s="142" t="s">
        <v>2</v>
      </c>
      <c r="E2" s="147" t="s">
        <v>2</v>
      </c>
      <c r="F2" s="147" t="s">
        <v>778</v>
      </c>
      <c r="G2" s="148" t="s">
        <v>799</v>
      </c>
      <c r="H2" s="187" t="str" cm="1">
        <f t="array" ref="H2">_xlfn.IFS(Global!B2="QA","https://owneradvantage.qa.insurancebytravelex.com/",Global!B2="UAT","https://owneradvantage.uat.insurancebytravelex.com/",Global!B2="PROD","https://owneradvantage.insurancebytravelex.com/")</f>
        <v>https://owneradvantage.uat.insurancebytravelex.com/</v>
      </c>
      <c r="I2" s="149">
        <f t="shared" ref="I2" ca="1" si="0">TODAY()</f>
        <v>46266</v>
      </c>
      <c r="J2" s="149"/>
      <c r="K2" s="150" t="s">
        <v>192</v>
      </c>
      <c r="L2" s="150" t="s">
        <v>196</v>
      </c>
      <c r="M2" s="150" t="s">
        <v>781</v>
      </c>
      <c r="N2" s="150"/>
      <c r="O2" s="150" t="s">
        <v>782</v>
      </c>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c r="AP2" s="150"/>
      <c r="AQ2" s="150"/>
      <c r="AR2" s="150"/>
      <c r="AS2" s="150"/>
      <c r="AT2" s="150"/>
      <c r="AU2" s="150"/>
      <c r="AV2" s="151" t="str">
        <f t="shared" ref="AV2" ca="1" si="1">TEXT(I2+1,"mm/dd/yyyy")</f>
        <v>09/02/2026</v>
      </c>
      <c r="AW2" s="152" t="str">
        <f t="shared" ref="AW2" ca="1" si="2">TEXT(I2+7,"mm/dd/yyyy")</f>
        <v>09/08/2026</v>
      </c>
      <c r="AX2" s="153" t="str">
        <f t="shared" ref="AX2" ca="1" si="3">TEXT(I2+7,"mm/dd/yyyy")</f>
        <v>09/08/2026</v>
      </c>
      <c r="AY2" s="154" t="str">
        <f t="shared" ref="AY2" ca="1" si="4">TEXT(AV2+89,"mm/dd/yyyy")</f>
        <v>11/30/2026</v>
      </c>
      <c r="AZ2" s="152" t="str">
        <f ca="1">TEXT(AW2+15,"mm/dd/yyyy")</f>
        <v>09/23/2026</v>
      </c>
      <c r="BA2" s="153" t="str">
        <f ca="1">TEXT(AV2+21,"mm/dd/yyyy")</f>
        <v>09/23/2026</v>
      </c>
      <c r="BB2" s="155" t="str">
        <f t="shared" ref="BB2" ca="1" si="5">TEXT(I2-1,"mm/dd/yyyy")</f>
        <v>08/31/2026</v>
      </c>
      <c r="BC2" s="155"/>
      <c r="BD2" s="155"/>
      <c r="BE2" s="155"/>
      <c r="BF2" s="155"/>
      <c r="BG2" s="155"/>
      <c r="BH2" s="155"/>
      <c r="BI2" s="156" t="s">
        <v>783</v>
      </c>
      <c r="BJ2" s="147" t="s">
        <v>784</v>
      </c>
      <c r="BK2" s="147" t="s">
        <v>785</v>
      </c>
      <c r="BL2" s="156"/>
      <c r="BM2" s="147"/>
      <c r="BN2" s="147"/>
      <c r="BO2" s="156"/>
      <c r="BP2" s="147"/>
      <c r="BQ2" s="147"/>
      <c r="BR2" s="156"/>
      <c r="BS2" s="147"/>
      <c r="BT2" s="147"/>
      <c r="BU2" s="156"/>
      <c r="BV2" s="147"/>
      <c r="BW2" s="147"/>
      <c r="BX2" s="156"/>
      <c r="BY2" s="147"/>
      <c r="BZ2" s="147"/>
      <c r="CA2" s="156"/>
      <c r="CB2" s="147"/>
      <c r="CC2" s="147"/>
      <c r="CD2" s="156"/>
      <c r="CE2" s="147"/>
      <c r="CF2" s="147"/>
      <c r="CG2" s="156"/>
      <c r="CH2" s="147"/>
      <c r="CI2" s="147"/>
      <c r="CJ2" s="156"/>
      <c r="CK2" s="147"/>
      <c r="CL2" s="147"/>
      <c r="CM2" s="156"/>
      <c r="CN2" s="147"/>
      <c r="CO2" s="147"/>
      <c r="CP2" s="156"/>
      <c r="CQ2" s="147"/>
      <c r="CR2" s="147"/>
      <c r="CS2" s="156"/>
      <c r="CT2" s="147"/>
      <c r="CU2" s="147"/>
      <c r="CV2" s="156"/>
      <c r="CW2" s="147"/>
      <c r="CX2" s="147"/>
      <c r="CY2" s="156"/>
      <c r="CZ2" s="147"/>
      <c r="DA2" s="147"/>
      <c r="DB2" s="156"/>
      <c r="DC2" s="147"/>
      <c r="DD2" s="147"/>
      <c r="DE2" s="156"/>
      <c r="DF2" s="147"/>
      <c r="DG2" s="147"/>
      <c r="DH2" s="156"/>
      <c r="DI2" s="147"/>
      <c r="DJ2" s="147"/>
      <c r="DK2" s="156" t="s">
        <v>786</v>
      </c>
      <c r="DL2" s="156" t="s">
        <v>787</v>
      </c>
      <c r="DM2" s="157" t="s">
        <v>88</v>
      </c>
      <c r="DN2" s="156" t="s">
        <v>86</v>
      </c>
      <c r="DO2" s="156" t="s">
        <v>788</v>
      </c>
      <c r="DP2" s="156" t="str">
        <f t="shared" ref="DP2" ca="1" si="6">"QAFIRSTNAME"&amp;CHAR(RANDBETWEEN(65,90))&amp;CHAR(RANDBETWEEN(65,90))</f>
        <v>QAFIRSTNAMEFS</v>
      </c>
      <c r="DQ2" s="156" t="str">
        <f t="shared" ref="DQ2" ca="1" si="7">"QALASTNAME"&amp;CHAR(RANDBETWEEN(65,90))&amp;CHAR(RANDBETWEEN(65,90))</f>
        <v>QALASTNAMEHD</v>
      </c>
      <c r="DR2" s="156" t="str">
        <f t="shared" ref="DR2" ca="1" si="8">TEXT(DATE(YEAR(TODAY())-DS2,MONTH(TODAY()),DAY(TODAY())),"MM/DD/YYYY")</f>
        <v>09/01/2026</v>
      </c>
      <c r="DS2" s="156"/>
      <c r="DT2" s="156"/>
      <c r="DU2" s="156"/>
      <c r="DV2" s="156"/>
      <c r="DW2" s="156"/>
      <c r="DX2" s="156"/>
      <c r="DY2" s="156"/>
      <c r="DZ2" s="156"/>
      <c r="EA2" s="156"/>
      <c r="EB2" s="156"/>
      <c r="EC2" s="156"/>
      <c r="ED2" s="156"/>
      <c r="EE2" s="156"/>
      <c r="EF2" s="156"/>
      <c r="EG2" s="156"/>
      <c r="EH2" s="156"/>
      <c r="EI2" s="156"/>
      <c r="EJ2" s="156"/>
      <c r="EK2" s="156"/>
      <c r="EL2" s="156"/>
      <c r="EM2" s="156"/>
      <c r="EN2" s="156"/>
      <c r="EO2" s="156"/>
      <c r="EP2" s="156"/>
      <c r="EQ2" s="156"/>
      <c r="ER2" s="156"/>
      <c r="ES2" s="156"/>
      <c r="ET2" s="156"/>
      <c r="EU2" s="156"/>
      <c r="EV2" s="156"/>
      <c r="EW2" s="156"/>
      <c r="EX2" s="156"/>
      <c r="EY2" s="156"/>
      <c r="EZ2" s="156"/>
      <c r="FA2" s="156"/>
      <c r="FB2" s="156"/>
      <c r="FC2" s="156"/>
      <c r="FD2" s="156"/>
      <c r="FE2" s="156"/>
      <c r="FF2" s="156"/>
      <c r="FG2" s="147" t="str">
        <f t="shared" ref="FG2" ca="1" si="9">TEXT(AV2,"mm/dd/yyyy")</f>
        <v>09/02/2026</v>
      </c>
      <c r="FH2" s="147" t="str">
        <f t="shared" ref="FH2" ca="1" si="10">TEXT(AV2+1,"mm/dd/yyyy")</f>
        <v>09/03/2026</v>
      </c>
      <c r="FI2" s="147" t="str">
        <f t="shared" ref="FI2:FL2" ca="1" si="11">TEXT(FH2+1,"mm/dd/yyyy")</f>
        <v>09/04/2026</v>
      </c>
      <c r="FJ2" s="147" t="str">
        <f t="shared" ca="1" si="11"/>
        <v>09/05/2026</v>
      </c>
      <c r="FK2" s="147" t="str">
        <f t="shared" ca="1" si="11"/>
        <v>09/06/2026</v>
      </c>
      <c r="FL2" s="147" t="str">
        <f t="shared" ca="1" si="11"/>
        <v>09/07/2026</v>
      </c>
      <c r="FM2" s="147" t="str">
        <f t="shared" ref="FM2" ca="1" si="12">TEXT(FL2+7,"mm/dd/yyyy")</f>
        <v>09/14/2026</v>
      </c>
      <c r="FN2" s="147" t="str">
        <f t="shared" ref="FN2:FP2" ca="1" si="13">TEXT(FM2+1,"mm/dd/yyyy")</f>
        <v>09/15/2026</v>
      </c>
      <c r="FO2" s="147" t="str">
        <f t="shared" ca="1" si="13"/>
        <v>09/16/2026</v>
      </c>
      <c r="FP2" s="147" t="str">
        <f t="shared" ca="1" si="13"/>
        <v>09/17/2026</v>
      </c>
      <c r="FQ2" s="156" t="str">
        <f t="shared" ref="FQ2" ca="1" si="14">"QAFIRSTNAME"&amp;CHAR(RANDBETWEEN(65,90))&amp;CHAR(RANDBETWEEN(65,90))</f>
        <v>QAFIRSTNAMEBL</v>
      </c>
      <c r="FR2" s="147" t="str">
        <f t="shared" ref="FR2" ca="1" si="15">"QALASTNAME"&amp;CHAR(RANDBETWEEN(65,90))&amp;CHAR(RANDBETWEEN(65,90))</f>
        <v>QALASTNAMEJA</v>
      </c>
      <c r="FS2" s="147" t="str">
        <f t="shared" ref="FS2" ca="1" si="16">TEXT(DATE(YEAR(TODAY())-DK2,MONTH(TODAY()),DAY(TODAY())),"MM/DD/YYYY")</f>
        <v>09/01/1916</v>
      </c>
      <c r="FT2" s="147"/>
      <c r="FU2" s="147" t="str">
        <f t="shared" ref="FU2" ca="1" si="17">TEXT(DATE(YEAR(TODAY())-DN2,MONTH(TODAY()),DAY(TODAY())),"MM/DD/YYYY")</f>
        <v>09/01/2008</v>
      </c>
      <c r="FV2" s="156" t="s">
        <v>791</v>
      </c>
      <c r="FW2" s="156" t="s">
        <v>813</v>
      </c>
      <c r="FX2" s="156" t="s">
        <v>812</v>
      </c>
      <c r="FY2" s="156" t="s">
        <v>819</v>
      </c>
      <c r="FZ2" s="156" t="s">
        <v>817</v>
      </c>
      <c r="GA2" s="156" t="s">
        <v>792</v>
      </c>
      <c r="GB2" s="156" t="s">
        <v>483</v>
      </c>
      <c r="GC2" s="156" t="s">
        <v>793</v>
      </c>
      <c r="GD2" s="158" t="s">
        <v>794</v>
      </c>
      <c r="GE2" s="158" t="s">
        <v>101</v>
      </c>
      <c r="GF2" s="156" t="s">
        <v>795</v>
      </c>
      <c r="GG2" s="147" t="s">
        <v>796</v>
      </c>
      <c r="GH2" s="157" t="s">
        <v>797</v>
      </c>
      <c r="GI2" s="156"/>
      <c r="GJ2" s="156" t="s">
        <v>106</v>
      </c>
      <c r="GK2" s="156" t="s">
        <v>798</v>
      </c>
      <c r="GL2" s="159"/>
      <c r="GM2" s="161" t="str">
        <f>IF(DL2=GL2,"PASSED","FAILED")</f>
        <v>FAILED</v>
      </c>
      <c r="GN2" s="159"/>
      <c r="GO2" s="159"/>
      <c r="GP2" s="159"/>
      <c r="GQ2" s="159"/>
      <c r="GR2" s="159"/>
      <c r="GS2" s="159"/>
      <c r="GT2" s="159"/>
      <c r="GU2" s="159"/>
      <c r="GV2" s="159"/>
      <c r="GW2" s="159"/>
      <c r="GX2" s="159"/>
      <c r="GY2" s="159"/>
      <c r="GZ2" s="159"/>
      <c r="HA2" s="159"/>
      <c r="HB2" s="159"/>
      <c r="HC2" s="159"/>
      <c r="HD2" s="159"/>
      <c r="HE2" s="159"/>
      <c r="HF2" s="159"/>
      <c r="HG2" s="159"/>
      <c r="HH2" s="159"/>
      <c r="HI2" s="159"/>
      <c r="HJ2" s="159"/>
      <c r="HK2" s="162"/>
      <c r="HL2" s="159"/>
      <c r="HM2" s="159"/>
      <c r="HN2" s="159"/>
      <c r="HO2" s="159"/>
      <c r="HP2" s="159"/>
      <c r="HQ2" s="159"/>
      <c r="HR2" s="159"/>
      <c r="HS2" s="159"/>
      <c r="HT2" s="159"/>
      <c r="HU2" s="159"/>
      <c r="HV2" s="159"/>
      <c r="HW2" s="159"/>
      <c r="HX2" s="159"/>
      <c r="HY2" s="159"/>
      <c r="HZ2" s="159"/>
      <c r="IA2" s="159"/>
      <c r="IB2" s="159"/>
      <c r="IC2" s="159"/>
      <c r="ID2" s="159"/>
      <c r="IE2" s="159"/>
      <c r="IF2" s="159"/>
      <c r="IG2" s="159"/>
      <c r="IH2" s="159"/>
      <c r="II2" s="147"/>
      <c r="IJ2" s="147"/>
      <c r="IK2" s="147"/>
      <c r="IL2" s="147"/>
    </row>
  </sheetData>
  <conditionalFormatting sqref="A2:E2">
    <cfRule type="cellIs" dxfId="53" priority="9" stopIfTrue="1" operator="equal">
      <formula>"N"</formula>
    </cfRule>
    <cfRule type="cellIs" dxfId="52" priority="10" stopIfTrue="1" operator="equal">
      <formula>"Y"</formula>
    </cfRule>
  </conditionalFormatting>
  <conditionalFormatting sqref="E1">
    <cfRule type="cellIs" dxfId="51" priority="23" stopIfTrue="1" operator="equal">
      <formula>"N"</formula>
    </cfRule>
    <cfRule type="cellIs" dxfId="50" priority="24" stopIfTrue="1" operator="equal">
      <formula>"Y"</formula>
    </cfRule>
  </conditionalFormatting>
  <conditionalFormatting sqref="GM2 HM2 HP2 HS2 HV2 HY2 IB2 IE2 IH2">
    <cfRule type="containsText" dxfId="49" priority="19" operator="containsText" text="FAILED">
      <formula>NOT(ISERROR(SEARCH("FAILED",GM2)))</formula>
    </cfRule>
    <cfRule type="containsText" dxfId="48" priority="20" operator="containsText" text="FAILED">
      <formula>NOT(ISERROR(SEARCH("FAILED",GM2)))</formula>
    </cfRule>
    <cfRule type="cellIs" dxfId="47" priority="21" operator="equal">
      <formula>"FAILED"</formula>
    </cfRule>
    <cfRule type="cellIs" dxfId="46" priority="22" operator="equal">
      <formula>"PASSED"</formula>
    </cfRule>
  </conditionalFormatting>
  <dataValidations count="1">
    <dataValidation type="list" allowBlank="1" showInputMessage="1" showErrorMessage="1" sqref="GM2" xr:uid="{EB2328B7-9F3B-4E83-BB0C-2C967B74539C}">
      <formula1>"PASSED, FAILED"</formula1>
    </dataValidation>
  </dataValidations>
  <hyperlinks>
    <hyperlink ref="AV2" r:id="rId1" display="qa@travelguard.com" xr:uid="{EC6288D0-3EC7-46AC-A6C5-456C624CDF39}"/>
    <hyperlink ref="AX2" r:id="rId2" display="qa@travelguard.com" xr:uid="{DE54ABDD-8E49-4017-8A0F-8A7B9A3CC082}"/>
    <hyperlink ref="BA2" r:id="rId3" display="qa@travelguard.com" xr:uid="{2F3DF4AD-8B83-41F5-8073-E47DDBB45801}"/>
    <hyperlink ref="GD2" r:id="rId4" display="qa@travelex.com" xr:uid="{591D4ED3-5A69-4445-8096-FDF52152DC2F}"/>
    <hyperlink ref="GE2" r:id="rId5" display="qa@travelex.com" xr:uid="{55A71099-7247-442B-979B-5B552A0BC9B9}"/>
  </hyperlinks>
  <pageMargins left="0.7" right="0.7" top="0.75" bottom="0.75" header="0.3" footer="0.3"/>
  <pageSetup orientation="portrait" r:id="rId6"/>
  <headerFooter>
    <oddFooter>&amp;L_x000D_&amp;1#&amp;"Aptos"&amp;10&amp;K000000 INTERNAL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D421-C35D-4B2F-922C-4EAD4702E14B}">
  <sheetPr>
    <tabColor theme="6"/>
    <outlinePr summaryBelow="0"/>
  </sheetPr>
  <dimension ref="A1:Z244"/>
  <sheetViews>
    <sheetView showGridLines="0" zoomScale="85" zoomScaleNormal="85" workbookViewId="0">
      <pane ySplit="1" topLeftCell="A171" activePane="bottomLeft" state="frozen"/>
      <selection activeCell="E20" sqref="E20"/>
      <selection pane="bottomLeft" activeCell="A174" sqref="A174"/>
    </sheetView>
  </sheetViews>
  <sheetFormatPr defaultColWidth="9.140625" defaultRowHeight="12.75" outlineLevelRow="1"/>
  <cols>
    <col min="1" max="1" width="27.42578125" style="13" customWidth="1"/>
    <col min="2" max="2" width="12.42578125" style="14" bestFit="1" customWidth="1"/>
    <col min="3" max="3" width="23.140625" style="13" customWidth="1"/>
    <col min="4" max="4" width="8.5703125" style="13" customWidth="1"/>
    <col min="5" max="5" width="10.85546875" style="13" customWidth="1"/>
    <col min="6" max="6" width="10.42578125" style="13" customWidth="1"/>
    <col min="7" max="7" width="22.140625" style="13" bestFit="1" customWidth="1"/>
    <col min="8" max="9" width="9.140625" style="13"/>
    <col min="10" max="10" width="62.5703125" style="13" bestFit="1" customWidth="1"/>
    <col min="11" max="11" width="9.140625" style="13"/>
    <col min="12" max="12" width="14.140625" style="13" bestFit="1" customWidth="1"/>
    <col min="13" max="13" width="19" style="13" customWidth="1"/>
    <col min="14" max="14" width="15.5703125" style="13" bestFit="1" customWidth="1"/>
    <col min="15" max="15" width="7.85546875" style="13" customWidth="1"/>
    <col min="16" max="16" width="9.5703125" style="13" bestFit="1" customWidth="1"/>
    <col min="17" max="17" width="9.85546875" style="13" bestFit="1" customWidth="1"/>
    <col min="18" max="18" width="20.140625" style="13" customWidth="1"/>
    <col min="19" max="19" width="22.85546875" style="13" bestFit="1" customWidth="1"/>
    <col min="20" max="20" width="12" style="13" bestFit="1" customWidth="1"/>
    <col min="21" max="21" width="8.42578125" style="13" bestFit="1" customWidth="1"/>
    <col min="22" max="22" width="5.85546875" style="13" bestFit="1" customWidth="1"/>
    <col min="23" max="23" width="9" style="13" bestFit="1" customWidth="1"/>
    <col min="24" max="24" width="8.42578125" style="13" bestFit="1" customWidth="1"/>
    <col min="25" max="25" width="7.85546875" style="13" bestFit="1" customWidth="1"/>
    <col min="26" max="16384" width="9.140625" style="9"/>
  </cols>
  <sheetData>
    <row r="1" spans="1:26">
      <c r="A1" s="29" t="s">
        <v>5</v>
      </c>
      <c r="B1" s="7" t="s">
        <v>28</v>
      </c>
      <c r="C1" s="7" t="s">
        <v>29</v>
      </c>
      <c r="D1" s="7" t="s">
        <v>1</v>
      </c>
      <c r="E1" s="7" t="s">
        <v>26</v>
      </c>
      <c r="F1" s="8" t="s">
        <v>53</v>
      </c>
      <c r="G1" s="7" t="s">
        <v>27</v>
      </c>
      <c r="H1" s="7" t="s">
        <v>47</v>
      </c>
      <c r="I1" s="7" t="s">
        <v>42</v>
      </c>
      <c r="J1" s="7" t="s">
        <v>43</v>
      </c>
      <c r="K1" s="7" t="s">
        <v>30</v>
      </c>
      <c r="L1" s="7" t="s">
        <v>31</v>
      </c>
      <c r="M1" s="7" t="s">
        <v>7</v>
      </c>
      <c r="N1" s="7" t="s">
        <v>44</v>
      </c>
      <c r="O1" s="7" t="s">
        <v>46</v>
      </c>
      <c r="P1" s="7" t="s">
        <v>52</v>
      </c>
      <c r="Q1" s="7" t="s">
        <v>51</v>
      </c>
      <c r="R1" s="7" t="s">
        <v>45</v>
      </c>
      <c r="S1" s="7" t="s">
        <v>32</v>
      </c>
      <c r="T1" s="7" t="s">
        <v>48</v>
      </c>
      <c r="U1" s="7" t="s">
        <v>41</v>
      </c>
      <c r="V1" s="7" t="s">
        <v>129</v>
      </c>
      <c r="W1" s="7" t="s">
        <v>11</v>
      </c>
      <c r="X1" s="7" t="s">
        <v>49</v>
      </c>
      <c r="Y1" s="7" t="s">
        <v>50</v>
      </c>
      <c r="Z1" s="7" t="s">
        <v>3</v>
      </c>
    </row>
    <row r="2" spans="1:26" ht="12.75" customHeight="1">
      <c r="A2" s="30" t="s">
        <v>130</v>
      </c>
      <c r="B2" s="31"/>
      <c r="C2" s="31"/>
      <c r="D2" s="32"/>
      <c r="E2" s="32"/>
      <c r="F2" s="31"/>
      <c r="G2" s="32"/>
      <c r="H2" s="32"/>
      <c r="I2" s="32"/>
      <c r="J2" s="32"/>
      <c r="K2" s="31"/>
      <c r="L2" s="32"/>
      <c r="M2" s="32"/>
      <c r="N2" s="32"/>
      <c r="O2" s="32"/>
      <c r="P2" s="32"/>
      <c r="Q2" s="32"/>
      <c r="R2" s="32"/>
      <c r="S2" s="32"/>
      <c r="T2" s="32"/>
      <c r="U2" s="32"/>
      <c r="V2" s="32"/>
      <c r="W2" s="32"/>
      <c r="X2" s="32"/>
      <c r="Y2" s="32"/>
      <c r="Z2" s="32"/>
    </row>
    <row r="3" spans="1:26" outlineLevel="1">
      <c r="A3" s="53" t="str">
        <f>IF(OR(Global!B25="N"),"N","bln678042")</f>
        <v>N</v>
      </c>
      <c r="B3" s="198">
        <f>COUNTA($B$1:B2)</f>
        <v>1</v>
      </c>
      <c r="C3" s="35" t="s">
        <v>132</v>
      </c>
      <c r="D3" s="35"/>
      <c r="E3" s="35"/>
      <c r="F3" s="34"/>
      <c r="G3" s="35" t="s">
        <v>133</v>
      </c>
      <c r="H3" s="35"/>
      <c r="I3" s="35"/>
      <c r="J3" s="35"/>
      <c r="K3" s="69"/>
      <c r="L3" s="35" t="s">
        <v>67</v>
      </c>
      <c r="M3" s="36">
        <v>1</v>
      </c>
      <c r="N3" s="35"/>
      <c r="O3" s="35" t="s">
        <v>2</v>
      </c>
      <c r="P3" s="35"/>
      <c r="Q3" s="35"/>
      <c r="R3" s="35" t="s">
        <v>57</v>
      </c>
      <c r="S3" s="35"/>
      <c r="T3" s="35"/>
      <c r="U3" s="35"/>
      <c r="V3" s="35"/>
      <c r="W3" s="35"/>
      <c r="X3" s="35"/>
      <c r="Y3" s="35"/>
      <c r="Z3" s="35"/>
    </row>
    <row r="4" spans="1:26" outlineLevel="1">
      <c r="A4" s="53" t="str">
        <f>IF(OR(Global!B25="N"),"N","bln678042")</f>
        <v>N</v>
      </c>
      <c r="B4" s="198">
        <f>COUNTA($B$1:B3)</f>
        <v>2</v>
      </c>
      <c r="C4" s="35" t="s">
        <v>947</v>
      </c>
      <c r="D4" s="35"/>
      <c r="E4" s="35"/>
      <c r="F4" s="34"/>
      <c r="G4" s="35" t="s">
        <v>133</v>
      </c>
      <c r="H4" s="35" t="s">
        <v>134</v>
      </c>
      <c r="I4" s="35"/>
      <c r="J4" s="35"/>
      <c r="K4" s="69"/>
      <c r="L4" s="35" t="s">
        <v>33</v>
      </c>
      <c r="M4" s="36" t="str">
        <f>"URL:="&amp;R3&amp;";;HEADLESS:=TRUE"</f>
        <v>URL:=DT_URL;;HEADLESS:=TRUE</v>
      </c>
      <c r="N4" s="35"/>
      <c r="O4" s="35"/>
      <c r="P4" s="35"/>
      <c r="Q4" s="35">
        <v>60</v>
      </c>
      <c r="R4" s="35"/>
      <c r="S4" s="35"/>
      <c r="T4" s="35"/>
      <c r="U4" s="35"/>
      <c r="V4" s="35"/>
      <c r="W4" s="35"/>
      <c r="X4" s="35"/>
      <c r="Y4" s="35"/>
      <c r="Z4" s="35"/>
    </row>
    <row r="5" spans="1:26">
      <c r="A5" s="33" t="str">
        <f>IF(OR(Global!B25="Y"),"N","bln678042")</f>
        <v>bln678042</v>
      </c>
      <c r="B5" s="198">
        <f>COUNTA($B$1:B4)</f>
        <v>3</v>
      </c>
      <c r="C5" s="35" t="s">
        <v>132</v>
      </c>
      <c r="D5" s="35"/>
      <c r="E5" s="35"/>
      <c r="F5" s="34"/>
      <c r="G5" s="35" t="s">
        <v>133</v>
      </c>
      <c r="H5" s="35" t="s">
        <v>134</v>
      </c>
      <c r="I5" s="35"/>
      <c r="J5" s="35"/>
      <c r="K5" s="34"/>
      <c r="L5" s="35" t="s">
        <v>33</v>
      </c>
      <c r="M5" s="36" t="s">
        <v>57</v>
      </c>
      <c r="N5" s="35"/>
      <c r="O5" s="35"/>
      <c r="P5" s="35"/>
      <c r="Q5" s="35">
        <v>60</v>
      </c>
      <c r="R5" s="35"/>
      <c r="S5" s="35"/>
      <c r="T5" s="35"/>
      <c r="U5" s="35"/>
      <c r="V5" s="35"/>
      <c r="W5" s="35"/>
      <c r="X5" s="35"/>
      <c r="Y5" s="35"/>
      <c r="Z5" s="35"/>
    </row>
    <row r="6" spans="1:26">
      <c r="A6" s="37" t="s">
        <v>21</v>
      </c>
      <c r="B6" s="34">
        <f>COUNTA($B$1:B5)</f>
        <v>4</v>
      </c>
      <c r="C6" s="37" t="s">
        <v>67</v>
      </c>
      <c r="D6" s="37"/>
      <c r="E6" s="37"/>
      <c r="F6" s="37"/>
      <c r="G6" s="35" t="s">
        <v>133</v>
      </c>
      <c r="H6" s="37"/>
      <c r="I6" s="37"/>
      <c r="J6" s="37"/>
      <c r="K6" s="38"/>
      <c r="L6" s="37" t="s">
        <v>67</v>
      </c>
      <c r="M6" s="37">
        <v>5</v>
      </c>
      <c r="N6" s="37"/>
      <c r="O6" s="37"/>
      <c r="P6" s="37"/>
      <c r="Q6" s="37"/>
      <c r="R6" s="39"/>
      <c r="S6" s="37"/>
      <c r="T6" s="37"/>
      <c r="U6" s="37"/>
      <c r="V6" s="37"/>
      <c r="W6" s="37"/>
      <c r="X6" s="37"/>
      <c r="Y6" s="37"/>
      <c r="Z6" s="35"/>
    </row>
    <row r="7" spans="1:26">
      <c r="A7" s="37" t="s">
        <v>21</v>
      </c>
      <c r="B7" s="34">
        <f>COUNTA($B$1:B6)</f>
        <v>5</v>
      </c>
      <c r="C7" s="37" t="s">
        <v>68</v>
      </c>
      <c r="D7" s="37"/>
      <c r="E7" s="37"/>
      <c r="F7" s="37"/>
      <c r="G7" s="35" t="s">
        <v>133</v>
      </c>
      <c r="H7" s="37"/>
      <c r="I7" s="37" t="s">
        <v>55</v>
      </c>
      <c r="J7" s="37" t="s">
        <v>71</v>
      </c>
      <c r="K7" s="38">
        <v>0</v>
      </c>
      <c r="L7" s="37" t="s">
        <v>0</v>
      </c>
      <c r="M7" s="37" t="s">
        <v>74</v>
      </c>
      <c r="N7" s="37"/>
      <c r="O7" s="37" t="s">
        <v>2</v>
      </c>
      <c r="P7" s="37"/>
      <c r="Q7" s="40">
        <v>5</v>
      </c>
      <c r="R7" s="39"/>
      <c r="S7" s="37"/>
      <c r="T7" s="37"/>
      <c r="U7" s="37"/>
      <c r="V7" s="37"/>
      <c r="W7" s="37"/>
      <c r="X7" s="37"/>
      <c r="Y7" s="37"/>
      <c r="Z7" s="35"/>
    </row>
    <row r="8" spans="1:26">
      <c r="A8" s="37" t="s">
        <v>21</v>
      </c>
      <c r="B8" s="34">
        <f>COUNTA($B$1:B7)</f>
        <v>6</v>
      </c>
      <c r="C8" s="37" t="s">
        <v>69</v>
      </c>
      <c r="D8" s="37"/>
      <c r="E8" s="37"/>
      <c r="F8" s="37"/>
      <c r="G8" s="35" t="s">
        <v>133</v>
      </c>
      <c r="H8" s="37"/>
      <c r="I8" s="37" t="s">
        <v>55</v>
      </c>
      <c r="J8" s="37" t="s">
        <v>72</v>
      </c>
      <c r="K8" s="38">
        <v>0</v>
      </c>
      <c r="L8" s="37" t="s">
        <v>0</v>
      </c>
      <c r="M8" s="37" t="s">
        <v>75</v>
      </c>
      <c r="N8" s="37"/>
      <c r="O8" s="37" t="s">
        <v>2</v>
      </c>
      <c r="P8" s="37"/>
      <c r="Q8" s="37"/>
      <c r="R8" s="39"/>
      <c r="S8" s="37"/>
      <c r="T8" s="37"/>
      <c r="U8" s="37"/>
      <c r="V8" s="37"/>
      <c r="W8" s="37"/>
      <c r="X8" s="37"/>
      <c r="Y8" s="37"/>
      <c r="Z8" s="35"/>
    </row>
    <row r="9" spans="1:26">
      <c r="A9" s="37" t="s">
        <v>21</v>
      </c>
      <c r="B9" s="34">
        <f>COUNTA($B$1:B8)</f>
        <v>7</v>
      </c>
      <c r="C9" s="37" t="s">
        <v>70</v>
      </c>
      <c r="D9" s="37"/>
      <c r="E9" s="37"/>
      <c r="F9" s="37"/>
      <c r="G9" s="35" t="s">
        <v>133</v>
      </c>
      <c r="H9" s="37"/>
      <c r="I9" s="37" t="s">
        <v>55</v>
      </c>
      <c r="J9" s="37" t="s">
        <v>73</v>
      </c>
      <c r="K9" s="38">
        <v>0</v>
      </c>
      <c r="L9" s="37" t="s">
        <v>34</v>
      </c>
      <c r="M9" s="37"/>
      <c r="N9" s="37"/>
      <c r="O9" s="37" t="s">
        <v>2</v>
      </c>
      <c r="P9" s="37"/>
      <c r="Q9" s="37"/>
      <c r="R9" s="39"/>
      <c r="S9" s="37"/>
      <c r="T9" s="37"/>
      <c r="U9" s="37"/>
      <c r="V9" s="37"/>
      <c r="W9" s="37"/>
      <c r="X9" s="37"/>
      <c r="Y9" s="37"/>
      <c r="Z9" s="35"/>
    </row>
    <row r="10" spans="1:26">
      <c r="A10" s="37" t="s">
        <v>21</v>
      </c>
      <c r="B10" s="34">
        <f>COUNTA($B$1:B9)</f>
        <v>8</v>
      </c>
      <c r="C10" s="37" t="s">
        <v>67</v>
      </c>
      <c r="D10" s="37"/>
      <c r="E10" s="37"/>
      <c r="F10" s="37"/>
      <c r="G10" s="35" t="s">
        <v>133</v>
      </c>
      <c r="H10" s="37"/>
      <c r="I10" s="37"/>
      <c r="J10" s="37"/>
      <c r="K10" s="38"/>
      <c r="L10" s="37" t="s">
        <v>67</v>
      </c>
      <c r="M10" s="37">
        <v>5</v>
      </c>
      <c r="N10" s="37"/>
      <c r="O10" s="37"/>
      <c r="P10" s="37"/>
      <c r="Q10" s="37"/>
      <c r="R10" s="39"/>
      <c r="S10" s="37"/>
      <c r="T10" s="37"/>
      <c r="U10" s="37"/>
      <c r="V10" s="37"/>
      <c r="W10" s="37"/>
      <c r="X10" s="37"/>
      <c r="Y10" s="37"/>
      <c r="Z10" s="35"/>
    </row>
    <row r="11" spans="1:26" ht="12.75" customHeight="1">
      <c r="A11" s="30" t="s">
        <v>135</v>
      </c>
      <c r="B11" s="31"/>
      <c r="C11" s="31"/>
      <c r="D11" s="32"/>
      <c r="E11" s="32"/>
      <c r="F11" s="31"/>
      <c r="G11" s="32"/>
      <c r="H11" s="32"/>
      <c r="I11" s="32"/>
      <c r="J11" s="32"/>
      <c r="K11" s="31"/>
      <c r="L11" s="32"/>
      <c r="M11" s="32"/>
      <c r="N11" s="32"/>
      <c r="O11" s="32"/>
      <c r="P11" s="32"/>
      <c r="Q11" s="32"/>
      <c r="R11" s="32"/>
      <c r="S11" s="32"/>
      <c r="T11" s="32"/>
      <c r="U11" s="32"/>
      <c r="V11" s="32"/>
      <c r="W11" s="32"/>
      <c r="X11" s="32"/>
      <c r="Y11" s="32"/>
      <c r="Z11" s="32"/>
    </row>
    <row r="12" spans="1:26">
      <c r="A12" s="33" t="s">
        <v>419</v>
      </c>
      <c r="B12" s="34">
        <f>COUNTA($B$1:B11)</f>
        <v>9</v>
      </c>
      <c r="C12" s="41" t="s">
        <v>136</v>
      </c>
      <c r="D12" s="41"/>
      <c r="E12" s="41"/>
      <c r="F12" s="42"/>
      <c r="G12" s="35" t="s">
        <v>133</v>
      </c>
      <c r="H12" s="41"/>
      <c r="I12" s="41"/>
      <c r="J12" s="41"/>
      <c r="K12" s="42"/>
      <c r="L12" s="43" t="s">
        <v>137</v>
      </c>
      <c r="M12" s="44" t="s">
        <v>138</v>
      </c>
      <c r="N12" s="41"/>
      <c r="O12" s="41"/>
      <c r="P12" s="41"/>
      <c r="Q12" s="42"/>
      <c r="R12" s="41"/>
      <c r="S12" s="41"/>
      <c r="T12" s="41"/>
      <c r="U12" s="41"/>
      <c r="V12" s="41"/>
      <c r="W12" s="41" t="s">
        <v>139</v>
      </c>
      <c r="X12" s="41"/>
      <c r="Y12" s="41"/>
      <c r="Z12" s="41"/>
    </row>
    <row r="13" spans="1:26" s="19" customFormat="1" outlineLevel="1">
      <c r="A13" s="45" t="s">
        <v>419</v>
      </c>
      <c r="B13" s="34">
        <f>COUNTA($B$1:B12)</f>
        <v>10</v>
      </c>
      <c r="C13" s="46" t="s">
        <v>140</v>
      </c>
      <c r="D13" s="46"/>
      <c r="E13" s="46"/>
      <c r="F13" s="47"/>
      <c r="G13" s="46" t="s">
        <v>133</v>
      </c>
      <c r="H13" s="46"/>
      <c r="I13" s="46" t="s">
        <v>55</v>
      </c>
      <c r="J13" s="46" t="s">
        <v>141</v>
      </c>
      <c r="K13" s="47"/>
      <c r="L13" s="46" t="s">
        <v>142</v>
      </c>
      <c r="M13" s="48"/>
      <c r="N13" s="46"/>
      <c r="O13" s="46" t="s">
        <v>2</v>
      </c>
      <c r="P13" s="46"/>
      <c r="Q13" s="46"/>
      <c r="R13" s="49"/>
      <c r="S13" s="46"/>
      <c r="T13" s="46"/>
      <c r="U13" s="46"/>
      <c r="V13" s="46"/>
      <c r="W13" s="46"/>
      <c r="X13" s="46"/>
      <c r="Y13" s="46"/>
      <c r="Z13" s="46"/>
    </row>
    <row r="14" spans="1:26" s="19" customFormat="1" outlineLevel="1">
      <c r="A14" s="45" t="str">
        <f>IF($D$13="PASSED","bln678042","N")</f>
        <v>N</v>
      </c>
      <c r="B14" s="34">
        <f>COUNTA($B$1:B13)</f>
        <v>11</v>
      </c>
      <c r="C14" s="46" t="s">
        <v>143</v>
      </c>
      <c r="D14" s="46"/>
      <c r="E14" s="46"/>
      <c r="F14" s="47"/>
      <c r="G14" s="46" t="s">
        <v>133</v>
      </c>
      <c r="H14" s="46"/>
      <c r="I14" s="46" t="s">
        <v>55</v>
      </c>
      <c r="J14" s="46" t="s">
        <v>141</v>
      </c>
      <c r="K14" s="47">
        <v>0</v>
      </c>
      <c r="L14" s="46" t="s">
        <v>98</v>
      </c>
      <c r="M14" s="48"/>
      <c r="N14" s="46" t="s">
        <v>99</v>
      </c>
      <c r="O14" s="46" t="s">
        <v>2</v>
      </c>
      <c r="P14" s="46"/>
      <c r="Q14" s="46"/>
      <c r="R14" s="49" t="s">
        <v>144</v>
      </c>
      <c r="S14" s="46"/>
      <c r="T14" s="46"/>
      <c r="U14" s="46"/>
      <c r="V14" s="46"/>
      <c r="W14" s="46"/>
      <c r="X14" s="46"/>
      <c r="Y14" s="46"/>
      <c r="Z14" s="46"/>
    </row>
    <row r="15" spans="1:26" s="17" customFormat="1">
      <c r="A15" s="45" t="str">
        <f>A14</f>
        <v>N</v>
      </c>
      <c r="B15" s="34">
        <f>COUNTA($B$1:B14)</f>
        <v>12</v>
      </c>
      <c r="C15" s="46" t="s">
        <v>145</v>
      </c>
      <c r="D15" s="46"/>
      <c r="E15" s="46"/>
      <c r="F15" s="47"/>
      <c r="G15" s="46" t="s">
        <v>133</v>
      </c>
      <c r="H15" s="46"/>
      <c r="I15" s="46" t="s">
        <v>55</v>
      </c>
      <c r="J15" s="46" t="s">
        <v>146</v>
      </c>
      <c r="K15" s="47">
        <v>0</v>
      </c>
      <c r="L15" s="46" t="s">
        <v>147</v>
      </c>
      <c r="M15" s="48"/>
      <c r="N15" s="46"/>
      <c r="O15" s="46" t="s">
        <v>2</v>
      </c>
      <c r="P15" s="46"/>
      <c r="Q15" s="46"/>
      <c r="R15" s="48"/>
      <c r="S15" s="46"/>
      <c r="T15" s="46"/>
      <c r="U15" s="46"/>
      <c r="V15" s="46"/>
      <c r="W15" s="46"/>
      <c r="X15" s="46"/>
      <c r="Y15" s="46"/>
      <c r="Z15" s="46"/>
    </row>
    <row r="16" spans="1:26">
      <c r="A16" s="33" t="s">
        <v>419</v>
      </c>
      <c r="B16" s="34">
        <f>COUNTA($B$1:B15)</f>
        <v>13</v>
      </c>
      <c r="C16" s="35" t="s">
        <v>102</v>
      </c>
      <c r="D16" s="35"/>
      <c r="E16" s="35"/>
      <c r="F16" s="34"/>
      <c r="G16" s="35" t="s">
        <v>133</v>
      </c>
      <c r="H16" s="35"/>
      <c r="I16" s="35" t="s">
        <v>55</v>
      </c>
      <c r="J16" s="35" t="str">
        <f>"//label[contains(.,'"&amp;W12&amp;"')]"</f>
        <v>//label[contains(.,'tripType')]</v>
      </c>
      <c r="K16" s="34">
        <v>0</v>
      </c>
      <c r="L16" s="35" t="s">
        <v>147</v>
      </c>
      <c r="M16" s="35"/>
      <c r="N16" s="35"/>
      <c r="O16" s="35"/>
      <c r="P16" s="35"/>
      <c r="Q16" s="35"/>
      <c r="R16" s="35"/>
      <c r="S16" s="35"/>
      <c r="T16" s="35"/>
      <c r="U16" s="35"/>
      <c r="V16" s="35"/>
      <c r="W16" s="35"/>
      <c r="X16" s="35"/>
      <c r="Y16" s="35"/>
      <c r="Z16" s="35"/>
    </row>
    <row r="17" spans="1:26" s="19" customFormat="1" outlineLevel="1">
      <c r="A17" s="33" t="s">
        <v>419</v>
      </c>
      <c r="B17" s="34">
        <f>COUNTA($B$1:B16)</f>
        <v>14</v>
      </c>
      <c r="C17" s="35" t="s">
        <v>148</v>
      </c>
      <c r="D17" s="35"/>
      <c r="E17" s="35"/>
      <c r="F17" s="34"/>
      <c r="G17" s="35" t="s">
        <v>133</v>
      </c>
      <c r="H17" s="35"/>
      <c r="I17" s="35" t="s">
        <v>55</v>
      </c>
      <c r="J17" s="35" t="s">
        <v>149</v>
      </c>
      <c r="K17" s="34">
        <v>0</v>
      </c>
      <c r="L17" s="35" t="s">
        <v>34</v>
      </c>
      <c r="M17" s="35"/>
      <c r="N17" s="35"/>
      <c r="O17" s="35"/>
      <c r="P17" s="35"/>
      <c r="Q17" s="35"/>
      <c r="R17" s="35"/>
      <c r="S17" s="35"/>
      <c r="T17" s="35"/>
      <c r="U17" s="35"/>
      <c r="V17" s="35"/>
      <c r="W17" s="35"/>
      <c r="X17" s="35"/>
      <c r="Y17" s="35"/>
      <c r="Z17" s="35"/>
    </row>
    <row r="18" spans="1:26" s="19" customFormat="1" outlineLevel="1">
      <c r="A18" s="33" t="s">
        <v>419</v>
      </c>
      <c r="B18" s="34">
        <f>COUNTA($B$1:B17)</f>
        <v>15</v>
      </c>
      <c r="C18" s="35" t="s">
        <v>67</v>
      </c>
      <c r="D18" s="35"/>
      <c r="E18" s="35"/>
      <c r="F18" s="34"/>
      <c r="G18" s="35" t="s">
        <v>133</v>
      </c>
      <c r="H18" s="35"/>
      <c r="I18" s="35"/>
      <c r="J18" s="35"/>
      <c r="K18" s="34"/>
      <c r="L18" s="35" t="s">
        <v>67</v>
      </c>
      <c r="M18" s="36">
        <v>2</v>
      </c>
      <c r="N18" s="35"/>
      <c r="O18" s="35"/>
      <c r="P18" s="35"/>
      <c r="Q18" s="35"/>
      <c r="R18" s="35"/>
      <c r="S18" s="35"/>
      <c r="T18" s="35"/>
      <c r="U18" s="35"/>
      <c r="V18" s="35"/>
      <c r="W18" s="35"/>
      <c r="X18" s="35"/>
      <c r="Y18" s="35"/>
      <c r="Z18" s="35"/>
    </row>
    <row r="19" spans="1:26" s="19" customFormat="1" outlineLevel="1">
      <c r="A19" s="33" t="s">
        <v>419</v>
      </c>
      <c r="B19" s="34">
        <f>COUNTA($B$1:B18)</f>
        <v>16</v>
      </c>
      <c r="C19" s="35" t="s">
        <v>150</v>
      </c>
      <c r="D19" s="35"/>
      <c r="E19" s="35"/>
      <c r="F19" s="34"/>
      <c r="G19" s="35" t="s">
        <v>133</v>
      </c>
      <c r="H19" s="35"/>
      <c r="I19" s="35" t="s">
        <v>55</v>
      </c>
      <c r="J19" s="35" t="s">
        <v>149</v>
      </c>
      <c r="K19" s="34">
        <v>0</v>
      </c>
      <c r="L19" s="35" t="s">
        <v>151</v>
      </c>
      <c r="M19" s="50" t="s">
        <v>152</v>
      </c>
      <c r="N19" s="35"/>
      <c r="O19" s="35"/>
      <c r="P19" s="35"/>
      <c r="Q19" s="35"/>
      <c r="R19" s="35"/>
      <c r="S19" s="35"/>
      <c r="T19" s="35"/>
      <c r="U19" s="35"/>
      <c r="V19" s="35"/>
      <c r="W19" s="35"/>
      <c r="X19" s="35"/>
      <c r="Y19" s="35"/>
      <c r="Z19" s="35"/>
    </row>
    <row r="20" spans="1:26" s="19" customFormat="1" outlineLevel="1">
      <c r="A20" s="33" t="s">
        <v>419</v>
      </c>
      <c r="B20" s="34">
        <f>COUNTA($B$1:B19)</f>
        <v>17</v>
      </c>
      <c r="C20" s="35" t="s">
        <v>67</v>
      </c>
      <c r="D20" s="35"/>
      <c r="E20" s="35"/>
      <c r="F20" s="34"/>
      <c r="G20" s="35" t="s">
        <v>133</v>
      </c>
      <c r="H20" s="35"/>
      <c r="I20" s="35"/>
      <c r="J20" s="35"/>
      <c r="K20" s="34"/>
      <c r="L20" s="35" t="s">
        <v>67</v>
      </c>
      <c r="M20" s="36">
        <v>2</v>
      </c>
      <c r="N20" s="35"/>
      <c r="O20" s="35"/>
      <c r="P20" s="35"/>
      <c r="Q20" s="35"/>
      <c r="R20" s="35"/>
      <c r="S20" s="35"/>
      <c r="T20" s="35"/>
      <c r="U20" s="35"/>
      <c r="V20" s="35"/>
      <c r="W20" s="35"/>
      <c r="X20" s="35"/>
      <c r="Y20" s="35"/>
      <c r="Z20" s="35"/>
    </row>
    <row r="21" spans="1:26" s="19" customFormat="1" outlineLevel="1">
      <c r="A21" s="33" t="s">
        <v>419</v>
      </c>
      <c r="B21" s="34">
        <f>COUNTA($B$1:B20)</f>
        <v>18</v>
      </c>
      <c r="C21" s="35" t="s">
        <v>148</v>
      </c>
      <c r="D21" s="35"/>
      <c r="E21" s="35"/>
      <c r="F21" s="42"/>
      <c r="G21" s="35" t="s">
        <v>133</v>
      </c>
      <c r="H21" s="35"/>
      <c r="I21" s="35" t="s">
        <v>55</v>
      </c>
      <c r="J21" s="35" t="str">
        <f>"//a[contains(.,'"&amp;M19&amp;"')]"</f>
        <v>//a[contains(.,'Destination')]</v>
      </c>
      <c r="K21" s="34">
        <v>0</v>
      </c>
      <c r="L21" s="35" t="s">
        <v>147</v>
      </c>
      <c r="M21" s="35"/>
      <c r="N21" s="35"/>
      <c r="O21" s="35"/>
      <c r="P21" s="35"/>
      <c r="Q21" s="35"/>
      <c r="R21" s="35"/>
      <c r="S21" s="35"/>
      <c r="T21" s="35"/>
      <c r="U21" s="35"/>
      <c r="V21" s="35"/>
      <c r="W21" s="35"/>
      <c r="X21" s="35"/>
      <c r="Y21" s="35"/>
      <c r="Z21" s="35"/>
    </row>
    <row r="22" spans="1:26" s="19" customFormat="1" outlineLevel="1">
      <c r="A22" s="33" t="s">
        <v>419</v>
      </c>
      <c r="B22" s="34">
        <f>COUNTA($B$1:B21)</f>
        <v>19</v>
      </c>
      <c r="C22" s="35" t="s">
        <v>153</v>
      </c>
      <c r="D22" s="51"/>
      <c r="E22" s="52" t="s">
        <v>154</v>
      </c>
      <c r="F22" s="38"/>
      <c r="G22" s="35" t="s">
        <v>133</v>
      </c>
      <c r="H22" s="35"/>
      <c r="I22" s="35" t="s">
        <v>55</v>
      </c>
      <c r="J22" s="35" t="s">
        <v>81</v>
      </c>
      <c r="K22" s="34">
        <v>0</v>
      </c>
      <c r="L22" s="35" t="s">
        <v>0</v>
      </c>
      <c r="M22" s="50" t="s">
        <v>155</v>
      </c>
      <c r="N22" s="35"/>
      <c r="O22" s="35"/>
      <c r="P22" s="35"/>
      <c r="Q22" s="35"/>
      <c r="R22" s="35"/>
      <c r="S22" s="52"/>
      <c r="T22" s="35"/>
      <c r="U22" s="35"/>
      <c r="V22" s="35"/>
      <c r="W22" s="35"/>
      <c r="X22" s="52"/>
      <c r="Y22" s="52"/>
      <c r="Z22" s="52"/>
    </row>
    <row r="23" spans="1:26" s="19" customFormat="1" outlineLevel="1">
      <c r="A23" s="33" t="s">
        <v>419</v>
      </c>
      <c r="B23" s="34">
        <f>COUNTA($B$1:B22)</f>
        <v>20</v>
      </c>
      <c r="C23" s="35" t="s">
        <v>156</v>
      </c>
      <c r="D23" s="51"/>
      <c r="E23" s="52" t="s">
        <v>154</v>
      </c>
      <c r="F23" s="38"/>
      <c r="G23" s="35" t="s">
        <v>133</v>
      </c>
      <c r="H23" s="35"/>
      <c r="I23" s="35" t="s">
        <v>55</v>
      </c>
      <c r="J23" s="35" t="s">
        <v>82</v>
      </c>
      <c r="K23" s="34">
        <v>0</v>
      </c>
      <c r="L23" s="35" t="s">
        <v>0</v>
      </c>
      <c r="M23" s="50" t="s">
        <v>157</v>
      </c>
      <c r="N23" s="35"/>
      <c r="O23" s="35"/>
      <c r="P23" s="35"/>
      <c r="Q23" s="35"/>
      <c r="R23" s="35"/>
      <c r="S23" s="52"/>
      <c r="T23" s="35"/>
      <c r="U23" s="35"/>
      <c r="V23" s="35"/>
      <c r="W23" s="35"/>
      <c r="X23" s="52"/>
      <c r="Y23" s="52"/>
      <c r="Z23" s="52"/>
    </row>
    <row r="24" spans="1:26" s="19" customFormat="1" outlineLevel="1">
      <c r="A24" s="33" t="s">
        <v>419</v>
      </c>
      <c r="B24" s="34">
        <f>COUNTA($B$1:B23)</f>
        <v>21</v>
      </c>
      <c r="C24" s="35" t="s">
        <v>158</v>
      </c>
      <c r="D24" s="51"/>
      <c r="E24" s="52" t="s">
        <v>154</v>
      </c>
      <c r="F24" s="38"/>
      <c r="G24" s="35" t="s">
        <v>133</v>
      </c>
      <c r="H24" s="35"/>
      <c r="I24" s="35" t="s">
        <v>55</v>
      </c>
      <c r="J24" s="35" t="s">
        <v>159</v>
      </c>
      <c r="K24" s="34">
        <v>0</v>
      </c>
      <c r="L24" s="35" t="s">
        <v>0</v>
      </c>
      <c r="M24" s="50" t="s">
        <v>160</v>
      </c>
      <c r="N24" s="35"/>
      <c r="O24" s="35"/>
      <c r="P24" s="35"/>
      <c r="Q24" s="35"/>
      <c r="R24" s="35"/>
      <c r="S24" s="52"/>
      <c r="T24" s="35"/>
      <c r="U24" s="35"/>
      <c r="V24" s="35"/>
      <c r="W24" s="35"/>
      <c r="X24" s="52"/>
      <c r="Y24" s="52"/>
      <c r="Z24" s="52"/>
    </row>
    <row r="25" spans="1:26" s="19" customFormat="1" outlineLevel="1">
      <c r="A25" s="33" t="s">
        <v>419</v>
      </c>
      <c r="B25" s="34">
        <f>COUNTA($B$1:B24)</f>
        <v>22</v>
      </c>
      <c r="C25" s="35" t="s">
        <v>161</v>
      </c>
      <c r="D25" s="35"/>
      <c r="E25" s="35"/>
      <c r="F25" s="34"/>
      <c r="G25" s="35" t="s">
        <v>133</v>
      </c>
      <c r="H25" s="35"/>
      <c r="I25" s="35" t="s">
        <v>55</v>
      </c>
      <c r="J25" s="35" t="s">
        <v>162</v>
      </c>
      <c r="K25" s="34">
        <v>0</v>
      </c>
      <c r="L25" s="35" t="s">
        <v>34</v>
      </c>
      <c r="M25" s="35"/>
      <c r="N25" s="35"/>
      <c r="O25" s="35"/>
      <c r="P25" s="35"/>
      <c r="Q25" s="35"/>
      <c r="R25" s="35"/>
      <c r="S25" s="35"/>
      <c r="T25" s="35"/>
      <c r="U25" s="35"/>
      <c r="V25" s="35"/>
      <c r="W25" s="35"/>
      <c r="X25" s="35"/>
      <c r="Y25" s="35"/>
      <c r="Z25" s="35"/>
    </row>
    <row r="26" spans="1:26" s="19" customFormat="1" outlineLevel="1">
      <c r="A26" s="33" t="s">
        <v>419</v>
      </c>
      <c r="B26" s="34">
        <f>COUNTA($B$1:B25)</f>
        <v>23</v>
      </c>
      <c r="C26" s="35" t="s">
        <v>67</v>
      </c>
      <c r="D26" s="35"/>
      <c r="E26" s="35"/>
      <c r="F26" s="34"/>
      <c r="G26" s="35" t="s">
        <v>133</v>
      </c>
      <c r="H26" s="35"/>
      <c r="I26" s="35"/>
      <c r="J26" s="35"/>
      <c r="K26" s="34"/>
      <c r="L26" s="35" t="s">
        <v>67</v>
      </c>
      <c r="M26" s="36">
        <v>2</v>
      </c>
      <c r="N26" s="35"/>
      <c r="O26" s="35"/>
      <c r="P26" s="35"/>
      <c r="Q26" s="35"/>
      <c r="R26" s="35"/>
      <c r="S26" s="35"/>
      <c r="T26" s="35"/>
      <c r="U26" s="35"/>
      <c r="V26" s="35"/>
      <c r="W26" s="35"/>
      <c r="X26" s="35"/>
      <c r="Y26" s="35"/>
      <c r="Z26" s="35"/>
    </row>
    <row r="27" spans="1:26" s="19" customFormat="1" outlineLevel="1">
      <c r="A27" s="33" t="s">
        <v>419</v>
      </c>
      <c r="B27" s="34">
        <f>COUNTA($B$1:B26)</f>
        <v>24</v>
      </c>
      <c r="C27" s="35" t="s">
        <v>163</v>
      </c>
      <c r="D27" s="35"/>
      <c r="E27" s="35"/>
      <c r="F27" s="34"/>
      <c r="G27" s="35" t="s">
        <v>133</v>
      </c>
      <c r="H27" s="35"/>
      <c r="I27" s="35" t="s">
        <v>55</v>
      </c>
      <c r="J27" s="35" t="s">
        <v>162</v>
      </c>
      <c r="K27" s="34">
        <v>0</v>
      </c>
      <c r="L27" s="35" t="s">
        <v>151</v>
      </c>
      <c r="M27" s="50" t="s">
        <v>164</v>
      </c>
      <c r="N27" s="35"/>
      <c r="O27" s="35"/>
      <c r="P27" s="35"/>
      <c r="Q27" s="35"/>
      <c r="R27" s="35"/>
      <c r="S27" s="35"/>
      <c r="T27" s="35"/>
      <c r="U27" s="35"/>
      <c r="V27" s="35"/>
      <c r="W27" s="35"/>
      <c r="X27" s="35"/>
      <c r="Y27" s="35"/>
      <c r="Z27" s="35"/>
    </row>
    <row r="28" spans="1:26" s="19" customFormat="1" outlineLevel="1">
      <c r="A28" s="33" t="s">
        <v>419</v>
      </c>
      <c r="B28" s="34">
        <f>COUNTA($B$1:B27)</f>
        <v>25</v>
      </c>
      <c r="C28" s="35" t="s">
        <v>67</v>
      </c>
      <c r="D28" s="35"/>
      <c r="E28" s="35"/>
      <c r="F28" s="34"/>
      <c r="G28" s="35" t="s">
        <v>133</v>
      </c>
      <c r="H28" s="35"/>
      <c r="I28" s="35"/>
      <c r="J28" s="35"/>
      <c r="K28" s="34"/>
      <c r="L28" s="35" t="s">
        <v>67</v>
      </c>
      <c r="M28" s="36">
        <v>2</v>
      </c>
      <c r="N28" s="35"/>
      <c r="O28" s="35"/>
      <c r="P28" s="35"/>
      <c r="Q28" s="35"/>
      <c r="R28" s="35"/>
      <c r="S28" s="35"/>
      <c r="T28" s="35"/>
      <c r="U28" s="35"/>
      <c r="V28" s="35"/>
      <c r="W28" s="35"/>
      <c r="X28" s="35"/>
      <c r="Y28" s="35"/>
      <c r="Z28" s="35"/>
    </row>
    <row r="29" spans="1:26" s="19" customFormat="1" outlineLevel="1">
      <c r="A29" s="33" t="s">
        <v>419</v>
      </c>
      <c r="B29" s="34">
        <f>COUNTA($B$1:B28)</f>
        <v>26</v>
      </c>
      <c r="C29" s="35" t="s">
        <v>148</v>
      </c>
      <c r="D29" s="35"/>
      <c r="E29" s="35"/>
      <c r="F29" s="42"/>
      <c r="G29" s="35" t="s">
        <v>133</v>
      </c>
      <c r="H29" s="35"/>
      <c r="I29" s="35" t="s">
        <v>55</v>
      </c>
      <c r="J29" s="35" t="str">
        <f>"//a[contains(.,'"&amp;M27&amp;"')]"</f>
        <v>//a[contains(.,'Residence')]</v>
      </c>
      <c r="K29" s="34">
        <v>0</v>
      </c>
      <c r="L29" s="35" t="s">
        <v>147</v>
      </c>
      <c r="M29" s="35"/>
      <c r="N29" s="35"/>
      <c r="O29" s="35"/>
      <c r="P29" s="35"/>
      <c r="Q29" s="35"/>
      <c r="R29" s="35"/>
      <c r="S29" s="35"/>
      <c r="T29" s="35"/>
      <c r="U29" s="35"/>
      <c r="V29" s="35"/>
      <c r="W29" s="35"/>
      <c r="X29" s="35"/>
      <c r="Y29" s="35"/>
      <c r="Z29" s="35"/>
    </row>
    <row r="30" spans="1:26" s="19" customFormat="1" outlineLevel="1">
      <c r="A30" s="33" t="s">
        <v>419</v>
      </c>
      <c r="B30" s="34">
        <f>COUNTA($B$1:B29)</f>
        <v>27</v>
      </c>
      <c r="C30" s="35" t="s">
        <v>190</v>
      </c>
      <c r="D30" s="35"/>
      <c r="E30" s="35"/>
      <c r="F30" s="34"/>
      <c r="G30" s="35" t="s">
        <v>133</v>
      </c>
      <c r="H30" s="35"/>
      <c r="I30" s="35" t="s">
        <v>55</v>
      </c>
      <c r="J30" s="35" t="s">
        <v>87</v>
      </c>
      <c r="K30" s="34">
        <v>0</v>
      </c>
      <c r="L30" s="35" t="s">
        <v>147</v>
      </c>
      <c r="M30" s="36"/>
      <c r="N30" s="35"/>
      <c r="O30" s="35"/>
      <c r="P30" s="35"/>
      <c r="Q30" s="35"/>
      <c r="R30" s="35"/>
      <c r="S30" s="35"/>
      <c r="T30" s="35"/>
      <c r="U30" s="35"/>
      <c r="V30" s="35"/>
      <c r="W30" s="35"/>
      <c r="X30" s="35"/>
      <c r="Y30" s="35"/>
      <c r="Z30" s="35"/>
    </row>
    <row r="31" spans="1:26" s="19" customFormat="1" outlineLevel="1">
      <c r="A31" s="33" t="s">
        <v>419</v>
      </c>
      <c r="B31" s="34">
        <f>COUNTA($B$1:B30)</f>
        <v>28</v>
      </c>
      <c r="C31" s="35" t="s">
        <v>67</v>
      </c>
      <c r="D31" s="35"/>
      <c r="E31" s="35"/>
      <c r="F31" s="34"/>
      <c r="G31" s="35" t="s">
        <v>133</v>
      </c>
      <c r="H31" s="35"/>
      <c r="I31" s="35"/>
      <c r="J31" s="35"/>
      <c r="K31" s="34"/>
      <c r="L31" s="35" t="s">
        <v>67</v>
      </c>
      <c r="M31" s="36">
        <v>10</v>
      </c>
      <c r="N31" s="35"/>
      <c r="O31" s="35"/>
      <c r="P31" s="35"/>
      <c r="Q31" s="35"/>
      <c r="R31" s="36"/>
      <c r="S31" s="35"/>
      <c r="T31" s="35"/>
      <c r="U31" s="35"/>
      <c r="V31" s="35"/>
      <c r="W31" s="35"/>
      <c r="X31" s="35"/>
      <c r="Y31" s="35"/>
      <c r="Z31" s="35"/>
    </row>
    <row r="32" spans="1:26" s="19" customFormat="1" outlineLevel="1">
      <c r="A32" s="30" t="s">
        <v>191</v>
      </c>
      <c r="B32" s="31"/>
      <c r="C32" s="31"/>
      <c r="D32" s="32"/>
      <c r="E32" s="32"/>
      <c r="F32" s="31"/>
      <c r="G32" s="32"/>
      <c r="H32" s="32"/>
      <c r="I32" s="32"/>
      <c r="J32" s="32"/>
      <c r="K32" s="31"/>
      <c r="L32" s="32"/>
      <c r="M32" s="32"/>
      <c r="N32" s="32"/>
      <c r="O32" s="32"/>
      <c r="P32" s="32"/>
      <c r="Q32" s="32"/>
      <c r="R32" s="32"/>
      <c r="S32" s="32"/>
      <c r="T32" s="32"/>
      <c r="U32" s="32"/>
      <c r="V32" s="32"/>
      <c r="W32" s="32"/>
      <c r="X32" s="32"/>
      <c r="Y32" s="32"/>
      <c r="Z32" s="32"/>
    </row>
    <row r="33" spans="1:26" s="19" customFormat="1" outlineLevel="1">
      <c r="A33" s="45" t="s">
        <v>419</v>
      </c>
      <c r="B33" s="34">
        <f>COUNTA($B$1:B32)</f>
        <v>29</v>
      </c>
      <c r="C33" s="46" t="s">
        <v>140</v>
      </c>
      <c r="D33" s="46"/>
      <c r="E33" s="46"/>
      <c r="F33" s="47"/>
      <c r="G33" s="46" t="s">
        <v>133</v>
      </c>
      <c r="H33" s="46"/>
      <c r="I33" s="46" t="s">
        <v>55</v>
      </c>
      <c r="J33" s="46" t="s">
        <v>141</v>
      </c>
      <c r="K33" s="47"/>
      <c r="L33" s="46" t="s">
        <v>142</v>
      </c>
      <c r="M33" s="48"/>
      <c r="N33" s="46"/>
      <c r="O33" s="46" t="s">
        <v>2</v>
      </c>
      <c r="P33" s="46"/>
      <c r="Q33" s="46"/>
      <c r="R33" s="49"/>
      <c r="S33" s="46"/>
      <c r="T33" s="46"/>
      <c r="U33" s="46"/>
      <c r="V33" s="46"/>
      <c r="W33" s="46"/>
      <c r="X33" s="46"/>
      <c r="Y33" s="46"/>
      <c r="Z33" s="46"/>
    </row>
    <row r="34" spans="1:26" s="19" customFormat="1" outlineLevel="1">
      <c r="A34" s="45" t="str">
        <f>IF($D$33="PASSED","bln678042","N")</f>
        <v>N</v>
      </c>
      <c r="B34" s="34">
        <f>COUNTA($B$1:B33)</f>
        <v>30</v>
      </c>
      <c r="C34" s="46" t="s">
        <v>143</v>
      </c>
      <c r="D34" s="46"/>
      <c r="E34" s="46"/>
      <c r="F34" s="47"/>
      <c r="G34" s="46" t="s">
        <v>133</v>
      </c>
      <c r="H34" s="46"/>
      <c r="I34" s="46" t="s">
        <v>55</v>
      </c>
      <c r="J34" s="46" t="s">
        <v>141</v>
      </c>
      <c r="K34" s="47">
        <v>0</v>
      </c>
      <c r="L34" s="46" t="s">
        <v>98</v>
      </c>
      <c r="M34" s="48"/>
      <c r="N34" s="46" t="s">
        <v>99</v>
      </c>
      <c r="O34" s="46" t="s">
        <v>2</v>
      </c>
      <c r="P34" s="46"/>
      <c r="Q34" s="46"/>
      <c r="R34" s="49" t="s">
        <v>144</v>
      </c>
      <c r="S34" s="46"/>
      <c r="T34" s="46"/>
      <c r="U34" s="46"/>
      <c r="V34" s="46"/>
      <c r="W34" s="46"/>
      <c r="X34" s="46"/>
      <c r="Y34" s="46"/>
      <c r="Z34" s="46"/>
    </row>
    <row r="35" spans="1:26" s="17" customFormat="1">
      <c r="A35" s="45" t="str">
        <f>A34</f>
        <v>N</v>
      </c>
      <c r="B35" s="34">
        <f>COUNTA($B$1:B34)</f>
        <v>31</v>
      </c>
      <c r="C35" s="46" t="s">
        <v>145</v>
      </c>
      <c r="D35" s="46"/>
      <c r="E35" s="46"/>
      <c r="F35" s="47"/>
      <c r="G35" s="46" t="s">
        <v>133</v>
      </c>
      <c r="H35" s="46"/>
      <c r="I35" s="46" t="s">
        <v>55</v>
      </c>
      <c r="J35" s="46" t="s">
        <v>146</v>
      </c>
      <c r="K35" s="47">
        <v>0</v>
      </c>
      <c r="L35" s="46" t="s">
        <v>147</v>
      </c>
      <c r="M35" s="48"/>
      <c r="N35" s="46"/>
      <c r="O35" s="46" t="s">
        <v>2</v>
      </c>
      <c r="P35" s="46"/>
      <c r="Q35" s="46"/>
      <c r="R35" s="48"/>
      <c r="S35" s="46"/>
      <c r="T35" s="46"/>
      <c r="U35" s="46"/>
      <c r="V35" s="46"/>
      <c r="W35" s="46"/>
      <c r="X35" s="46"/>
      <c r="Y35" s="46"/>
      <c r="Z35" s="46"/>
    </row>
    <row r="36" spans="1:26">
      <c r="A36" s="33" t="s">
        <v>419</v>
      </c>
      <c r="B36" s="34">
        <f>COUNTA($B$1:B35)</f>
        <v>32</v>
      </c>
      <c r="C36" s="35" t="s">
        <v>420</v>
      </c>
      <c r="D36" s="35"/>
      <c r="E36" s="35"/>
      <c r="F36" s="34"/>
      <c r="G36" s="35" t="s">
        <v>133</v>
      </c>
      <c r="H36" s="35"/>
      <c r="I36" s="35" t="s">
        <v>55</v>
      </c>
      <c r="J36" s="35" t="s">
        <v>421</v>
      </c>
      <c r="K36" s="34">
        <v>0</v>
      </c>
      <c r="L36" s="35" t="s">
        <v>147</v>
      </c>
      <c r="M36" s="36"/>
      <c r="N36" s="35"/>
      <c r="O36" s="35"/>
      <c r="P36" s="35"/>
      <c r="Q36" s="35"/>
      <c r="R36" s="35"/>
      <c r="S36" s="35"/>
      <c r="T36" s="35"/>
      <c r="U36" s="35"/>
      <c r="V36" s="35"/>
      <c r="W36" s="35"/>
      <c r="X36" s="35"/>
      <c r="Y36" s="35"/>
      <c r="Z36" s="35"/>
    </row>
    <row r="37" spans="1:26" s="17" customFormat="1">
      <c r="A37" s="33" t="str">
        <f>IF(Global!B2="QA","Y","N")</f>
        <v>N</v>
      </c>
      <c r="B37" s="34">
        <f>COUNTA($B$1:B36)</f>
        <v>33</v>
      </c>
      <c r="C37" s="35" t="s">
        <v>422</v>
      </c>
      <c r="D37" s="35"/>
      <c r="E37" s="35"/>
      <c r="F37" s="34"/>
      <c r="G37" s="35" t="s">
        <v>133</v>
      </c>
      <c r="H37" s="35"/>
      <c r="I37" s="35" t="s">
        <v>55</v>
      </c>
      <c r="J37" s="35" t="s">
        <v>423</v>
      </c>
      <c r="K37" s="34">
        <v>0</v>
      </c>
      <c r="L37" s="35" t="s">
        <v>98</v>
      </c>
      <c r="M37" s="36"/>
      <c r="N37" s="35" t="s">
        <v>99</v>
      </c>
      <c r="O37" s="35"/>
      <c r="P37" s="35"/>
      <c r="Q37" s="35"/>
      <c r="R37" s="36" t="str">
        <f>TEXT(M19,"0")</f>
        <v>Destination</v>
      </c>
      <c r="S37" s="35"/>
      <c r="T37" s="35" t="s">
        <v>2</v>
      </c>
      <c r="U37" s="35"/>
      <c r="V37" s="35"/>
      <c r="W37" s="35"/>
      <c r="X37" s="35"/>
      <c r="Y37" s="35"/>
      <c r="Z37" s="35"/>
    </row>
    <row r="38" spans="1:26">
      <c r="A38" s="33" t="str">
        <f>A37</f>
        <v>N</v>
      </c>
      <c r="B38" s="34">
        <f>COUNTA($B$1:B37)</f>
        <v>34</v>
      </c>
      <c r="C38" s="35" t="s">
        <v>424</v>
      </c>
      <c r="D38" s="35"/>
      <c r="E38" s="35"/>
      <c r="F38" s="34"/>
      <c r="G38" s="35" t="s">
        <v>133</v>
      </c>
      <c r="H38" s="35"/>
      <c r="I38" s="35" t="s">
        <v>55</v>
      </c>
      <c r="J38" s="35" t="s">
        <v>425</v>
      </c>
      <c r="K38" s="34">
        <v>0</v>
      </c>
      <c r="L38" s="35" t="s">
        <v>98</v>
      </c>
      <c r="M38" s="36"/>
      <c r="N38" s="35" t="s">
        <v>99</v>
      </c>
      <c r="O38" s="35"/>
      <c r="P38" s="35"/>
      <c r="Q38" s="35"/>
      <c r="R38" s="35" t="str">
        <f>TEXT(M22,"mm/dd/yyyy")</f>
        <v>DepDate</v>
      </c>
      <c r="S38" s="35"/>
      <c r="T38" s="35" t="s">
        <v>2</v>
      </c>
      <c r="U38" s="35"/>
      <c r="V38" s="35"/>
      <c r="W38" s="35"/>
      <c r="X38" s="35"/>
      <c r="Y38" s="35"/>
      <c r="Z38" s="35"/>
    </row>
    <row r="39" spans="1:26">
      <c r="A39" s="33" t="str">
        <f>A38</f>
        <v>N</v>
      </c>
      <c r="B39" s="34">
        <f>COUNTA($B$1:B38)</f>
        <v>35</v>
      </c>
      <c r="C39" s="35" t="s">
        <v>426</v>
      </c>
      <c r="D39" s="35"/>
      <c r="E39" s="35"/>
      <c r="F39" s="34"/>
      <c r="G39" s="35" t="s">
        <v>133</v>
      </c>
      <c r="H39" s="35"/>
      <c r="I39" s="35" t="s">
        <v>55</v>
      </c>
      <c r="J39" s="35" t="s">
        <v>427</v>
      </c>
      <c r="K39" s="34">
        <v>0</v>
      </c>
      <c r="L39" s="35" t="s">
        <v>98</v>
      </c>
      <c r="M39" s="36"/>
      <c r="N39" s="35" t="s">
        <v>99</v>
      </c>
      <c r="O39" s="35"/>
      <c r="P39" s="35"/>
      <c r="Q39" s="35"/>
      <c r="R39" s="35" t="str">
        <f>TEXT(M23,"mm/dd/yyyy")</f>
        <v>RetDate</v>
      </c>
      <c r="S39" s="35"/>
      <c r="T39" s="35" t="s">
        <v>2</v>
      </c>
      <c r="U39" s="35"/>
      <c r="V39" s="35"/>
      <c r="W39" s="35"/>
      <c r="X39" s="35"/>
      <c r="Y39" s="35"/>
      <c r="Z39" s="35"/>
    </row>
    <row r="40" spans="1:26">
      <c r="A40" s="33" t="str">
        <f>A39</f>
        <v>N</v>
      </c>
      <c r="B40" s="34">
        <f>COUNTA($B$1:B39)</f>
        <v>36</v>
      </c>
      <c r="C40" s="35" t="s">
        <v>416</v>
      </c>
      <c r="D40" s="35"/>
      <c r="E40" s="35"/>
      <c r="F40" s="34"/>
      <c r="G40" s="35" t="s">
        <v>133</v>
      </c>
      <c r="H40" s="35"/>
      <c r="I40" s="35" t="s">
        <v>55</v>
      </c>
      <c r="J40" s="35" t="s">
        <v>195</v>
      </c>
      <c r="K40" s="34">
        <v>0</v>
      </c>
      <c r="L40" s="35" t="s">
        <v>147</v>
      </c>
      <c r="M40" s="36"/>
      <c r="N40" s="35"/>
      <c r="O40" s="35"/>
      <c r="P40" s="35"/>
      <c r="Q40" s="35"/>
      <c r="R40" s="35"/>
      <c r="S40" s="35"/>
      <c r="T40" s="35"/>
      <c r="U40" s="35"/>
      <c r="V40" s="35"/>
      <c r="W40" s="35"/>
      <c r="X40" s="35"/>
      <c r="Y40" s="35"/>
      <c r="Z40" s="35"/>
    </row>
    <row r="41" spans="1:26" s="17" customFormat="1">
      <c r="A41" s="33" t="str">
        <f>IF(OR(Global!B2="UAT",Global!B2="PROD"),"Y","N")</f>
        <v>Y</v>
      </c>
      <c r="B41" s="34">
        <f>COUNTA($B$1:B40)</f>
        <v>37</v>
      </c>
      <c r="C41" s="35" t="s">
        <v>422</v>
      </c>
      <c r="D41" s="35"/>
      <c r="E41" s="35"/>
      <c r="F41" s="34"/>
      <c r="G41" s="35" t="s">
        <v>133</v>
      </c>
      <c r="H41" s="35"/>
      <c r="I41" s="35" t="s">
        <v>55</v>
      </c>
      <c r="J41" s="35" t="s">
        <v>827</v>
      </c>
      <c r="K41" s="34">
        <v>0</v>
      </c>
      <c r="L41" s="35" t="s">
        <v>98</v>
      </c>
      <c r="M41" s="36"/>
      <c r="N41" s="35" t="s">
        <v>99</v>
      </c>
      <c r="O41" s="35"/>
      <c r="P41" s="35"/>
      <c r="Q41" s="35"/>
      <c r="R41" s="36" t="str">
        <f>TEXT(M19,"0")</f>
        <v>Destination</v>
      </c>
      <c r="S41" s="35"/>
      <c r="T41" s="35" t="s">
        <v>2</v>
      </c>
      <c r="U41" s="35"/>
      <c r="V41" s="35"/>
      <c r="W41" s="35"/>
      <c r="X41" s="35"/>
      <c r="Y41" s="35"/>
      <c r="Z41" s="35"/>
    </row>
    <row r="42" spans="1:26">
      <c r="A42" s="33" t="str">
        <f>A41</f>
        <v>Y</v>
      </c>
      <c r="B42" s="34">
        <f>COUNTA($B$1:B41)</f>
        <v>38</v>
      </c>
      <c r="C42" s="35" t="s">
        <v>424</v>
      </c>
      <c r="D42" s="35"/>
      <c r="E42" s="35"/>
      <c r="F42" s="34"/>
      <c r="G42" s="35" t="s">
        <v>133</v>
      </c>
      <c r="H42" s="35"/>
      <c r="I42" s="35" t="s">
        <v>55</v>
      </c>
      <c r="J42" s="35" t="s">
        <v>355</v>
      </c>
      <c r="K42" s="34">
        <v>0</v>
      </c>
      <c r="L42" s="35" t="s">
        <v>98</v>
      </c>
      <c r="M42" s="36"/>
      <c r="N42" s="35" t="s">
        <v>99</v>
      </c>
      <c r="O42" s="35"/>
      <c r="P42" s="35"/>
      <c r="Q42" s="35"/>
      <c r="R42" s="35" t="str">
        <f>TEXT(M22,"mm/dd/yyyy")</f>
        <v>DepDate</v>
      </c>
      <c r="S42" s="35"/>
      <c r="T42" s="35" t="s">
        <v>2</v>
      </c>
      <c r="U42" s="35"/>
      <c r="V42" s="35"/>
      <c r="W42" s="35"/>
      <c r="X42" s="35"/>
      <c r="Y42" s="35"/>
      <c r="Z42" s="35"/>
    </row>
    <row r="43" spans="1:26">
      <c r="A43" s="33" t="str">
        <f t="shared" ref="A43:A44" si="0">A42</f>
        <v>Y</v>
      </c>
      <c r="B43" s="34">
        <f>COUNTA($B$1:B42)</f>
        <v>39</v>
      </c>
      <c r="C43" s="35" t="s">
        <v>426</v>
      </c>
      <c r="D43" s="35"/>
      <c r="E43" s="35"/>
      <c r="F43" s="34"/>
      <c r="G43" s="35" t="s">
        <v>133</v>
      </c>
      <c r="H43" s="35"/>
      <c r="I43" s="35" t="s">
        <v>55</v>
      </c>
      <c r="J43" s="35" t="s">
        <v>357</v>
      </c>
      <c r="K43" s="34">
        <v>0</v>
      </c>
      <c r="L43" s="35" t="s">
        <v>98</v>
      </c>
      <c r="M43" s="36"/>
      <c r="N43" s="35" t="s">
        <v>99</v>
      </c>
      <c r="O43" s="35"/>
      <c r="P43" s="35"/>
      <c r="Q43" s="35"/>
      <c r="R43" s="35" t="str">
        <f>TEXT(M23,"mm/dd/yyyy")</f>
        <v>RetDate</v>
      </c>
      <c r="S43" s="35"/>
      <c r="T43" s="35" t="s">
        <v>2</v>
      </c>
      <c r="U43" s="35"/>
      <c r="V43" s="35"/>
      <c r="W43" s="35"/>
      <c r="X43" s="35"/>
      <c r="Y43" s="35"/>
      <c r="Z43" s="35"/>
    </row>
    <row r="44" spans="1:26">
      <c r="A44" s="33" t="str">
        <f t="shared" si="0"/>
        <v>Y</v>
      </c>
      <c r="B44" s="34">
        <f>COUNTA($B$1:B43)</f>
        <v>40</v>
      </c>
      <c r="C44" s="35" t="s">
        <v>416</v>
      </c>
      <c r="D44" s="35"/>
      <c r="E44" s="35"/>
      <c r="F44" s="34"/>
      <c r="G44" s="35" t="s">
        <v>133</v>
      </c>
      <c r="H44" s="35"/>
      <c r="I44" s="35" t="s">
        <v>55</v>
      </c>
      <c r="J44" s="35" t="s">
        <v>195</v>
      </c>
      <c r="K44" s="34">
        <v>0</v>
      </c>
      <c r="L44" s="35" t="s">
        <v>147</v>
      </c>
      <c r="M44" s="36"/>
      <c r="N44" s="35"/>
      <c r="O44" s="35"/>
      <c r="P44" s="35"/>
      <c r="Q44" s="35"/>
      <c r="R44" s="35"/>
      <c r="S44" s="35"/>
      <c r="T44" s="35"/>
      <c r="U44" s="35"/>
      <c r="V44" s="35"/>
      <c r="W44" s="35"/>
      <c r="X44" s="35"/>
      <c r="Y44" s="35"/>
      <c r="Z44" s="35"/>
    </row>
    <row r="45" spans="1:26" ht="12.75" customHeight="1">
      <c r="A45" s="33" t="s">
        <v>419</v>
      </c>
      <c r="B45" s="34">
        <f>COUNTA($B$1:B40)</f>
        <v>37</v>
      </c>
      <c r="C45" s="35" t="s">
        <v>67</v>
      </c>
      <c r="D45" s="35"/>
      <c r="E45" s="35"/>
      <c r="F45" s="34"/>
      <c r="G45" s="35" t="s">
        <v>133</v>
      </c>
      <c r="H45" s="35"/>
      <c r="I45" s="35"/>
      <c r="J45" s="35"/>
      <c r="K45" s="34"/>
      <c r="L45" s="35" t="s">
        <v>67</v>
      </c>
      <c r="M45" s="36">
        <v>5</v>
      </c>
      <c r="N45" s="35"/>
      <c r="O45" s="35"/>
      <c r="P45" s="35"/>
      <c r="Q45" s="35"/>
      <c r="R45" s="36"/>
      <c r="S45" s="35"/>
      <c r="T45" s="35"/>
      <c r="U45" s="35"/>
      <c r="V45" s="35"/>
      <c r="W45" s="35"/>
      <c r="X45" s="35"/>
      <c r="Y45" s="35"/>
      <c r="Z45" s="35"/>
    </row>
    <row r="46" spans="1:26">
      <c r="A46" s="30" t="s">
        <v>219</v>
      </c>
      <c r="B46" s="31"/>
      <c r="C46" s="31"/>
      <c r="D46" s="32"/>
      <c r="E46" s="32"/>
      <c r="F46" s="31"/>
      <c r="G46" s="32"/>
      <c r="H46" s="32"/>
      <c r="I46" s="32"/>
      <c r="J46" s="32"/>
      <c r="K46" s="31"/>
      <c r="L46" s="32"/>
      <c r="M46" s="32"/>
      <c r="N46" s="32"/>
      <c r="O46" s="32"/>
      <c r="P46" s="32"/>
      <c r="Q46" s="32"/>
      <c r="R46" s="32"/>
      <c r="S46" s="32"/>
      <c r="T46" s="32"/>
      <c r="U46" s="32"/>
      <c r="V46" s="32"/>
      <c r="W46" s="32"/>
      <c r="X46" s="32"/>
      <c r="Y46" s="32"/>
      <c r="Z46" s="32"/>
    </row>
    <row r="47" spans="1:26" s="18" customFormat="1" outlineLevel="1">
      <c r="A47" s="33" t="s">
        <v>419</v>
      </c>
      <c r="B47" s="34">
        <f>COUNTA($B$1:B46)</f>
        <v>42</v>
      </c>
      <c r="C47" s="35" t="s">
        <v>67</v>
      </c>
      <c r="D47" s="35"/>
      <c r="E47" s="35"/>
      <c r="F47" s="34"/>
      <c r="G47" s="35" t="s">
        <v>133</v>
      </c>
      <c r="H47" s="35"/>
      <c r="I47" s="35"/>
      <c r="J47" s="35"/>
      <c r="K47" s="34"/>
      <c r="L47" s="35" t="s">
        <v>67</v>
      </c>
      <c r="M47" s="36">
        <v>5</v>
      </c>
      <c r="N47" s="35"/>
      <c r="O47" s="35"/>
      <c r="P47" s="35"/>
      <c r="Q47" s="35"/>
      <c r="R47" s="36"/>
      <c r="S47" s="35"/>
      <c r="T47" s="35"/>
      <c r="U47" s="35"/>
      <c r="V47" s="35"/>
      <c r="W47" s="35"/>
      <c r="X47" s="35"/>
      <c r="Y47" s="35"/>
      <c r="Z47" s="35"/>
    </row>
    <row r="48" spans="1:26" s="17" customFormat="1">
      <c r="A48" s="45" t="s">
        <v>419</v>
      </c>
      <c r="B48" s="34">
        <f>COUNTA($B$1:B47)</f>
        <v>43</v>
      </c>
      <c r="C48" s="46" t="s">
        <v>140</v>
      </c>
      <c r="D48" s="46"/>
      <c r="E48" s="46"/>
      <c r="F48" s="47"/>
      <c r="G48" s="46" t="s">
        <v>133</v>
      </c>
      <c r="H48" s="46"/>
      <c r="I48" s="46" t="s">
        <v>55</v>
      </c>
      <c r="J48" s="46" t="s">
        <v>141</v>
      </c>
      <c r="K48" s="47"/>
      <c r="L48" s="46" t="s">
        <v>142</v>
      </c>
      <c r="M48" s="48"/>
      <c r="N48" s="46"/>
      <c r="O48" s="46" t="s">
        <v>2</v>
      </c>
      <c r="P48" s="46"/>
      <c r="Q48" s="46"/>
      <c r="R48" s="49"/>
      <c r="S48" s="46"/>
      <c r="T48" s="46"/>
      <c r="U48" s="46"/>
      <c r="V48" s="46"/>
      <c r="W48" s="46"/>
      <c r="X48" s="46"/>
      <c r="Y48" s="46"/>
      <c r="Z48" s="46"/>
    </row>
    <row r="49" spans="1:26" s="17" customFormat="1">
      <c r="A49" s="45" t="str">
        <f>IF($D$33="PASSED","bln678042","N")</f>
        <v>N</v>
      </c>
      <c r="B49" s="34">
        <f>COUNTA($B$1:B48)</f>
        <v>44</v>
      </c>
      <c r="C49" s="46" t="s">
        <v>143</v>
      </c>
      <c r="D49" s="46"/>
      <c r="E49" s="46"/>
      <c r="F49" s="47"/>
      <c r="G49" s="46" t="s">
        <v>133</v>
      </c>
      <c r="H49" s="46"/>
      <c r="I49" s="46" t="s">
        <v>55</v>
      </c>
      <c r="J49" s="46" t="s">
        <v>141</v>
      </c>
      <c r="K49" s="47">
        <v>0</v>
      </c>
      <c r="L49" s="46" t="s">
        <v>98</v>
      </c>
      <c r="M49" s="48"/>
      <c r="N49" s="46" t="s">
        <v>99</v>
      </c>
      <c r="O49" s="46" t="s">
        <v>2</v>
      </c>
      <c r="P49" s="46"/>
      <c r="Q49" s="46"/>
      <c r="R49" s="49" t="s">
        <v>144</v>
      </c>
      <c r="S49" s="46"/>
      <c r="T49" s="46"/>
      <c r="U49" s="46"/>
      <c r="V49" s="46"/>
      <c r="W49" s="46"/>
      <c r="X49" s="46"/>
      <c r="Y49" s="46"/>
      <c r="Z49" s="46"/>
    </row>
    <row r="50" spans="1:26" s="19" customFormat="1" outlineLevel="1">
      <c r="A50" s="45" t="str">
        <f>A49</f>
        <v>N</v>
      </c>
      <c r="B50" s="34">
        <f>COUNTA($B$1:B49)</f>
        <v>45</v>
      </c>
      <c r="C50" s="46" t="s">
        <v>145</v>
      </c>
      <c r="D50" s="46"/>
      <c r="E50" s="46"/>
      <c r="F50" s="47"/>
      <c r="G50" s="46" t="s">
        <v>133</v>
      </c>
      <c r="H50" s="46"/>
      <c r="I50" s="46" t="s">
        <v>55</v>
      </c>
      <c r="J50" s="46" t="s">
        <v>146</v>
      </c>
      <c r="K50" s="47">
        <v>0</v>
      </c>
      <c r="L50" s="46" t="s">
        <v>147</v>
      </c>
      <c r="M50" s="48"/>
      <c r="N50" s="46"/>
      <c r="O50" s="46" t="s">
        <v>2</v>
      </c>
      <c r="P50" s="46"/>
      <c r="Q50" s="46"/>
      <c r="R50" s="48"/>
      <c r="S50" s="46"/>
      <c r="T50" s="46"/>
      <c r="U50" s="46"/>
      <c r="V50" s="46"/>
      <c r="W50" s="46"/>
      <c r="X50" s="46"/>
      <c r="Y50" s="46"/>
      <c r="Z50" s="46"/>
    </row>
    <row r="51" spans="1:26" s="17" customFormat="1">
      <c r="A51" s="33" t="s">
        <v>419</v>
      </c>
      <c r="B51" s="34">
        <f>COUNTA($B$1:B50)</f>
        <v>46</v>
      </c>
      <c r="C51" s="35" t="s">
        <v>420</v>
      </c>
      <c r="D51" s="35"/>
      <c r="E51" s="35"/>
      <c r="F51" s="34"/>
      <c r="G51" s="35" t="s">
        <v>133</v>
      </c>
      <c r="H51" s="35"/>
      <c r="I51" s="35" t="s">
        <v>55</v>
      </c>
      <c r="J51" s="35" t="s">
        <v>428</v>
      </c>
      <c r="K51" s="34">
        <v>0</v>
      </c>
      <c r="L51" s="35" t="s">
        <v>147</v>
      </c>
      <c r="M51" s="36"/>
      <c r="N51" s="35"/>
      <c r="O51" s="35"/>
      <c r="P51" s="35"/>
      <c r="Q51" s="35"/>
      <c r="R51" s="36"/>
      <c r="S51" s="35"/>
      <c r="T51" s="35"/>
      <c r="U51" s="35"/>
      <c r="V51" s="35"/>
      <c r="W51" s="35"/>
      <c r="X51" s="35"/>
      <c r="Y51" s="35"/>
      <c r="Z51" s="35"/>
    </row>
    <row r="52" spans="1:26" s="19" customFormat="1" outlineLevel="1">
      <c r="A52" s="33" t="str">
        <f>IF(Global!B2="QA","Y","N")</f>
        <v>N</v>
      </c>
      <c r="B52" s="34">
        <f>COUNTA($B$1:B51)</f>
        <v>47</v>
      </c>
      <c r="C52" s="35" t="s">
        <v>422</v>
      </c>
      <c r="D52" s="35"/>
      <c r="E52" s="35"/>
      <c r="F52" s="34"/>
      <c r="G52" s="35" t="s">
        <v>133</v>
      </c>
      <c r="H52" s="35"/>
      <c r="I52" s="35" t="s">
        <v>55</v>
      </c>
      <c r="J52" s="35" t="s">
        <v>423</v>
      </c>
      <c r="K52" s="34">
        <v>0</v>
      </c>
      <c r="L52" s="35" t="s">
        <v>98</v>
      </c>
      <c r="M52" s="36"/>
      <c r="N52" s="35" t="s">
        <v>99</v>
      </c>
      <c r="O52" s="35"/>
      <c r="P52" s="35"/>
      <c r="Q52" s="35"/>
      <c r="R52" s="36" t="str">
        <f>TEXT(M19,"0")</f>
        <v>Destination</v>
      </c>
      <c r="S52" s="35"/>
      <c r="T52" s="35" t="s">
        <v>2</v>
      </c>
      <c r="U52" s="35"/>
      <c r="V52" s="35"/>
      <c r="W52" s="35"/>
      <c r="X52" s="35"/>
      <c r="Y52" s="35"/>
      <c r="Z52" s="35"/>
    </row>
    <row r="53" spans="1:26" s="17" customFormat="1">
      <c r="A53" s="33" t="str">
        <f>A52</f>
        <v>N</v>
      </c>
      <c r="B53" s="34">
        <f>COUNTA($B$1:B52)</f>
        <v>48</v>
      </c>
      <c r="C53" s="35" t="s">
        <v>424</v>
      </c>
      <c r="D53" s="35"/>
      <c r="E53" s="35"/>
      <c r="F53" s="34"/>
      <c r="G53" s="35" t="s">
        <v>133</v>
      </c>
      <c r="H53" s="35"/>
      <c r="I53" s="35" t="s">
        <v>55</v>
      </c>
      <c r="J53" s="35" t="s">
        <v>425</v>
      </c>
      <c r="K53" s="34">
        <v>0</v>
      </c>
      <c r="L53" s="35" t="s">
        <v>98</v>
      </c>
      <c r="M53" s="36"/>
      <c r="N53" s="35" t="s">
        <v>99</v>
      </c>
      <c r="O53" s="35"/>
      <c r="P53" s="35"/>
      <c r="Q53" s="35"/>
      <c r="R53" s="35" t="str">
        <f>TEXT(M22,"mm/dd/yyyy")</f>
        <v>DepDate</v>
      </c>
      <c r="S53" s="35"/>
      <c r="T53" s="35" t="s">
        <v>2</v>
      </c>
      <c r="U53" s="35"/>
      <c r="V53" s="35"/>
      <c r="W53" s="35"/>
      <c r="X53" s="35"/>
      <c r="Y53" s="35"/>
      <c r="Z53" s="35"/>
    </row>
    <row r="54" spans="1:26" s="19" customFormat="1" outlineLevel="1">
      <c r="A54" s="33" t="str">
        <f t="shared" ref="A54:A57" si="1">A53</f>
        <v>N</v>
      </c>
      <c r="B54" s="34">
        <f>COUNTA($B$1:B53)</f>
        <v>49</v>
      </c>
      <c r="C54" s="35" t="s">
        <v>426</v>
      </c>
      <c r="D54" s="35"/>
      <c r="E54" s="35"/>
      <c r="F54" s="34"/>
      <c r="G54" s="35" t="s">
        <v>133</v>
      </c>
      <c r="H54" s="35"/>
      <c r="I54" s="35" t="s">
        <v>55</v>
      </c>
      <c r="J54" s="35" t="s">
        <v>427</v>
      </c>
      <c r="K54" s="34">
        <v>0</v>
      </c>
      <c r="L54" s="35" t="s">
        <v>98</v>
      </c>
      <c r="M54" s="36"/>
      <c r="N54" s="35" t="s">
        <v>99</v>
      </c>
      <c r="O54" s="35"/>
      <c r="P54" s="35"/>
      <c r="Q54" s="35"/>
      <c r="R54" s="35" t="str">
        <f>TEXT(M23,"mm/dd/yyyy")</f>
        <v>RetDate</v>
      </c>
      <c r="S54" s="35"/>
      <c r="T54" s="35" t="s">
        <v>2</v>
      </c>
      <c r="U54" s="35"/>
      <c r="V54" s="35"/>
      <c r="W54" s="35"/>
      <c r="X54" s="35"/>
      <c r="Y54" s="35"/>
      <c r="Z54" s="35"/>
    </row>
    <row r="55" spans="1:26" s="19" customFormat="1" outlineLevel="1">
      <c r="A55" s="33" t="str">
        <f t="shared" si="1"/>
        <v>N</v>
      </c>
      <c r="B55" s="34">
        <f>COUNTA($B$1:B54)</f>
        <v>50</v>
      </c>
      <c r="C55" s="35" t="s">
        <v>429</v>
      </c>
      <c r="D55" s="35"/>
      <c r="E55" s="35"/>
      <c r="F55" s="34"/>
      <c r="G55" s="35" t="s">
        <v>133</v>
      </c>
      <c r="H55" s="35"/>
      <c r="I55" s="35" t="s">
        <v>55</v>
      </c>
      <c r="J55" s="35" t="s">
        <v>430</v>
      </c>
      <c r="K55" s="34">
        <v>0</v>
      </c>
      <c r="L55" s="35" t="s">
        <v>98</v>
      </c>
      <c r="M55" s="36"/>
      <c r="N55" s="35" t="s">
        <v>99</v>
      </c>
      <c r="O55" s="35"/>
      <c r="P55" s="35"/>
      <c r="Q55" s="35"/>
      <c r="R55" s="36" t="s">
        <v>196</v>
      </c>
      <c r="S55" s="35"/>
      <c r="T55" s="35" t="s">
        <v>2</v>
      </c>
      <c r="U55" s="35"/>
      <c r="V55" s="35"/>
      <c r="W55" s="35"/>
      <c r="X55" s="35"/>
      <c r="Y55" s="35"/>
      <c r="Z55" s="35"/>
    </row>
    <row r="56" spans="1:26" s="19" customFormat="1" outlineLevel="1">
      <c r="A56" s="33" t="str">
        <f t="shared" si="1"/>
        <v>N</v>
      </c>
      <c r="B56" s="34">
        <f>COUNTA($B$1:B55)</f>
        <v>51</v>
      </c>
      <c r="C56" s="35" t="s">
        <v>431</v>
      </c>
      <c r="D56" s="35"/>
      <c r="E56" s="35"/>
      <c r="F56" s="34"/>
      <c r="G56" s="35" t="s">
        <v>133</v>
      </c>
      <c r="H56" s="35"/>
      <c r="I56" s="35" t="s">
        <v>55</v>
      </c>
      <c r="J56" s="35" t="s">
        <v>432</v>
      </c>
      <c r="K56" s="34">
        <v>0</v>
      </c>
      <c r="L56" s="35" t="s">
        <v>98</v>
      </c>
      <c r="M56" s="36"/>
      <c r="N56" s="35" t="s">
        <v>99</v>
      </c>
      <c r="O56" s="35"/>
      <c r="P56" s="35"/>
      <c r="Q56" s="35"/>
      <c r="R56" s="36"/>
      <c r="S56" s="35"/>
      <c r="T56" s="35"/>
      <c r="U56" s="35"/>
      <c r="V56" s="35"/>
      <c r="W56" s="35"/>
      <c r="X56" s="35"/>
      <c r="Y56" s="35"/>
      <c r="Z56" s="35"/>
    </row>
    <row r="57" spans="1:26" s="17" customFormat="1">
      <c r="A57" s="33" t="str">
        <f t="shared" si="1"/>
        <v>N</v>
      </c>
      <c r="B57" s="34">
        <f>COUNTA($B$1:B56)</f>
        <v>52</v>
      </c>
      <c r="C57" s="35" t="s">
        <v>433</v>
      </c>
      <c r="D57" s="35"/>
      <c r="E57" s="35"/>
      <c r="F57" s="34"/>
      <c r="G57" s="35" t="s">
        <v>133</v>
      </c>
      <c r="H57" s="35"/>
      <c r="I57" s="35" t="s">
        <v>55</v>
      </c>
      <c r="J57" s="35" t="s">
        <v>434</v>
      </c>
      <c r="K57" s="34">
        <v>0</v>
      </c>
      <c r="L57" s="35" t="s">
        <v>98</v>
      </c>
      <c r="M57" s="36"/>
      <c r="N57" s="35" t="s">
        <v>99</v>
      </c>
      <c r="O57" s="35"/>
      <c r="P57" s="35"/>
      <c r="Q57" s="35"/>
      <c r="R57" s="64"/>
      <c r="S57" s="35"/>
      <c r="T57" s="35"/>
      <c r="U57" s="35"/>
      <c r="V57" s="35"/>
      <c r="W57" s="35"/>
      <c r="X57" s="35"/>
      <c r="Y57" s="35"/>
      <c r="Z57" s="35"/>
    </row>
    <row r="58" spans="1:26" s="19" customFormat="1" outlineLevel="1">
      <c r="A58" s="33" t="str">
        <f>IF(OR(Global!B2="UAT",Global!B2="PROD"),"Y","N")</f>
        <v>Y</v>
      </c>
      <c r="B58" s="34">
        <f>COUNTA($B$1:B57)</f>
        <v>53</v>
      </c>
      <c r="C58" s="35" t="s">
        <v>422</v>
      </c>
      <c r="D58" s="35"/>
      <c r="E58" s="35"/>
      <c r="F58" s="34"/>
      <c r="G58" s="35" t="s">
        <v>133</v>
      </c>
      <c r="H58" s="35"/>
      <c r="I58" s="35" t="s">
        <v>55</v>
      </c>
      <c r="J58" s="35" t="s">
        <v>827</v>
      </c>
      <c r="K58" s="34">
        <v>0</v>
      </c>
      <c r="L58" s="35" t="s">
        <v>98</v>
      </c>
      <c r="M58" s="36"/>
      <c r="N58" s="35" t="s">
        <v>99</v>
      </c>
      <c r="O58" s="35"/>
      <c r="P58" s="35"/>
      <c r="Q58" s="35"/>
      <c r="R58" s="36" t="str">
        <f>TEXT(M19,"0")</f>
        <v>Destination</v>
      </c>
      <c r="S58" s="35"/>
      <c r="T58" s="35" t="s">
        <v>2</v>
      </c>
      <c r="U58" s="35"/>
      <c r="V58" s="35"/>
      <c r="W58" s="35"/>
      <c r="X58" s="35"/>
      <c r="Y58" s="35"/>
      <c r="Z58" s="35"/>
    </row>
    <row r="59" spans="1:26" s="17" customFormat="1">
      <c r="A59" s="33" t="str">
        <f>A58</f>
        <v>Y</v>
      </c>
      <c r="B59" s="34">
        <f>COUNTA($B$1:B58)</f>
        <v>54</v>
      </c>
      <c r="C59" s="35" t="s">
        <v>424</v>
      </c>
      <c r="D59" s="35"/>
      <c r="E59" s="35"/>
      <c r="F59" s="34"/>
      <c r="G59" s="35" t="s">
        <v>133</v>
      </c>
      <c r="H59" s="35"/>
      <c r="I59" s="35" t="s">
        <v>55</v>
      </c>
      <c r="J59" s="35" t="s">
        <v>355</v>
      </c>
      <c r="K59" s="34">
        <v>0</v>
      </c>
      <c r="L59" s="35" t="s">
        <v>98</v>
      </c>
      <c r="M59" s="36"/>
      <c r="N59" s="35" t="s">
        <v>99</v>
      </c>
      <c r="O59" s="35"/>
      <c r="P59" s="35"/>
      <c r="Q59" s="35"/>
      <c r="R59" s="35" t="str">
        <f>TEXT(M22,"mm/dd/yyyy")</f>
        <v>DepDate</v>
      </c>
      <c r="S59" s="35"/>
      <c r="T59" s="35" t="s">
        <v>2</v>
      </c>
      <c r="U59" s="35"/>
      <c r="V59" s="35"/>
      <c r="W59" s="35"/>
      <c r="X59" s="35"/>
      <c r="Y59" s="35"/>
      <c r="Z59" s="35"/>
    </row>
    <row r="60" spans="1:26" s="19" customFormat="1" outlineLevel="1">
      <c r="A60" s="33" t="str">
        <f t="shared" ref="A60:A63" si="2">A59</f>
        <v>Y</v>
      </c>
      <c r="B60" s="34">
        <f>COUNTA($B$1:B59)</f>
        <v>55</v>
      </c>
      <c r="C60" s="35" t="s">
        <v>426</v>
      </c>
      <c r="D60" s="35"/>
      <c r="E60" s="35"/>
      <c r="F60" s="34"/>
      <c r="G60" s="35" t="s">
        <v>133</v>
      </c>
      <c r="H60" s="35"/>
      <c r="I60" s="35" t="s">
        <v>55</v>
      </c>
      <c r="J60" s="35" t="s">
        <v>357</v>
      </c>
      <c r="K60" s="34">
        <v>0</v>
      </c>
      <c r="L60" s="35" t="s">
        <v>98</v>
      </c>
      <c r="M60" s="36"/>
      <c r="N60" s="35" t="s">
        <v>99</v>
      </c>
      <c r="O60" s="35"/>
      <c r="P60" s="35"/>
      <c r="Q60" s="35"/>
      <c r="R60" s="35" t="str">
        <f>TEXT(M23,"mm/dd/yyyy")</f>
        <v>RetDate</v>
      </c>
      <c r="S60" s="35"/>
      <c r="T60" s="35" t="s">
        <v>2</v>
      </c>
      <c r="U60" s="35"/>
      <c r="V60" s="35"/>
      <c r="W60" s="35"/>
      <c r="X60" s="35"/>
      <c r="Y60" s="35"/>
      <c r="Z60" s="35"/>
    </row>
    <row r="61" spans="1:26" s="19" customFormat="1" outlineLevel="1">
      <c r="A61" s="33" t="str">
        <f t="shared" si="2"/>
        <v>Y</v>
      </c>
      <c r="B61" s="34">
        <f>COUNTA($B$1:B60)</f>
        <v>56</v>
      </c>
      <c r="C61" s="35" t="s">
        <v>429</v>
      </c>
      <c r="D61" s="35"/>
      <c r="E61" s="35"/>
      <c r="F61" s="34"/>
      <c r="G61" s="35" t="s">
        <v>133</v>
      </c>
      <c r="H61" s="35"/>
      <c r="I61" s="35" t="s">
        <v>55</v>
      </c>
      <c r="J61" s="35" t="s">
        <v>828</v>
      </c>
      <c r="K61" s="34">
        <v>0</v>
      </c>
      <c r="L61" s="35" t="s">
        <v>98</v>
      </c>
      <c r="M61" s="36"/>
      <c r="N61" s="35" t="s">
        <v>99</v>
      </c>
      <c r="O61" s="35"/>
      <c r="P61" s="35"/>
      <c r="Q61" s="35"/>
      <c r="R61" s="36" t="s">
        <v>196</v>
      </c>
      <c r="S61" s="35"/>
      <c r="T61" s="35" t="s">
        <v>2</v>
      </c>
      <c r="U61" s="35"/>
      <c r="V61" s="35"/>
      <c r="W61" s="35"/>
      <c r="X61" s="35"/>
      <c r="Y61" s="35"/>
      <c r="Z61" s="35"/>
    </row>
    <row r="62" spans="1:26" s="19" customFormat="1" outlineLevel="1">
      <c r="A62" s="33" t="str">
        <f t="shared" si="2"/>
        <v>Y</v>
      </c>
      <c r="B62" s="34">
        <f>COUNTA($B$1:B61)</f>
        <v>57</v>
      </c>
      <c r="C62" s="35" t="s">
        <v>431</v>
      </c>
      <c r="D62" s="35"/>
      <c r="E62" s="35"/>
      <c r="F62" s="34"/>
      <c r="G62" s="35" t="s">
        <v>133</v>
      </c>
      <c r="H62" s="35"/>
      <c r="I62" s="35" t="s">
        <v>55</v>
      </c>
      <c r="J62" s="35" t="s">
        <v>829</v>
      </c>
      <c r="K62" s="34">
        <v>0</v>
      </c>
      <c r="L62" s="35" t="s">
        <v>98</v>
      </c>
      <c r="M62" s="36"/>
      <c r="N62" s="35" t="s">
        <v>99</v>
      </c>
      <c r="O62" s="35"/>
      <c r="P62" s="35"/>
      <c r="Q62" s="35"/>
      <c r="R62" s="36"/>
      <c r="S62" s="35"/>
      <c r="T62" s="35"/>
      <c r="U62" s="35"/>
      <c r="V62" s="35"/>
      <c r="W62" s="35"/>
      <c r="X62" s="35"/>
      <c r="Y62" s="35"/>
      <c r="Z62" s="35"/>
    </row>
    <row r="63" spans="1:26" s="17" customFormat="1">
      <c r="A63" s="33" t="str">
        <f t="shared" si="2"/>
        <v>Y</v>
      </c>
      <c r="B63" s="34">
        <f>COUNTA($B$1:B62)</f>
        <v>58</v>
      </c>
      <c r="C63" s="35" t="s">
        <v>433</v>
      </c>
      <c r="D63" s="35"/>
      <c r="E63" s="35"/>
      <c r="F63" s="34"/>
      <c r="G63" s="35" t="s">
        <v>133</v>
      </c>
      <c r="H63" s="35"/>
      <c r="I63" s="35" t="s">
        <v>55</v>
      </c>
      <c r="J63" s="35" t="s">
        <v>830</v>
      </c>
      <c r="K63" s="34">
        <v>0</v>
      </c>
      <c r="L63" s="35" t="s">
        <v>98</v>
      </c>
      <c r="M63" s="36"/>
      <c r="N63" s="35" t="s">
        <v>99</v>
      </c>
      <c r="O63" s="35"/>
      <c r="P63" s="35"/>
      <c r="Q63" s="35"/>
      <c r="R63" s="64"/>
      <c r="S63" s="35"/>
      <c r="T63" s="35"/>
      <c r="U63" s="35"/>
      <c r="V63" s="35"/>
      <c r="W63" s="35"/>
      <c r="X63" s="35"/>
      <c r="Y63" s="35"/>
      <c r="Z63" s="35"/>
    </row>
    <row r="64" spans="1:26" s="19" customFormat="1" outlineLevel="1">
      <c r="A64" s="33" t="s">
        <v>419</v>
      </c>
      <c r="B64" s="34">
        <f>COUNTA($B$1:B63)</f>
        <v>59</v>
      </c>
      <c r="C64" s="35" t="s">
        <v>435</v>
      </c>
      <c r="D64" s="35"/>
      <c r="E64" s="35"/>
      <c r="F64" s="34"/>
      <c r="G64" s="35" t="s">
        <v>133</v>
      </c>
      <c r="H64" s="35"/>
      <c r="I64" s="35" t="s">
        <v>55</v>
      </c>
      <c r="J64" s="35" t="s">
        <v>428</v>
      </c>
      <c r="K64" s="34">
        <v>0</v>
      </c>
      <c r="L64" s="35" t="s">
        <v>147</v>
      </c>
      <c r="M64" s="36"/>
      <c r="N64" s="35"/>
      <c r="O64" s="35"/>
      <c r="P64" s="35"/>
      <c r="Q64" s="35"/>
      <c r="R64" s="36"/>
      <c r="S64" s="35"/>
      <c r="T64" s="35"/>
      <c r="U64" s="35"/>
      <c r="V64" s="35"/>
      <c r="W64" s="35"/>
      <c r="X64" s="35"/>
      <c r="Y64" s="35"/>
      <c r="Z64" s="35"/>
    </row>
    <row r="65" spans="1:26" s="17" customFormat="1">
      <c r="A65" s="33" t="s">
        <v>419</v>
      </c>
      <c r="B65" s="34">
        <f>COUNTA($B$1:B64)</f>
        <v>60</v>
      </c>
      <c r="C65" s="35" t="s">
        <v>67</v>
      </c>
      <c r="D65" s="35"/>
      <c r="E65" s="35"/>
      <c r="F65" s="34"/>
      <c r="G65" s="35" t="s">
        <v>133</v>
      </c>
      <c r="H65" s="35"/>
      <c r="I65" s="35"/>
      <c r="J65" s="35"/>
      <c r="K65" s="34"/>
      <c r="L65" s="35" t="s">
        <v>67</v>
      </c>
      <c r="M65" s="36">
        <v>2</v>
      </c>
      <c r="N65" s="35"/>
      <c r="O65" s="35"/>
      <c r="P65" s="35"/>
      <c r="Q65" s="35"/>
      <c r="R65" s="36"/>
      <c r="S65" s="35"/>
      <c r="T65" s="35"/>
      <c r="U65" s="35"/>
      <c r="V65" s="35"/>
      <c r="W65" s="35"/>
      <c r="X65" s="35"/>
      <c r="Y65" s="35"/>
      <c r="Z65" s="35"/>
    </row>
    <row r="66" spans="1:26" s="19" customFormat="1" outlineLevel="1">
      <c r="A66" s="33" t="s">
        <v>419</v>
      </c>
      <c r="B66" s="34">
        <f>COUNTA($B$1:B65)</f>
        <v>61</v>
      </c>
      <c r="C66" s="35" t="s">
        <v>220</v>
      </c>
      <c r="D66" s="35"/>
      <c r="E66" s="35"/>
      <c r="F66" s="34"/>
      <c r="G66" s="35" t="s">
        <v>133</v>
      </c>
      <c r="H66" s="35"/>
      <c r="I66" s="35" t="s">
        <v>55</v>
      </c>
      <c r="J66" s="35" t="s">
        <v>221</v>
      </c>
      <c r="K66" s="34">
        <v>0</v>
      </c>
      <c r="L66" s="35" t="s">
        <v>0</v>
      </c>
      <c r="M66" s="50" t="s">
        <v>288</v>
      </c>
      <c r="N66" s="35"/>
      <c r="O66" s="35"/>
      <c r="P66" s="35"/>
      <c r="Q66" s="35"/>
      <c r="R66" s="52"/>
      <c r="S66" s="35"/>
      <c r="T66" s="35"/>
      <c r="U66" s="35"/>
      <c r="V66" s="35"/>
      <c r="W66" s="35"/>
      <c r="X66" s="35"/>
      <c r="Y66" s="35"/>
      <c r="Z66" s="35"/>
    </row>
    <row r="67" spans="1:26" s="19" customFormat="1" outlineLevel="1">
      <c r="A67" s="33" t="s">
        <v>419</v>
      </c>
      <c r="B67" s="34">
        <f>COUNTA($B$1:B66)</f>
        <v>62</v>
      </c>
      <c r="C67" s="35" t="s">
        <v>103</v>
      </c>
      <c r="D67" s="35"/>
      <c r="E67" s="35"/>
      <c r="F67" s="34"/>
      <c r="G67" s="35" t="s">
        <v>133</v>
      </c>
      <c r="H67" s="35"/>
      <c r="I67" s="35" t="s">
        <v>55</v>
      </c>
      <c r="J67" s="35" t="s">
        <v>105</v>
      </c>
      <c r="K67" s="34">
        <v>0</v>
      </c>
      <c r="L67" s="35" t="s">
        <v>0</v>
      </c>
      <c r="M67" s="50" t="s">
        <v>291</v>
      </c>
      <c r="N67" s="35"/>
      <c r="O67" s="35"/>
      <c r="P67" s="35"/>
      <c r="Q67" s="35"/>
      <c r="R67" s="52"/>
      <c r="S67" s="35"/>
      <c r="T67" s="35"/>
      <c r="U67" s="35"/>
      <c r="V67" s="35"/>
      <c r="W67" s="35"/>
      <c r="X67" s="35"/>
      <c r="Y67" s="35"/>
      <c r="Z67" s="35"/>
    </row>
    <row r="68" spans="1:26" s="19" customFormat="1" outlineLevel="1">
      <c r="A68" s="33" t="s">
        <v>419</v>
      </c>
      <c r="B68" s="34">
        <f>COUNTA($B$1:B67)</f>
        <v>63</v>
      </c>
      <c r="C68" s="35" t="s">
        <v>228</v>
      </c>
      <c r="D68" s="35"/>
      <c r="E68" s="35"/>
      <c r="F68" s="34"/>
      <c r="G68" s="35" t="s">
        <v>133</v>
      </c>
      <c r="H68" s="35"/>
      <c r="I68" s="35" t="s">
        <v>55</v>
      </c>
      <c r="J68" s="35" t="s">
        <v>229</v>
      </c>
      <c r="K68" s="34">
        <v>0</v>
      </c>
      <c r="L68" s="35" t="s">
        <v>0</v>
      </c>
      <c r="M68" s="50" t="s">
        <v>230</v>
      </c>
      <c r="N68" s="35"/>
      <c r="O68" s="35"/>
      <c r="P68" s="35"/>
      <c r="Q68" s="35"/>
      <c r="R68" s="52"/>
      <c r="S68" s="35"/>
      <c r="T68" s="35"/>
      <c r="U68" s="35"/>
      <c r="V68" s="35"/>
      <c r="W68" s="35"/>
      <c r="X68" s="35"/>
      <c r="Y68" s="35"/>
      <c r="Z68" s="35"/>
    </row>
    <row r="69" spans="1:26" s="17" customFormat="1">
      <c r="A69" s="33" t="s">
        <v>419</v>
      </c>
      <c r="B69" s="34">
        <f>COUNTA($B$1:B68)</f>
        <v>64</v>
      </c>
      <c r="C69" s="35" t="s">
        <v>89</v>
      </c>
      <c r="D69" s="35"/>
      <c r="E69" s="35"/>
      <c r="F69" s="34"/>
      <c r="G69" s="35" t="s">
        <v>133</v>
      </c>
      <c r="H69" s="35"/>
      <c r="I69" s="35" t="s">
        <v>55</v>
      </c>
      <c r="J69" s="35" t="s">
        <v>231</v>
      </c>
      <c r="K69" s="34">
        <v>0</v>
      </c>
      <c r="L69" s="35" t="s">
        <v>0</v>
      </c>
      <c r="M69" s="50" t="s">
        <v>104</v>
      </c>
      <c r="N69" s="35"/>
      <c r="O69" s="35"/>
      <c r="P69" s="35"/>
      <c r="Q69" s="35"/>
      <c r="R69" s="52"/>
      <c r="S69" s="35"/>
      <c r="T69" s="35"/>
      <c r="U69" s="35"/>
      <c r="V69" s="35"/>
      <c r="W69" s="35"/>
      <c r="X69" s="35"/>
      <c r="Y69" s="35"/>
      <c r="Z69" s="35"/>
    </row>
    <row r="70" spans="1:26" s="19" customFormat="1" outlineLevel="1">
      <c r="A70" s="33" t="s">
        <v>419</v>
      </c>
      <c r="B70" s="34">
        <f>COUNTA($B$1:B69)</f>
        <v>65</v>
      </c>
      <c r="C70" s="35" t="s">
        <v>232</v>
      </c>
      <c r="D70" s="35"/>
      <c r="E70" s="35"/>
      <c r="F70" s="34"/>
      <c r="G70" s="35" t="s">
        <v>133</v>
      </c>
      <c r="H70" s="35"/>
      <c r="I70" s="35" t="s">
        <v>55</v>
      </c>
      <c r="J70" s="35" t="s">
        <v>233</v>
      </c>
      <c r="K70" s="34">
        <v>0</v>
      </c>
      <c r="L70" s="35" t="s">
        <v>0</v>
      </c>
      <c r="M70" s="50" t="s">
        <v>234</v>
      </c>
      <c r="N70" s="35"/>
      <c r="O70" s="35"/>
      <c r="P70" s="35"/>
      <c r="Q70" s="35"/>
      <c r="R70" s="52"/>
      <c r="S70" s="35"/>
      <c r="T70" s="35"/>
      <c r="U70" s="35"/>
      <c r="V70" s="35"/>
      <c r="W70" s="35"/>
      <c r="X70" s="35"/>
      <c r="Y70" s="35"/>
      <c r="Z70" s="35"/>
    </row>
    <row r="71" spans="1:26" s="19" customFormat="1" outlineLevel="1">
      <c r="A71" s="33" t="s">
        <v>419</v>
      </c>
      <c r="B71" s="34">
        <f>COUNTA($B$1:B70)</f>
        <v>66</v>
      </c>
      <c r="C71" s="35" t="s">
        <v>235</v>
      </c>
      <c r="D71" s="35"/>
      <c r="E71" s="35"/>
      <c r="F71" s="34"/>
      <c r="G71" s="35" t="s">
        <v>133</v>
      </c>
      <c r="H71" s="35"/>
      <c r="I71" s="35" t="s">
        <v>55</v>
      </c>
      <c r="J71" s="35" t="s">
        <v>236</v>
      </c>
      <c r="K71" s="34">
        <v>0</v>
      </c>
      <c r="L71" s="35" t="s">
        <v>0</v>
      </c>
      <c r="M71" s="50" t="s">
        <v>237</v>
      </c>
      <c r="N71" s="35"/>
      <c r="O71" s="35"/>
      <c r="P71" s="35"/>
      <c r="Q71" s="35"/>
      <c r="R71" s="52"/>
      <c r="S71" s="35"/>
      <c r="T71" s="35"/>
      <c r="U71" s="35"/>
      <c r="V71" s="35"/>
      <c r="W71" s="35"/>
      <c r="X71" s="35"/>
      <c r="Y71" s="35"/>
      <c r="Z71" s="35"/>
    </row>
    <row r="72" spans="1:26" s="17" customFormat="1">
      <c r="A72" s="33" t="s">
        <v>419</v>
      </c>
      <c r="B72" s="34">
        <f>COUNTA($B$1:B71)</f>
        <v>67</v>
      </c>
      <c r="C72" s="35" t="s">
        <v>238</v>
      </c>
      <c r="D72" s="35"/>
      <c r="E72" s="35"/>
      <c r="F72" s="34"/>
      <c r="G72" s="35" t="s">
        <v>133</v>
      </c>
      <c r="H72" s="35"/>
      <c r="I72" s="35" t="s">
        <v>55</v>
      </c>
      <c r="J72" s="35" t="s">
        <v>90</v>
      </c>
      <c r="K72" s="34">
        <v>0</v>
      </c>
      <c r="L72" s="35" t="s">
        <v>0</v>
      </c>
      <c r="M72" s="50" t="s">
        <v>283</v>
      </c>
      <c r="N72" s="35"/>
      <c r="O72" s="35"/>
      <c r="P72" s="35"/>
      <c r="Q72" s="35"/>
      <c r="R72" s="52"/>
      <c r="S72" s="35"/>
      <c r="T72" s="35"/>
      <c r="U72" s="35"/>
      <c r="V72" s="35"/>
      <c r="W72" s="35"/>
      <c r="X72" s="35"/>
      <c r="Y72" s="35"/>
      <c r="Z72" s="35"/>
    </row>
    <row r="73" spans="1:26" s="19" customFormat="1" outlineLevel="1">
      <c r="A73" s="33" t="s">
        <v>419</v>
      </c>
      <c r="B73" s="34">
        <f>COUNTA($B$1:B72)</f>
        <v>68</v>
      </c>
      <c r="C73" s="35" t="s">
        <v>240</v>
      </c>
      <c r="D73" s="35"/>
      <c r="E73" s="35"/>
      <c r="F73" s="34"/>
      <c r="G73" s="35" t="s">
        <v>133</v>
      </c>
      <c r="H73" s="35"/>
      <c r="I73" s="35" t="s">
        <v>55</v>
      </c>
      <c r="J73" s="35" t="s">
        <v>241</v>
      </c>
      <c r="K73" s="34">
        <v>0</v>
      </c>
      <c r="L73" s="35" t="s">
        <v>0</v>
      </c>
      <c r="M73" s="50" t="s">
        <v>242</v>
      </c>
      <c r="N73" s="35"/>
      <c r="O73" s="35"/>
      <c r="P73" s="35"/>
      <c r="Q73" s="35"/>
      <c r="R73" s="52"/>
      <c r="S73" s="35"/>
      <c r="T73" s="35"/>
      <c r="U73" s="35"/>
      <c r="V73" s="35"/>
      <c r="W73" s="35"/>
      <c r="X73" s="35"/>
      <c r="Y73" s="35"/>
      <c r="Z73" s="35"/>
    </row>
    <row r="74" spans="1:26" s="19" customFormat="1" outlineLevel="1">
      <c r="A74" s="33" t="s">
        <v>419</v>
      </c>
      <c r="B74" s="34">
        <f>COUNTA($B$1:B73)</f>
        <v>69</v>
      </c>
      <c r="C74" s="35" t="s">
        <v>190</v>
      </c>
      <c r="D74" s="35"/>
      <c r="E74" s="35"/>
      <c r="F74" s="34"/>
      <c r="G74" s="35" t="s">
        <v>133</v>
      </c>
      <c r="H74" s="35"/>
      <c r="I74" s="35" t="s">
        <v>55</v>
      </c>
      <c r="J74" s="35" t="s">
        <v>87</v>
      </c>
      <c r="K74" s="34">
        <v>0</v>
      </c>
      <c r="L74" s="35" t="s">
        <v>147</v>
      </c>
      <c r="M74" s="36"/>
      <c r="N74" s="35"/>
      <c r="O74" s="35"/>
      <c r="P74" s="35"/>
      <c r="Q74" s="35"/>
      <c r="R74" s="35"/>
      <c r="S74" s="35"/>
      <c r="T74" s="35"/>
      <c r="U74" s="35"/>
      <c r="V74" s="35"/>
      <c r="W74" s="35"/>
      <c r="X74" s="35"/>
      <c r="Y74" s="35"/>
      <c r="Z74" s="35"/>
    </row>
    <row r="75" spans="1:26" s="17" customFormat="1">
      <c r="A75" s="33" t="s">
        <v>419</v>
      </c>
      <c r="B75" s="34">
        <f>COUNTA($B$1:B74)</f>
        <v>70</v>
      </c>
      <c r="C75" s="35" t="s">
        <v>67</v>
      </c>
      <c r="D75" s="35"/>
      <c r="E75" s="35"/>
      <c r="F75" s="34"/>
      <c r="G75" s="35" t="s">
        <v>133</v>
      </c>
      <c r="H75" s="35"/>
      <c r="I75" s="35"/>
      <c r="J75" s="35"/>
      <c r="K75" s="34"/>
      <c r="L75" s="35" t="s">
        <v>67</v>
      </c>
      <c r="M75" s="36">
        <v>10</v>
      </c>
      <c r="N75" s="35"/>
      <c r="O75" s="35"/>
      <c r="P75" s="35"/>
      <c r="Q75" s="35"/>
      <c r="R75" s="36"/>
      <c r="S75" s="35"/>
      <c r="T75" s="35"/>
      <c r="U75" s="35"/>
      <c r="V75" s="35"/>
      <c r="W75" s="35"/>
      <c r="X75" s="35"/>
      <c r="Y75" s="35"/>
      <c r="Z75" s="35"/>
    </row>
    <row r="76" spans="1:26" s="19" customFormat="1" outlineLevel="1">
      <c r="A76" s="30" t="s">
        <v>91</v>
      </c>
      <c r="B76" s="31"/>
      <c r="C76" s="31"/>
      <c r="D76" s="32"/>
      <c r="E76" s="32"/>
      <c r="F76" s="31"/>
      <c r="G76" s="32"/>
      <c r="H76" s="32"/>
      <c r="I76" s="32"/>
      <c r="J76" s="32"/>
      <c r="K76" s="31"/>
      <c r="L76" s="32"/>
      <c r="M76" s="32"/>
      <c r="N76" s="32"/>
      <c r="O76" s="32"/>
      <c r="P76" s="32"/>
      <c r="Q76" s="32"/>
      <c r="R76" s="32"/>
      <c r="S76" s="32"/>
      <c r="T76" s="32"/>
      <c r="U76" s="32"/>
      <c r="V76" s="32"/>
      <c r="W76" s="32"/>
      <c r="X76" s="32"/>
      <c r="Y76" s="32"/>
      <c r="Z76" s="32"/>
    </row>
    <row r="77" spans="1:26" s="19" customFormat="1" outlineLevel="1">
      <c r="A77" s="33" t="s">
        <v>419</v>
      </c>
      <c r="B77" s="34">
        <f>COUNTA($B$1:B76)</f>
        <v>71</v>
      </c>
      <c r="C77" s="35" t="s">
        <v>93</v>
      </c>
      <c r="D77" s="35"/>
      <c r="E77" s="35"/>
      <c r="F77" s="34"/>
      <c r="G77" s="35" t="s">
        <v>133</v>
      </c>
      <c r="H77" s="35"/>
      <c r="I77" s="35" t="s">
        <v>55</v>
      </c>
      <c r="J77" s="35" t="s">
        <v>92</v>
      </c>
      <c r="K77" s="34">
        <v>0</v>
      </c>
      <c r="L77" s="35" t="s">
        <v>0</v>
      </c>
      <c r="M77" s="50" t="s">
        <v>261</v>
      </c>
      <c r="N77" s="35"/>
      <c r="O77" s="35"/>
      <c r="P77" s="35"/>
      <c r="Q77" s="35"/>
      <c r="R77" s="52"/>
      <c r="S77" s="35"/>
      <c r="T77" s="35"/>
      <c r="U77" s="35"/>
      <c r="V77" s="35"/>
      <c r="W77" s="35"/>
      <c r="X77" s="35"/>
      <c r="Y77" s="35"/>
      <c r="Z77" s="35"/>
    </row>
    <row r="78" spans="1:26" s="17" customFormat="1">
      <c r="A78" s="33" t="s">
        <v>419</v>
      </c>
      <c r="B78" s="34">
        <f>COUNTA($B$1:B77)</f>
        <v>72</v>
      </c>
      <c r="C78" s="35" t="s">
        <v>262</v>
      </c>
      <c r="D78" s="35"/>
      <c r="E78" s="35"/>
      <c r="F78" s="34"/>
      <c r="G78" s="35" t="s">
        <v>133</v>
      </c>
      <c r="H78" s="35"/>
      <c r="I78" s="35"/>
      <c r="J78" s="35"/>
      <c r="K78" s="34">
        <v>2</v>
      </c>
      <c r="L78" s="35" t="s">
        <v>95</v>
      </c>
      <c r="M78" s="35"/>
      <c r="N78" s="35"/>
      <c r="O78" s="35"/>
      <c r="P78" s="35"/>
      <c r="Q78" s="35"/>
      <c r="R78" s="52"/>
      <c r="S78" s="35"/>
      <c r="T78" s="35"/>
      <c r="U78" s="35"/>
      <c r="V78" s="35"/>
      <c r="W78" s="35"/>
      <c r="X78" s="35"/>
      <c r="Y78" s="35"/>
      <c r="Z78" s="35"/>
    </row>
    <row r="79" spans="1:26" s="19" customFormat="1" outlineLevel="1">
      <c r="A79" s="33" t="s">
        <v>419</v>
      </c>
      <c r="B79" s="34">
        <f>COUNTA($B$1:B78)</f>
        <v>73</v>
      </c>
      <c r="C79" s="35" t="s">
        <v>94</v>
      </c>
      <c r="D79" s="35"/>
      <c r="E79" s="35"/>
      <c r="F79" s="34"/>
      <c r="G79" s="35" t="s">
        <v>133</v>
      </c>
      <c r="H79" s="35"/>
      <c r="I79" s="35" t="s">
        <v>55</v>
      </c>
      <c r="J79" s="35" t="s">
        <v>263</v>
      </c>
      <c r="K79" s="34">
        <v>0</v>
      </c>
      <c r="L79" s="35" t="s">
        <v>0</v>
      </c>
      <c r="M79" s="50" t="s">
        <v>264</v>
      </c>
      <c r="N79" s="35"/>
      <c r="O79" s="35"/>
      <c r="P79" s="35"/>
      <c r="Q79" s="35"/>
      <c r="R79" s="52"/>
      <c r="S79" s="35"/>
      <c r="T79" s="35"/>
      <c r="U79" s="35"/>
      <c r="V79" s="35"/>
      <c r="W79" s="35"/>
      <c r="X79" s="35"/>
      <c r="Y79" s="35"/>
      <c r="Z79" s="35"/>
    </row>
    <row r="80" spans="1:26" s="19" customFormat="1" outlineLevel="1">
      <c r="A80" s="33" t="s">
        <v>419</v>
      </c>
      <c r="B80" s="34">
        <f>COUNTA($B$1:B79)</f>
        <v>74</v>
      </c>
      <c r="C80" s="35" t="s">
        <v>262</v>
      </c>
      <c r="D80" s="35"/>
      <c r="E80" s="35"/>
      <c r="F80" s="34"/>
      <c r="G80" s="35" t="s">
        <v>133</v>
      </c>
      <c r="H80" s="35"/>
      <c r="I80" s="35"/>
      <c r="J80" s="35"/>
      <c r="K80" s="34">
        <v>0</v>
      </c>
      <c r="L80" s="35" t="s">
        <v>96</v>
      </c>
      <c r="M80" s="35"/>
      <c r="N80" s="35"/>
      <c r="O80" s="35"/>
      <c r="P80" s="35"/>
      <c r="Q80" s="35"/>
      <c r="R80" s="52"/>
      <c r="S80" s="35"/>
      <c r="T80" s="35"/>
      <c r="U80" s="35"/>
      <c r="V80" s="35"/>
      <c r="W80" s="35"/>
      <c r="X80" s="35"/>
      <c r="Y80" s="35"/>
      <c r="Z80" s="35"/>
    </row>
    <row r="81" spans="1:26" s="17" customFormat="1">
      <c r="A81" s="33" t="s">
        <v>419</v>
      </c>
      <c r="B81" s="34">
        <f>COUNTA($B$1:B80)</f>
        <v>75</v>
      </c>
      <c r="C81" s="35" t="s">
        <v>262</v>
      </c>
      <c r="D81" s="35"/>
      <c r="E81" s="35"/>
      <c r="F81" s="34"/>
      <c r="G81" s="35" t="s">
        <v>133</v>
      </c>
      <c r="H81" s="35"/>
      <c r="I81" s="35"/>
      <c r="J81" s="35"/>
      <c r="K81" s="34">
        <v>2</v>
      </c>
      <c r="L81" s="35" t="s">
        <v>95</v>
      </c>
      <c r="M81" s="35"/>
      <c r="N81" s="35"/>
      <c r="O81" s="35"/>
      <c r="P81" s="35"/>
      <c r="Q81" s="35"/>
      <c r="R81" s="52"/>
      <c r="S81" s="35"/>
      <c r="T81" s="35"/>
      <c r="U81" s="35"/>
      <c r="V81" s="35"/>
      <c r="W81" s="35"/>
      <c r="X81" s="35"/>
      <c r="Y81" s="35"/>
      <c r="Z81" s="35"/>
    </row>
    <row r="82" spans="1:26" s="19" customFormat="1" outlineLevel="1">
      <c r="A82" s="217" t="s">
        <v>21</v>
      </c>
      <c r="B82" s="218">
        <f>COUNTA($B$1:B81)</f>
        <v>76</v>
      </c>
      <c r="C82" s="219" t="s">
        <v>226</v>
      </c>
      <c r="D82" s="51"/>
      <c r="E82" s="52"/>
      <c r="F82" s="34"/>
      <c r="G82" s="35" t="s">
        <v>133</v>
      </c>
      <c r="H82" s="35"/>
      <c r="I82" s="35"/>
      <c r="J82" s="35"/>
      <c r="K82" s="34"/>
      <c r="L82" s="35" t="s">
        <v>227</v>
      </c>
      <c r="M82" s="36" t="s">
        <v>79</v>
      </c>
      <c r="N82" s="35"/>
      <c r="O82" s="35"/>
      <c r="P82" s="35"/>
      <c r="Q82" s="35"/>
      <c r="R82" s="35"/>
      <c r="S82" s="52"/>
      <c r="T82" s="35"/>
      <c r="U82" s="35"/>
      <c r="V82" s="35"/>
      <c r="W82" s="35"/>
      <c r="X82" s="52"/>
      <c r="Y82" s="52"/>
      <c r="Z82" s="52"/>
    </row>
    <row r="83" spans="1:26" s="19" customFormat="1" outlineLevel="1">
      <c r="A83" s="217" t="s">
        <v>21</v>
      </c>
      <c r="B83" s="218">
        <f>COUNTA($B$1:B82)</f>
        <v>77</v>
      </c>
      <c r="C83" s="219" t="s">
        <v>265</v>
      </c>
      <c r="D83" s="35"/>
      <c r="E83" s="35"/>
      <c r="F83" s="34"/>
      <c r="G83" s="35" t="s">
        <v>133</v>
      </c>
      <c r="H83" s="35"/>
      <c r="I83" s="35"/>
      <c r="J83" s="35"/>
      <c r="K83" s="34"/>
      <c r="L83" s="35" t="s">
        <v>227</v>
      </c>
      <c r="M83" s="50" t="s">
        <v>266</v>
      </c>
      <c r="N83" s="35"/>
      <c r="O83" s="35"/>
      <c r="P83" s="35"/>
      <c r="Q83" s="35"/>
      <c r="R83" s="52"/>
      <c r="S83" s="35"/>
      <c r="T83" s="35"/>
      <c r="U83" s="35"/>
      <c r="V83" s="35"/>
      <c r="W83" s="35"/>
      <c r="X83" s="35"/>
      <c r="Y83" s="35"/>
      <c r="Z83" s="35"/>
    </row>
    <row r="84" spans="1:26" s="17" customFormat="1">
      <c r="A84" s="217" t="s">
        <v>21</v>
      </c>
      <c r="B84" s="218">
        <f>COUNTA($B$1:B83)</f>
        <v>78</v>
      </c>
      <c r="C84" s="219" t="s">
        <v>267</v>
      </c>
      <c r="D84" s="35"/>
      <c r="E84" s="35"/>
      <c r="F84" s="34"/>
      <c r="G84" s="35" t="s">
        <v>133</v>
      </c>
      <c r="H84" s="35"/>
      <c r="I84" s="35"/>
      <c r="J84" s="35"/>
      <c r="K84" s="34"/>
      <c r="L84" s="35" t="s">
        <v>227</v>
      </c>
      <c r="M84" s="50" t="s">
        <v>268</v>
      </c>
      <c r="N84" s="35"/>
      <c r="O84" s="35"/>
      <c r="P84" s="35"/>
      <c r="Q84" s="35"/>
      <c r="R84" s="52"/>
      <c r="S84" s="35"/>
      <c r="T84" s="35"/>
      <c r="U84" s="35"/>
      <c r="V84" s="35"/>
      <c r="W84" s="35"/>
      <c r="X84" s="35"/>
      <c r="Y84" s="35"/>
      <c r="Z84" s="35"/>
    </row>
    <row r="85" spans="1:26" s="19" customFormat="1" outlineLevel="1">
      <c r="A85" s="33" t="s">
        <v>419</v>
      </c>
      <c r="B85" s="34">
        <f>COUNTA($B$1:B84)</f>
        <v>79</v>
      </c>
      <c r="C85" s="35" t="s">
        <v>948</v>
      </c>
      <c r="D85" s="35"/>
      <c r="E85" s="35"/>
      <c r="F85" s="34"/>
      <c r="G85" s="35" t="s">
        <v>133</v>
      </c>
      <c r="H85" s="35"/>
      <c r="I85" s="35" t="s">
        <v>55</v>
      </c>
      <c r="J85" s="35" t="s">
        <v>949</v>
      </c>
      <c r="K85" s="34">
        <v>0</v>
      </c>
      <c r="L85" s="35" t="s">
        <v>34</v>
      </c>
      <c r="M85" s="35"/>
      <c r="N85" s="35"/>
      <c r="O85" s="35"/>
      <c r="P85" s="35"/>
      <c r="Q85" s="35"/>
      <c r="R85" s="35"/>
      <c r="S85" s="35"/>
      <c r="T85" s="35"/>
      <c r="U85" s="35"/>
      <c r="V85" s="35"/>
      <c r="W85" s="35"/>
      <c r="X85" s="35"/>
      <c r="Y85" s="35"/>
      <c r="Z85" s="35"/>
    </row>
    <row r="86" spans="1:26" s="19" customFormat="1" outlineLevel="1">
      <c r="A86" s="33" t="s">
        <v>419</v>
      </c>
      <c r="B86" s="34">
        <f>COUNTA($B$1:B85)</f>
        <v>80</v>
      </c>
      <c r="C86" s="35" t="s">
        <v>67</v>
      </c>
      <c r="D86" s="35"/>
      <c r="E86" s="35"/>
      <c r="F86" s="34"/>
      <c r="G86" s="35" t="s">
        <v>133</v>
      </c>
      <c r="H86" s="35"/>
      <c r="I86" s="35"/>
      <c r="J86" s="35"/>
      <c r="K86" s="34"/>
      <c r="L86" s="35" t="s">
        <v>67</v>
      </c>
      <c r="M86" s="36">
        <v>2</v>
      </c>
      <c r="N86" s="35"/>
      <c r="O86" s="35"/>
      <c r="P86" s="35"/>
      <c r="Q86" s="35"/>
      <c r="R86" s="35"/>
      <c r="S86" s="35"/>
      <c r="T86" s="35"/>
      <c r="U86" s="35"/>
      <c r="V86" s="35"/>
      <c r="W86" s="35"/>
      <c r="X86" s="35"/>
      <c r="Y86" s="35"/>
      <c r="Z86" s="35"/>
    </row>
    <row r="87" spans="1:26" s="19" customFormat="1" outlineLevel="1">
      <c r="A87" s="33" t="s">
        <v>419</v>
      </c>
      <c r="B87" s="34">
        <f>COUNTA($B$1:B86)</f>
        <v>81</v>
      </c>
      <c r="C87" s="35" t="s">
        <v>952</v>
      </c>
      <c r="D87" s="35"/>
      <c r="E87" s="35"/>
      <c r="F87" s="34"/>
      <c r="G87" s="35" t="s">
        <v>133</v>
      </c>
      <c r="H87" s="35"/>
      <c r="I87" s="35" t="s">
        <v>55</v>
      </c>
      <c r="J87" s="35" t="s">
        <v>949</v>
      </c>
      <c r="K87" s="34">
        <v>0</v>
      </c>
      <c r="L87" s="35" t="s">
        <v>951</v>
      </c>
      <c r="M87" s="50" t="s">
        <v>266</v>
      </c>
      <c r="N87" s="35"/>
      <c r="O87" s="35"/>
      <c r="P87" s="35"/>
      <c r="Q87" s="35"/>
      <c r="R87" s="35"/>
      <c r="S87" s="35"/>
      <c r="T87" s="35"/>
      <c r="U87" s="35"/>
      <c r="V87" s="35"/>
      <c r="W87" s="35"/>
      <c r="X87" s="35"/>
      <c r="Y87" s="35"/>
      <c r="Z87" s="35"/>
    </row>
    <row r="88" spans="1:26" s="19" customFormat="1" outlineLevel="1">
      <c r="A88" s="33" t="s">
        <v>419</v>
      </c>
      <c r="B88" s="34">
        <f>COUNTA($B$1:B87)</f>
        <v>82</v>
      </c>
      <c r="C88" s="35" t="s">
        <v>953</v>
      </c>
      <c r="D88" s="35"/>
      <c r="E88" s="35"/>
      <c r="F88" s="34"/>
      <c r="G88" s="35" t="s">
        <v>133</v>
      </c>
      <c r="H88" s="35"/>
      <c r="I88" s="35" t="s">
        <v>55</v>
      </c>
      <c r="J88" s="35" t="s">
        <v>949</v>
      </c>
      <c r="K88" s="34">
        <v>0</v>
      </c>
      <c r="L88" s="35" t="s">
        <v>951</v>
      </c>
      <c r="M88" s="50" t="s">
        <v>268</v>
      </c>
      <c r="N88" s="35"/>
      <c r="O88" s="35"/>
      <c r="P88" s="35"/>
      <c r="Q88" s="35"/>
      <c r="R88" s="35"/>
      <c r="S88" s="35"/>
      <c r="T88" s="35"/>
      <c r="U88" s="35"/>
      <c r="V88" s="35"/>
      <c r="W88" s="35"/>
      <c r="X88" s="35"/>
      <c r="Y88" s="35"/>
      <c r="Z88" s="35"/>
    </row>
    <row r="89" spans="1:26" s="19" customFormat="1" outlineLevel="1">
      <c r="A89" s="33" t="s">
        <v>419</v>
      </c>
      <c r="B89" s="34">
        <f>COUNTA($B$1:B88)</f>
        <v>83</v>
      </c>
      <c r="C89" s="35" t="s">
        <v>67</v>
      </c>
      <c r="D89" s="35"/>
      <c r="E89" s="35"/>
      <c r="F89" s="34"/>
      <c r="G89" s="35" t="s">
        <v>133</v>
      </c>
      <c r="H89" s="35"/>
      <c r="I89" s="35"/>
      <c r="J89" s="35"/>
      <c r="K89" s="34"/>
      <c r="L89" s="35" t="s">
        <v>67</v>
      </c>
      <c r="M89" s="36">
        <v>2</v>
      </c>
      <c r="N89" s="35"/>
      <c r="O89" s="35"/>
      <c r="P89" s="35"/>
      <c r="Q89" s="35"/>
      <c r="R89" s="35"/>
      <c r="S89" s="35"/>
      <c r="T89" s="35"/>
      <c r="U89" s="35"/>
      <c r="V89" s="35"/>
      <c r="W89" s="35"/>
      <c r="X89" s="35"/>
      <c r="Y89" s="35"/>
      <c r="Z89" s="35"/>
    </row>
    <row r="90" spans="1:26" s="19" customFormat="1" outlineLevel="1">
      <c r="A90" s="33" t="s">
        <v>419</v>
      </c>
      <c r="B90" s="34">
        <f>COUNTA($B$1:B89)</f>
        <v>84</v>
      </c>
      <c r="C90" s="35" t="s">
        <v>262</v>
      </c>
      <c r="D90" s="35"/>
      <c r="E90" s="35"/>
      <c r="F90" s="34"/>
      <c r="G90" s="35" t="s">
        <v>133</v>
      </c>
      <c r="H90" s="35"/>
      <c r="I90" s="35"/>
      <c r="J90" s="35"/>
      <c r="K90" s="34">
        <v>0</v>
      </c>
      <c r="L90" s="35" t="s">
        <v>96</v>
      </c>
      <c r="M90" s="35"/>
      <c r="N90" s="35"/>
      <c r="O90" s="35"/>
      <c r="P90" s="35"/>
      <c r="Q90" s="35"/>
      <c r="R90" s="52"/>
      <c r="S90" s="35"/>
      <c r="T90" s="35"/>
      <c r="U90" s="35"/>
      <c r="V90" s="35"/>
      <c r="W90" s="35"/>
      <c r="X90" s="35"/>
      <c r="Y90" s="35"/>
      <c r="Z90" s="35"/>
    </row>
    <row r="91" spans="1:26" s="19" customFormat="1" outlineLevel="1">
      <c r="A91" s="33" t="s">
        <v>419</v>
      </c>
      <c r="B91" s="34">
        <f>COUNTA($B$1:B90)</f>
        <v>85</v>
      </c>
      <c r="C91" s="35" t="s">
        <v>67</v>
      </c>
      <c r="D91" s="35"/>
      <c r="E91" s="35"/>
      <c r="F91" s="34"/>
      <c r="G91" s="35" t="s">
        <v>133</v>
      </c>
      <c r="H91" s="35"/>
      <c r="I91" s="35"/>
      <c r="J91" s="35"/>
      <c r="K91" s="34"/>
      <c r="L91" s="35" t="s">
        <v>67</v>
      </c>
      <c r="M91" s="36">
        <v>2</v>
      </c>
      <c r="N91" s="35"/>
      <c r="O91" s="35"/>
      <c r="P91" s="35"/>
      <c r="Q91" s="35"/>
      <c r="R91" s="36"/>
      <c r="S91" s="35"/>
      <c r="T91" s="35"/>
      <c r="U91" s="35"/>
      <c r="V91" s="35"/>
      <c r="W91" s="35"/>
      <c r="X91" s="35"/>
      <c r="Y91" s="35"/>
      <c r="Z91" s="35"/>
    </row>
    <row r="92" spans="1:26" s="17" customFormat="1">
      <c r="A92" s="33" t="s">
        <v>419</v>
      </c>
      <c r="B92" s="34">
        <f>COUNTA($B$1:B91)</f>
        <v>86</v>
      </c>
      <c r="C92" s="35" t="s">
        <v>436</v>
      </c>
      <c r="D92" s="35"/>
      <c r="E92" s="35"/>
      <c r="F92" s="34"/>
      <c r="G92" s="35" t="s">
        <v>133</v>
      </c>
      <c r="H92" s="35"/>
      <c r="I92" s="35" t="s">
        <v>55</v>
      </c>
      <c r="J92" s="35" t="s">
        <v>437</v>
      </c>
      <c r="K92" s="34"/>
      <c r="L92" s="35" t="s">
        <v>147</v>
      </c>
      <c r="M92" s="36"/>
      <c r="N92" s="35"/>
      <c r="O92" s="35"/>
      <c r="P92" s="35"/>
      <c r="Q92" s="35"/>
      <c r="R92" s="36"/>
      <c r="S92" s="35"/>
      <c r="T92" s="35"/>
      <c r="U92" s="35"/>
      <c r="V92" s="35"/>
      <c r="W92" s="35"/>
      <c r="X92" s="35"/>
      <c r="Y92" s="35"/>
      <c r="Z92" s="35"/>
    </row>
    <row r="93" spans="1:26" s="19" customFormat="1" outlineLevel="1">
      <c r="A93" s="6"/>
      <c r="B93" s="34">
        <f>COUNTA($B$1:B92)</f>
        <v>87</v>
      </c>
      <c r="C93" s="65"/>
      <c r="D93" s="65"/>
      <c r="E93" s="65"/>
      <c r="F93" s="65"/>
      <c r="G93" s="65"/>
      <c r="H93" s="65"/>
      <c r="I93" s="65"/>
      <c r="J93" s="65"/>
      <c r="K93" s="66"/>
      <c r="L93" s="65"/>
      <c r="M93" s="65"/>
      <c r="N93" s="65"/>
      <c r="O93" s="65"/>
      <c r="P93" s="65"/>
      <c r="Q93" s="65"/>
      <c r="R93" s="65"/>
      <c r="S93" s="65"/>
      <c r="T93" s="65"/>
      <c r="U93" s="65"/>
      <c r="V93" s="65"/>
      <c r="W93" s="65"/>
      <c r="X93" s="65"/>
      <c r="Y93" s="65"/>
      <c r="Z93" s="65"/>
    </row>
    <row r="94" spans="1:26" s="19" customFormat="1" outlineLevel="1">
      <c r="A94" s="6"/>
      <c r="B94" s="34">
        <f>COUNTA($B$1:B93)</f>
        <v>88</v>
      </c>
      <c r="C94" s="65"/>
      <c r="D94" s="65"/>
      <c r="E94" s="65"/>
      <c r="F94" s="65"/>
      <c r="G94" s="65"/>
      <c r="H94" s="65"/>
      <c r="I94" s="65"/>
      <c r="J94" s="65"/>
      <c r="K94" s="66"/>
      <c r="L94" s="65"/>
      <c r="M94" s="65"/>
      <c r="N94" s="65"/>
      <c r="O94" s="65"/>
      <c r="P94" s="65"/>
      <c r="Q94" s="65"/>
      <c r="R94" s="65"/>
      <c r="S94" s="65"/>
      <c r="T94" s="65"/>
      <c r="U94" s="65"/>
      <c r="V94" s="65"/>
      <c r="W94" s="65"/>
      <c r="X94" s="65"/>
      <c r="Y94" s="65"/>
      <c r="Z94" s="65"/>
    </row>
    <row r="95" spans="1:26" s="17" customFormat="1">
      <c r="A95" s="67" t="s">
        <v>438</v>
      </c>
      <c r="B95" s="67"/>
      <c r="C95" s="67"/>
      <c r="D95" s="67"/>
      <c r="E95" s="67"/>
      <c r="F95" s="67"/>
      <c r="G95" s="67"/>
      <c r="H95" s="67"/>
      <c r="I95" s="67"/>
      <c r="J95" s="67"/>
      <c r="K95" s="68"/>
      <c r="L95" s="67"/>
      <c r="M95" s="67"/>
      <c r="N95" s="67"/>
      <c r="O95" s="67"/>
      <c r="P95" s="67"/>
      <c r="Q95" s="67"/>
      <c r="R95" s="67"/>
      <c r="S95" s="67"/>
      <c r="T95" s="67"/>
      <c r="U95" s="67"/>
      <c r="V95" s="67"/>
      <c r="W95" s="67"/>
      <c r="X95" s="67"/>
      <c r="Y95" s="67"/>
      <c r="Z95" s="67"/>
    </row>
    <row r="96" spans="1:26" s="19" customFormat="1" outlineLevel="1">
      <c r="A96" s="30" t="s">
        <v>135</v>
      </c>
      <c r="B96" s="31"/>
      <c r="C96" s="31"/>
      <c r="D96" s="32"/>
      <c r="E96" s="32"/>
      <c r="F96" s="31"/>
      <c r="G96" s="32"/>
      <c r="H96" s="32"/>
      <c r="I96" s="32"/>
      <c r="J96" s="32"/>
      <c r="K96" s="31"/>
      <c r="L96" s="32"/>
      <c r="M96" s="32"/>
      <c r="N96" s="32"/>
      <c r="O96" s="32"/>
      <c r="P96" s="32"/>
      <c r="Q96" s="32"/>
      <c r="R96" s="32"/>
      <c r="S96" s="32"/>
      <c r="T96" s="32"/>
      <c r="U96" s="32"/>
      <c r="V96" s="32"/>
      <c r="W96" s="32"/>
      <c r="X96" s="32"/>
      <c r="Y96" s="32"/>
      <c r="Z96" s="32"/>
    </row>
    <row r="97" spans="1:26" s="19" customFormat="1" outlineLevel="1">
      <c r="A97" s="33" t="s">
        <v>419</v>
      </c>
      <c r="B97" s="34">
        <f>COUNTA($B$1:B96)</f>
        <v>89</v>
      </c>
      <c r="C97" s="41" t="s">
        <v>136</v>
      </c>
      <c r="D97" s="41"/>
      <c r="E97" s="41"/>
      <c r="F97" s="42"/>
      <c r="G97" s="35" t="s">
        <v>133</v>
      </c>
      <c r="H97" s="41"/>
      <c r="I97" s="41"/>
      <c r="J97" s="41"/>
      <c r="K97" s="42"/>
      <c r="L97" s="43" t="s">
        <v>137</v>
      </c>
      <c r="M97" s="44" t="s">
        <v>138</v>
      </c>
      <c r="N97" s="41"/>
      <c r="O97" s="41"/>
      <c r="P97" s="41"/>
      <c r="Q97" s="42"/>
      <c r="R97" s="41"/>
      <c r="S97" s="41"/>
      <c r="T97" s="41"/>
      <c r="U97" s="41"/>
      <c r="V97" s="41"/>
      <c r="W97" s="41" t="s">
        <v>139</v>
      </c>
      <c r="X97" s="41"/>
      <c r="Y97" s="41"/>
      <c r="Z97" s="41"/>
    </row>
    <row r="98" spans="1:26" s="19" customFormat="1" outlineLevel="1">
      <c r="A98" s="33" t="s">
        <v>419</v>
      </c>
      <c r="B98" s="34">
        <f>COUNTA($B$1:B97)</f>
        <v>90</v>
      </c>
      <c r="C98" s="35" t="s">
        <v>67</v>
      </c>
      <c r="D98" s="35"/>
      <c r="E98" s="35"/>
      <c r="F98" s="34"/>
      <c r="G98" s="35" t="s">
        <v>133</v>
      </c>
      <c r="H98" s="35"/>
      <c r="I98" s="35"/>
      <c r="J98" s="35"/>
      <c r="K98" s="34"/>
      <c r="L98" s="35" t="s">
        <v>67</v>
      </c>
      <c r="M98" s="36">
        <v>3</v>
      </c>
      <c r="N98" s="35"/>
      <c r="O98" s="35"/>
      <c r="P98" s="35"/>
      <c r="Q98" s="35"/>
      <c r="R98" s="36"/>
      <c r="S98" s="35"/>
      <c r="T98" s="35"/>
      <c r="U98" s="35"/>
      <c r="V98" s="35"/>
      <c r="W98" s="35"/>
      <c r="X98" s="35"/>
      <c r="Y98" s="35"/>
      <c r="Z98" s="35"/>
    </row>
    <row r="99" spans="1:26" s="17" customFormat="1">
      <c r="A99" s="33" t="s">
        <v>21</v>
      </c>
      <c r="B99" s="34">
        <f>COUNTA($B$1:B98)</f>
        <v>91</v>
      </c>
      <c r="C99" s="35" t="s">
        <v>102</v>
      </c>
      <c r="D99" s="35"/>
      <c r="E99" s="35"/>
      <c r="F99" s="34"/>
      <c r="G99" s="35" t="s">
        <v>133</v>
      </c>
      <c r="H99" s="35"/>
      <c r="I99" s="35" t="s">
        <v>55</v>
      </c>
      <c r="J99" s="35" t="str">
        <f>"//label[contains(.,'"&amp;W97&amp;"')]"</f>
        <v>//label[contains(.,'tripType')]</v>
      </c>
      <c r="K99" s="34">
        <v>0</v>
      </c>
      <c r="L99" s="35" t="s">
        <v>147</v>
      </c>
      <c r="M99" s="35"/>
      <c r="N99" s="35"/>
      <c r="O99" s="35"/>
      <c r="P99" s="35"/>
      <c r="Q99" s="35"/>
      <c r="R99" s="35"/>
      <c r="S99" s="35"/>
      <c r="T99" s="35"/>
      <c r="U99" s="35"/>
      <c r="V99" s="35"/>
      <c r="W99" s="35"/>
      <c r="X99" s="35"/>
      <c r="Y99" s="35"/>
      <c r="Z99" s="35"/>
    </row>
    <row r="100" spans="1:26" s="19" customFormat="1" outlineLevel="1">
      <c r="A100" s="33" t="s">
        <v>419</v>
      </c>
      <c r="B100" s="34">
        <f>COUNTA($B$1:B99)</f>
        <v>92</v>
      </c>
      <c r="C100" s="35" t="s">
        <v>148</v>
      </c>
      <c r="D100" s="35"/>
      <c r="E100" s="35"/>
      <c r="F100" s="34"/>
      <c r="G100" s="35" t="s">
        <v>133</v>
      </c>
      <c r="H100" s="35"/>
      <c r="I100" s="35" t="s">
        <v>55</v>
      </c>
      <c r="J100" s="35" t="s">
        <v>439</v>
      </c>
      <c r="K100" s="34">
        <v>0</v>
      </c>
      <c r="L100" s="35" t="s">
        <v>34</v>
      </c>
      <c r="M100" s="35"/>
      <c r="N100" s="35"/>
      <c r="O100" s="35"/>
      <c r="P100" s="35"/>
      <c r="Q100" s="35"/>
      <c r="R100" s="35"/>
      <c r="S100" s="35"/>
      <c r="T100" s="35"/>
      <c r="U100" s="35"/>
      <c r="V100" s="35"/>
      <c r="W100" s="35"/>
      <c r="X100" s="35"/>
      <c r="Y100" s="35"/>
      <c r="Z100" s="35"/>
    </row>
    <row r="101" spans="1:26" s="19" customFormat="1" outlineLevel="1">
      <c r="A101" s="33" t="s">
        <v>419</v>
      </c>
      <c r="B101" s="34">
        <f>COUNTA($B$1:B100)</f>
        <v>93</v>
      </c>
      <c r="C101" s="35" t="s">
        <v>67</v>
      </c>
      <c r="D101" s="35"/>
      <c r="E101" s="35"/>
      <c r="F101" s="34"/>
      <c r="G101" s="35" t="s">
        <v>133</v>
      </c>
      <c r="H101" s="35"/>
      <c r="I101" s="35"/>
      <c r="J101" s="35"/>
      <c r="K101" s="34"/>
      <c r="L101" s="35" t="s">
        <v>67</v>
      </c>
      <c r="M101" s="36">
        <v>2</v>
      </c>
      <c r="N101" s="35"/>
      <c r="O101" s="35"/>
      <c r="P101" s="35"/>
      <c r="Q101" s="35"/>
      <c r="R101" s="35"/>
      <c r="S101" s="35"/>
      <c r="T101" s="35"/>
      <c r="U101" s="35"/>
      <c r="V101" s="35"/>
      <c r="W101" s="35"/>
      <c r="X101" s="35"/>
      <c r="Y101" s="35"/>
      <c r="Z101" s="35"/>
    </row>
    <row r="102" spans="1:26" s="17" customFormat="1">
      <c r="A102" s="33" t="s">
        <v>419</v>
      </c>
      <c r="B102" s="34">
        <f>COUNTA($B$1:B101)</f>
        <v>94</v>
      </c>
      <c r="C102" s="35" t="s">
        <v>150</v>
      </c>
      <c r="D102" s="35"/>
      <c r="E102" s="35"/>
      <c r="F102" s="34"/>
      <c r="G102" s="35" t="s">
        <v>133</v>
      </c>
      <c r="H102" s="35"/>
      <c r="I102" s="35" t="s">
        <v>55</v>
      </c>
      <c r="J102" s="35" t="s">
        <v>273</v>
      </c>
      <c r="K102" s="34">
        <v>0</v>
      </c>
      <c r="L102" s="35" t="s">
        <v>151</v>
      </c>
      <c r="M102" s="50" t="s">
        <v>274</v>
      </c>
      <c r="N102" s="35"/>
      <c r="O102" s="35"/>
      <c r="P102" s="35"/>
      <c r="Q102" s="35"/>
      <c r="R102" s="35"/>
      <c r="S102" s="35"/>
      <c r="T102" s="35"/>
      <c r="U102" s="35"/>
      <c r="V102" s="35"/>
      <c r="W102" s="35"/>
      <c r="X102" s="35"/>
      <c r="Y102" s="35"/>
      <c r="Z102" s="35"/>
    </row>
    <row r="103" spans="1:26" s="19" customFormat="1" outlineLevel="1">
      <c r="A103" s="33" t="s">
        <v>419</v>
      </c>
      <c r="B103" s="34">
        <f>COUNTA($B$1:B102)</f>
        <v>95</v>
      </c>
      <c r="C103" s="35" t="s">
        <v>67</v>
      </c>
      <c r="D103" s="35"/>
      <c r="E103" s="35"/>
      <c r="F103" s="34"/>
      <c r="G103" s="35" t="s">
        <v>133</v>
      </c>
      <c r="H103" s="35"/>
      <c r="I103" s="35"/>
      <c r="J103" s="35"/>
      <c r="K103" s="34"/>
      <c r="L103" s="35" t="s">
        <v>67</v>
      </c>
      <c r="M103" s="36">
        <v>2</v>
      </c>
      <c r="N103" s="35"/>
      <c r="O103" s="35"/>
      <c r="P103" s="35"/>
      <c r="Q103" s="35"/>
      <c r="R103" s="35"/>
      <c r="S103" s="35"/>
      <c r="T103" s="35"/>
      <c r="U103" s="35"/>
      <c r="V103" s="35"/>
      <c r="W103" s="35"/>
      <c r="X103" s="35"/>
      <c r="Y103" s="35"/>
      <c r="Z103" s="35"/>
    </row>
    <row r="104" spans="1:26" s="19" customFormat="1" outlineLevel="1">
      <c r="A104" s="33" t="s">
        <v>419</v>
      </c>
      <c r="B104" s="34">
        <f>COUNTA($B$1:B103)</f>
        <v>96</v>
      </c>
      <c r="C104" s="35" t="s">
        <v>148</v>
      </c>
      <c r="D104" s="35"/>
      <c r="E104" s="35"/>
      <c r="F104" s="42"/>
      <c r="G104" s="35" t="s">
        <v>133</v>
      </c>
      <c r="H104" s="35"/>
      <c r="I104" s="35" t="s">
        <v>55</v>
      </c>
      <c r="J104" s="35" t="str">
        <f>"//a[contains(.,'"&amp;M102&amp;"')]"</f>
        <v>//a[contains(.,'Destination1')]</v>
      </c>
      <c r="K104" s="34">
        <v>0</v>
      </c>
      <c r="L104" s="35" t="s">
        <v>147</v>
      </c>
      <c r="M104" s="35"/>
      <c r="N104" s="35"/>
      <c r="O104" s="35"/>
      <c r="P104" s="35"/>
      <c r="Q104" s="35"/>
      <c r="R104" s="35"/>
      <c r="S104" s="35"/>
      <c r="T104" s="35"/>
      <c r="U104" s="35"/>
      <c r="V104" s="35"/>
      <c r="W104" s="35"/>
      <c r="X104" s="35"/>
      <c r="Y104" s="35"/>
      <c r="Z104" s="35"/>
    </row>
    <row r="105" spans="1:26" s="17" customFormat="1">
      <c r="A105" s="33" t="s">
        <v>419</v>
      </c>
      <c r="B105" s="34">
        <f>COUNTA($B$1:B104)</f>
        <v>97</v>
      </c>
      <c r="C105" s="35" t="s">
        <v>153</v>
      </c>
      <c r="D105" s="51"/>
      <c r="E105" s="52" t="s">
        <v>154</v>
      </c>
      <c r="F105" s="38"/>
      <c r="G105" s="35" t="s">
        <v>133</v>
      </c>
      <c r="H105" s="35"/>
      <c r="I105" s="35" t="s">
        <v>55</v>
      </c>
      <c r="J105" s="35" t="s">
        <v>81</v>
      </c>
      <c r="K105" s="34">
        <v>0</v>
      </c>
      <c r="L105" s="35" t="s">
        <v>0</v>
      </c>
      <c r="M105" s="50" t="s">
        <v>440</v>
      </c>
      <c r="N105" s="35"/>
      <c r="O105" s="35"/>
      <c r="P105" s="35"/>
      <c r="Q105" s="35"/>
      <c r="R105" s="35"/>
      <c r="S105" s="52"/>
      <c r="T105" s="35"/>
      <c r="U105" s="35"/>
      <c r="V105" s="35"/>
      <c r="W105" s="35"/>
      <c r="X105" s="52"/>
      <c r="Y105" s="52"/>
      <c r="Z105" s="52"/>
    </row>
    <row r="106" spans="1:26" s="19" customFormat="1" outlineLevel="1">
      <c r="A106" s="33" t="s">
        <v>419</v>
      </c>
      <c r="B106" s="34">
        <f>COUNTA($B$1:B105)</f>
        <v>98</v>
      </c>
      <c r="C106" s="35" t="s">
        <v>156</v>
      </c>
      <c r="D106" s="51"/>
      <c r="E106" s="52" t="s">
        <v>154</v>
      </c>
      <c r="F106" s="38"/>
      <c r="G106" s="35" t="s">
        <v>133</v>
      </c>
      <c r="H106" s="35"/>
      <c r="I106" s="35" t="s">
        <v>55</v>
      </c>
      <c r="J106" s="35" t="s">
        <v>82</v>
      </c>
      <c r="K106" s="34">
        <v>0</v>
      </c>
      <c r="L106" s="35" t="s">
        <v>0</v>
      </c>
      <c r="M106" s="50" t="s">
        <v>441</v>
      </c>
      <c r="N106" s="35"/>
      <c r="O106" s="35"/>
      <c r="P106" s="35"/>
      <c r="Q106" s="35"/>
      <c r="R106" s="35"/>
      <c r="S106" s="52"/>
      <c r="T106" s="35"/>
      <c r="U106" s="35"/>
      <c r="V106" s="35"/>
      <c r="W106" s="35"/>
      <c r="X106" s="52"/>
      <c r="Y106" s="52"/>
      <c r="Z106" s="52"/>
    </row>
    <row r="107" spans="1:26" s="19" customFormat="1" outlineLevel="1">
      <c r="A107" s="33" t="s">
        <v>419</v>
      </c>
      <c r="B107" s="34">
        <f>COUNTA($B$1:B106)</f>
        <v>99</v>
      </c>
      <c r="C107" s="35" t="s">
        <v>158</v>
      </c>
      <c r="D107" s="51"/>
      <c r="E107" s="52" t="s">
        <v>154</v>
      </c>
      <c r="F107" s="38"/>
      <c r="G107" s="35" t="s">
        <v>133</v>
      </c>
      <c r="H107" s="35"/>
      <c r="I107" s="35" t="s">
        <v>55</v>
      </c>
      <c r="J107" s="35" t="s">
        <v>159</v>
      </c>
      <c r="K107" s="34">
        <v>0</v>
      </c>
      <c r="L107" s="35" t="s">
        <v>0</v>
      </c>
      <c r="M107" s="50" t="s">
        <v>160</v>
      </c>
      <c r="N107" s="35"/>
      <c r="O107" s="35"/>
      <c r="P107" s="35"/>
      <c r="Q107" s="35"/>
      <c r="R107" s="35"/>
      <c r="S107" s="52"/>
      <c r="T107" s="35"/>
      <c r="U107" s="35"/>
      <c r="V107" s="35"/>
      <c r="W107" s="35"/>
      <c r="X107" s="52"/>
      <c r="Y107" s="52"/>
      <c r="Z107" s="52"/>
    </row>
    <row r="108" spans="1:26" s="17" customFormat="1">
      <c r="A108" s="33" t="s">
        <v>419</v>
      </c>
      <c r="B108" s="34">
        <f>COUNTA($B$1:B107)</f>
        <v>100</v>
      </c>
      <c r="C108" s="35" t="s">
        <v>161</v>
      </c>
      <c r="D108" s="35"/>
      <c r="E108" s="35"/>
      <c r="F108" s="34"/>
      <c r="G108" s="35" t="s">
        <v>133</v>
      </c>
      <c r="H108" s="35"/>
      <c r="I108" s="35" t="s">
        <v>55</v>
      </c>
      <c r="J108" s="35" t="s">
        <v>442</v>
      </c>
      <c r="K108" s="34">
        <v>0</v>
      </c>
      <c r="L108" s="35" t="s">
        <v>34</v>
      </c>
      <c r="M108" s="35"/>
      <c r="N108" s="35"/>
      <c r="O108" s="35"/>
      <c r="P108" s="35"/>
      <c r="Q108" s="35"/>
      <c r="R108" s="35"/>
      <c r="S108" s="35"/>
      <c r="T108" s="35"/>
      <c r="U108" s="35"/>
      <c r="V108" s="35"/>
      <c r="W108" s="35"/>
      <c r="X108" s="35"/>
      <c r="Y108" s="35"/>
      <c r="Z108" s="35"/>
    </row>
    <row r="109" spans="1:26" s="19" customFormat="1" outlineLevel="1">
      <c r="A109" s="33" t="s">
        <v>419</v>
      </c>
      <c r="B109" s="34">
        <f>COUNTA($B$1:B108)</f>
        <v>101</v>
      </c>
      <c r="C109" s="35" t="s">
        <v>67</v>
      </c>
      <c r="D109" s="35"/>
      <c r="E109" s="35"/>
      <c r="F109" s="34"/>
      <c r="G109" s="35" t="s">
        <v>133</v>
      </c>
      <c r="H109" s="35"/>
      <c r="I109" s="35"/>
      <c r="J109" s="35"/>
      <c r="K109" s="34"/>
      <c r="L109" s="35" t="s">
        <v>67</v>
      </c>
      <c r="M109" s="36">
        <v>2</v>
      </c>
      <c r="N109" s="35"/>
      <c r="O109" s="35"/>
      <c r="P109" s="35"/>
      <c r="Q109" s="35"/>
      <c r="R109" s="35"/>
      <c r="S109" s="35"/>
      <c r="T109" s="35"/>
      <c r="U109" s="35"/>
      <c r="V109" s="35"/>
      <c r="W109" s="35"/>
      <c r="X109" s="35"/>
      <c r="Y109" s="35"/>
      <c r="Z109" s="35"/>
    </row>
    <row r="110" spans="1:26" s="19" customFormat="1" outlineLevel="1">
      <c r="A110" s="33" t="s">
        <v>419</v>
      </c>
      <c r="B110" s="34">
        <f>COUNTA($B$1:B109)</f>
        <v>102</v>
      </c>
      <c r="C110" s="35" t="s">
        <v>163</v>
      </c>
      <c r="D110" s="35"/>
      <c r="E110" s="35"/>
      <c r="F110" s="34"/>
      <c r="G110" s="35" t="s">
        <v>133</v>
      </c>
      <c r="H110" s="35"/>
      <c r="I110" s="35" t="s">
        <v>55</v>
      </c>
      <c r="J110" s="35" t="s">
        <v>277</v>
      </c>
      <c r="K110" s="34">
        <v>0</v>
      </c>
      <c r="L110" s="35" t="s">
        <v>151</v>
      </c>
      <c r="M110" s="50" t="s">
        <v>164</v>
      </c>
      <c r="N110" s="35"/>
      <c r="O110" s="35"/>
      <c r="P110" s="35"/>
      <c r="Q110" s="35"/>
      <c r="R110" s="35"/>
      <c r="S110" s="35"/>
      <c r="T110" s="35"/>
      <c r="U110" s="35"/>
      <c r="V110" s="35"/>
      <c r="W110" s="35"/>
      <c r="X110" s="35"/>
      <c r="Y110" s="35"/>
      <c r="Z110" s="35"/>
    </row>
    <row r="111" spans="1:26" s="17" customFormat="1">
      <c r="A111" s="33" t="s">
        <v>419</v>
      </c>
      <c r="B111" s="34">
        <f>COUNTA($B$1:B110)</f>
        <v>103</v>
      </c>
      <c r="C111" s="35" t="s">
        <v>67</v>
      </c>
      <c r="D111" s="35"/>
      <c r="E111" s="35"/>
      <c r="F111" s="34"/>
      <c r="G111" s="35" t="s">
        <v>133</v>
      </c>
      <c r="H111" s="35"/>
      <c r="I111" s="35"/>
      <c r="J111" s="35"/>
      <c r="K111" s="34"/>
      <c r="L111" s="35" t="s">
        <v>67</v>
      </c>
      <c r="M111" s="36">
        <v>2</v>
      </c>
      <c r="N111" s="35"/>
      <c r="O111" s="35"/>
      <c r="P111" s="35"/>
      <c r="Q111" s="35"/>
      <c r="R111" s="35"/>
      <c r="S111" s="35"/>
      <c r="T111" s="35"/>
      <c r="U111" s="35"/>
      <c r="V111" s="35"/>
      <c r="W111" s="35"/>
      <c r="X111" s="35"/>
      <c r="Y111" s="35"/>
      <c r="Z111" s="35"/>
    </row>
    <row r="112" spans="1:26" s="19" customFormat="1" outlineLevel="1">
      <c r="A112" s="33" t="s">
        <v>419</v>
      </c>
      <c r="B112" s="34">
        <f>COUNTA($B$1:B111)</f>
        <v>104</v>
      </c>
      <c r="C112" s="35" t="s">
        <v>148</v>
      </c>
      <c r="D112" s="35"/>
      <c r="E112" s="35"/>
      <c r="F112" s="42"/>
      <c r="G112" s="35" t="s">
        <v>133</v>
      </c>
      <c r="H112" s="35"/>
      <c r="I112" s="35" t="s">
        <v>55</v>
      </c>
      <c r="J112" s="35" t="str">
        <f>"//a[contains(.,'"&amp;M110&amp;"')]"</f>
        <v>//a[contains(.,'Residence')]</v>
      </c>
      <c r="K112" s="34">
        <v>0</v>
      </c>
      <c r="L112" s="35" t="s">
        <v>147</v>
      </c>
      <c r="M112" s="35"/>
      <c r="N112" s="35"/>
      <c r="O112" s="35"/>
      <c r="P112" s="35"/>
      <c r="Q112" s="35"/>
      <c r="R112" s="35"/>
      <c r="S112" s="35"/>
      <c r="T112" s="35"/>
      <c r="U112" s="35"/>
      <c r="V112" s="35"/>
      <c r="W112" s="35"/>
      <c r="X112" s="35"/>
      <c r="Y112" s="35"/>
      <c r="Z112" s="35"/>
    </row>
    <row r="113" spans="1:26" s="19" customFormat="1" outlineLevel="1">
      <c r="A113" s="33" t="s">
        <v>419</v>
      </c>
      <c r="B113" s="34">
        <f>COUNTA($B$1:B112)</f>
        <v>105</v>
      </c>
      <c r="C113" s="35" t="s">
        <v>190</v>
      </c>
      <c r="D113" s="35"/>
      <c r="E113" s="35"/>
      <c r="F113" s="34"/>
      <c r="G113" s="35" t="s">
        <v>133</v>
      </c>
      <c r="H113" s="35"/>
      <c r="I113" s="35" t="s">
        <v>55</v>
      </c>
      <c r="J113" s="35" t="s">
        <v>87</v>
      </c>
      <c r="K113" s="34">
        <v>0</v>
      </c>
      <c r="L113" s="35" t="s">
        <v>147</v>
      </c>
      <c r="M113" s="36"/>
      <c r="N113" s="35"/>
      <c r="O113" s="35"/>
      <c r="P113" s="35"/>
      <c r="Q113" s="35"/>
      <c r="R113" s="35"/>
      <c r="S113" s="35"/>
      <c r="T113" s="35"/>
      <c r="U113" s="35"/>
      <c r="V113" s="35"/>
      <c r="W113" s="35"/>
      <c r="X113" s="35"/>
      <c r="Y113" s="35"/>
      <c r="Z113" s="35"/>
    </row>
    <row r="114" spans="1:26" s="17" customFormat="1">
      <c r="A114" s="33" t="s">
        <v>419</v>
      </c>
      <c r="B114" s="34">
        <f>COUNTA($B$1:B113)</f>
        <v>106</v>
      </c>
      <c r="C114" s="35" t="s">
        <v>67</v>
      </c>
      <c r="D114" s="35"/>
      <c r="E114" s="35"/>
      <c r="F114" s="34"/>
      <c r="G114" s="35" t="s">
        <v>133</v>
      </c>
      <c r="H114" s="35"/>
      <c r="I114" s="35"/>
      <c r="J114" s="35"/>
      <c r="K114" s="34"/>
      <c r="L114" s="35" t="s">
        <v>67</v>
      </c>
      <c r="M114" s="36">
        <v>10</v>
      </c>
      <c r="N114" s="35"/>
      <c r="O114" s="35"/>
      <c r="P114" s="35"/>
      <c r="Q114" s="35"/>
      <c r="R114" s="36"/>
      <c r="S114" s="35"/>
      <c r="T114" s="35"/>
      <c r="U114" s="35"/>
      <c r="V114" s="35"/>
      <c r="W114" s="35"/>
      <c r="X114" s="35"/>
      <c r="Y114" s="35"/>
      <c r="Z114" s="35"/>
    </row>
    <row r="115" spans="1:26" s="16" customFormat="1">
      <c r="A115" s="30" t="s">
        <v>191</v>
      </c>
      <c r="B115" s="31"/>
      <c r="C115" s="31"/>
      <c r="D115" s="32"/>
      <c r="E115" s="32"/>
      <c r="F115" s="31"/>
      <c r="G115" s="32"/>
      <c r="H115" s="32"/>
      <c r="I115" s="32"/>
      <c r="J115" s="32"/>
      <c r="K115" s="31"/>
      <c r="L115" s="32"/>
      <c r="M115" s="32"/>
      <c r="N115" s="32"/>
      <c r="O115" s="32"/>
      <c r="P115" s="32"/>
      <c r="Q115" s="32"/>
      <c r="R115" s="32"/>
      <c r="S115" s="32"/>
      <c r="T115" s="32"/>
      <c r="U115" s="32"/>
      <c r="V115" s="32"/>
      <c r="W115" s="32"/>
      <c r="X115" s="32"/>
      <c r="Y115" s="32"/>
      <c r="Z115" s="32"/>
    </row>
    <row r="116" spans="1:26" s="16" customFormat="1">
      <c r="A116" s="33" t="s">
        <v>419</v>
      </c>
      <c r="B116" s="34">
        <f>COUNTA($B$1:B115)</f>
        <v>107</v>
      </c>
      <c r="C116" s="35" t="s">
        <v>420</v>
      </c>
      <c r="D116" s="35"/>
      <c r="E116" s="35"/>
      <c r="F116" s="34"/>
      <c r="G116" s="35" t="s">
        <v>133</v>
      </c>
      <c r="H116" s="35"/>
      <c r="I116" s="35" t="s">
        <v>55</v>
      </c>
      <c r="J116" s="35" t="s">
        <v>421</v>
      </c>
      <c r="K116" s="34">
        <v>0</v>
      </c>
      <c r="L116" s="35" t="s">
        <v>147</v>
      </c>
      <c r="M116" s="36"/>
      <c r="N116" s="35"/>
      <c r="O116" s="35"/>
      <c r="P116" s="35"/>
      <c r="Q116" s="35"/>
      <c r="R116" s="35"/>
      <c r="S116" s="35"/>
      <c r="T116" s="35"/>
      <c r="U116" s="35"/>
      <c r="V116" s="35"/>
      <c r="W116" s="35"/>
      <c r="X116" s="35"/>
      <c r="Y116" s="35"/>
      <c r="Z116" s="35"/>
    </row>
    <row r="117" spans="1:26" s="16" customFormat="1">
      <c r="A117" s="33" t="s">
        <v>419</v>
      </c>
      <c r="B117" s="34">
        <f>COUNTA($B$1:B116)</f>
        <v>108</v>
      </c>
      <c r="C117" s="35" t="s">
        <v>422</v>
      </c>
      <c r="D117" s="35"/>
      <c r="E117" s="35"/>
      <c r="F117" s="34"/>
      <c r="G117" s="35" t="s">
        <v>133</v>
      </c>
      <c r="H117" s="35"/>
      <c r="I117" s="35" t="s">
        <v>55</v>
      </c>
      <c r="J117" s="35" t="s">
        <v>423</v>
      </c>
      <c r="K117" s="34">
        <v>0</v>
      </c>
      <c r="L117" s="35" t="s">
        <v>98</v>
      </c>
      <c r="M117" s="36"/>
      <c r="N117" s="35" t="s">
        <v>99</v>
      </c>
      <c r="O117" s="35"/>
      <c r="P117" s="35"/>
      <c r="Q117" s="35"/>
      <c r="R117" s="36" t="str">
        <f>TEXT(M102,"0")</f>
        <v>Destination1</v>
      </c>
      <c r="S117" s="35"/>
      <c r="T117" s="35" t="s">
        <v>2</v>
      </c>
      <c r="U117" s="35"/>
      <c r="V117" s="35"/>
      <c r="W117" s="35"/>
      <c r="X117" s="35"/>
      <c r="Y117" s="35"/>
      <c r="Z117" s="35"/>
    </row>
    <row r="118" spans="1:26" s="16" customFormat="1">
      <c r="A118" s="33" t="s">
        <v>419</v>
      </c>
      <c r="B118" s="34">
        <f>COUNTA($B$1:B117)</f>
        <v>109</v>
      </c>
      <c r="C118" s="35" t="s">
        <v>424</v>
      </c>
      <c r="D118" s="35"/>
      <c r="E118" s="35"/>
      <c r="F118" s="34"/>
      <c r="G118" s="35" t="s">
        <v>133</v>
      </c>
      <c r="H118" s="35"/>
      <c r="I118" s="35" t="s">
        <v>55</v>
      </c>
      <c r="J118" s="35" t="s">
        <v>425</v>
      </c>
      <c r="K118" s="34">
        <v>0</v>
      </c>
      <c r="L118" s="35" t="s">
        <v>98</v>
      </c>
      <c r="M118" s="36"/>
      <c r="N118" s="35" t="s">
        <v>99</v>
      </c>
      <c r="O118" s="35"/>
      <c r="P118" s="35"/>
      <c r="Q118" s="35"/>
      <c r="R118" s="35" t="str">
        <f>TEXT(M105,"mm/dd/yyyy")</f>
        <v>DepDate1</v>
      </c>
      <c r="S118" s="35"/>
      <c r="T118" s="35" t="s">
        <v>2</v>
      </c>
      <c r="U118" s="35"/>
      <c r="V118" s="35"/>
      <c r="W118" s="35"/>
      <c r="X118" s="35"/>
      <c r="Y118" s="35"/>
      <c r="Z118" s="35"/>
    </row>
    <row r="119" spans="1:26" s="17" customFormat="1">
      <c r="A119" s="33" t="s">
        <v>419</v>
      </c>
      <c r="B119" s="34">
        <f>COUNTA($B$1:B118)</f>
        <v>110</v>
      </c>
      <c r="C119" s="35" t="s">
        <v>426</v>
      </c>
      <c r="D119" s="35"/>
      <c r="E119" s="35"/>
      <c r="F119" s="34"/>
      <c r="G119" s="35" t="s">
        <v>133</v>
      </c>
      <c r="H119" s="35"/>
      <c r="I119" s="35" t="s">
        <v>55</v>
      </c>
      <c r="J119" s="35" t="s">
        <v>427</v>
      </c>
      <c r="K119" s="34">
        <v>0</v>
      </c>
      <c r="L119" s="35" t="s">
        <v>98</v>
      </c>
      <c r="M119" s="36"/>
      <c r="N119" s="35" t="s">
        <v>99</v>
      </c>
      <c r="O119" s="35"/>
      <c r="P119" s="35"/>
      <c r="Q119" s="35"/>
      <c r="R119" s="35" t="str">
        <f>TEXT(M106,"mm/dd/yyyy")</f>
        <v>RetDate1</v>
      </c>
      <c r="S119" s="35"/>
      <c r="T119" s="35" t="s">
        <v>2</v>
      </c>
      <c r="U119" s="35"/>
      <c r="V119" s="35"/>
      <c r="W119" s="35"/>
      <c r="X119" s="35"/>
      <c r="Y119" s="35"/>
      <c r="Z119" s="35"/>
    </row>
    <row r="120" spans="1:26" ht="12.75" customHeight="1">
      <c r="A120" s="33" t="s">
        <v>419</v>
      </c>
      <c r="B120" s="34">
        <f>COUNTA($B$1:B119)</f>
        <v>111</v>
      </c>
      <c r="C120" s="35" t="s">
        <v>416</v>
      </c>
      <c r="D120" s="35"/>
      <c r="E120" s="35"/>
      <c r="F120" s="34"/>
      <c r="G120" s="35" t="s">
        <v>133</v>
      </c>
      <c r="H120" s="35"/>
      <c r="I120" s="35" t="s">
        <v>55</v>
      </c>
      <c r="J120" s="35" t="s">
        <v>195</v>
      </c>
      <c r="K120" s="34">
        <v>0</v>
      </c>
      <c r="L120" s="35" t="s">
        <v>147</v>
      </c>
      <c r="M120" s="36"/>
      <c r="N120" s="35"/>
      <c r="O120" s="35"/>
      <c r="P120" s="35"/>
      <c r="Q120" s="35"/>
      <c r="R120" s="35"/>
      <c r="S120" s="35"/>
      <c r="T120" s="35"/>
      <c r="U120" s="35"/>
      <c r="V120" s="35"/>
      <c r="W120" s="35"/>
      <c r="X120" s="52"/>
      <c r="Y120" s="52"/>
      <c r="Z120" s="52"/>
    </row>
    <row r="121" spans="1:26">
      <c r="A121" s="33" t="s">
        <v>419</v>
      </c>
      <c r="B121" s="34">
        <f>COUNTA($B$1:B120)</f>
        <v>112</v>
      </c>
      <c r="C121" s="35" t="s">
        <v>67</v>
      </c>
      <c r="D121" s="35"/>
      <c r="E121" s="35"/>
      <c r="F121" s="34"/>
      <c r="G121" s="35" t="s">
        <v>133</v>
      </c>
      <c r="H121" s="35"/>
      <c r="I121" s="35"/>
      <c r="J121" s="35"/>
      <c r="K121" s="34"/>
      <c r="L121" s="35" t="s">
        <v>67</v>
      </c>
      <c r="M121" s="36">
        <v>5</v>
      </c>
      <c r="N121" s="35"/>
      <c r="O121" s="35"/>
      <c r="P121" s="35"/>
      <c r="Q121" s="35"/>
      <c r="R121" s="36"/>
      <c r="S121" s="35"/>
      <c r="T121" s="35"/>
      <c r="U121" s="35"/>
      <c r="V121" s="35"/>
      <c r="W121" s="35"/>
      <c r="X121" s="52"/>
      <c r="Y121" s="52"/>
      <c r="Z121" s="52"/>
    </row>
    <row r="122" spans="1:26">
      <c r="A122" s="30" t="s">
        <v>219</v>
      </c>
      <c r="B122" s="31"/>
      <c r="C122" s="31"/>
      <c r="D122" s="32"/>
      <c r="E122" s="32"/>
      <c r="F122" s="31"/>
      <c r="G122" s="32"/>
      <c r="H122" s="32"/>
      <c r="I122" s="32"/>
      <c r="J122" s="32"/>
      <c r="K122" s="31"/>
      <c r="L122" s="32"/>
      <c r="M122" s="32"/>
      <c r="N122" s="32"/>
      <c r="O122" s="32"/>
      <c r="P122" s="32"/>
      <c r="Q122" s="32"/>
      <c r="R122" s="32"/>
      <c r="S122" s="32"/>
      <c r="T122" s="32"/>
      <c r="U122" s="32"/>
      <c r="V122" s="32"/>
      <c r="W122" s="32"/>
      <c r="X122" s="32"/>
      <c r="Y122" s="32"/>
      <c r="Z122" s="32"/>
    </row>
    <row r="123" spans="1:26" ht="12.75" customHeight="1">
      <c r="A123" s="33" t="s">
        <v>419</v>
      </c>
      <c r="B123" s="34">
        <f>COUNTA($B$1:B122)</f>
        <v>113</v>
      </c>
      <c r="C123" s="35" t="s">
        <v>67</v>
      </c>
      <c r="D123" s="35"/>
      <c r="E123" s="35"/>
      <c r="F123" s="34"/>
      <c r="G123" s="35" t="s">
        <v>133</v>
      </c>
      <c r="H123" s="35"/>
      <c r="I123" s="35"/>
      <c r="J123" s="35"/>
      <c r="K123" s="34"/>
      <c r="L123" s="35" t="s">
        <v>67</v>
      </c>
      <c r="M123" s="36">
        <v>5</v>
      </c>
      <c r="N123" s="35"/>
      <c r="O123" s="35"/>
      <c r="P123" s="35"/>
      <c r="Q123" s="35"/>
      <c r="R123" s="36"/>
      <c r="S123" s="35"/>
      <c r="T123" s="35"/>
      <c r="U123" s="35"/>
      <c r="V123" s="35"/>
      <c r="W123" s="35"/>
      <c r="X123" s="35"/>
      <c r="Y123" s="35"/>
      <c r="Z123" s="35"/>
    </row>
    <row r="124" spans="1:26" s="17" customFormat="1">
      <c r="A124" s="33" t="s">
        <v>419</v>
      </c>
      <c r="B124" s="34">
        <f>COUNTA($B$1:B123)</f>
        <v>114</v>
      </c>
      <c r="C124" s="35" t="s">
        <v>420</v>
      </c>
      <c r="D124" s="35"/>
      <c r="E124" s="35"/>
      <c r="F124" s="34"/>
      <c r="G124" s="35" t="s">
        <v>133</v>
      </c>
      <c r="H124" s="35"/>
      <c r="I124" s="35" t="s">
        <v>55</v>
      </c>
      <c r="J124" s="35" t="s">
        <v>428</v>
      </c>
      <c r="K124" s="34">
        <v>0</v>
      </c>
      <c r="L124" s="35" t="s">
        <v>147</v>
      </c>
      <c r="M124" s="36"/>
      <c r="N124" s="35"/>
      <c r="O124" s="35"/>
      <c r="P124" s="35"/>
      <c r="Q124" s="35"/>
      <c r="R124" s="36"/>
      <c r="S124" s="35"/>
      <c r="T124" s="35"/>
      <c r="U124" s="35"/>
      <c r="V124" s="35"/>
      <c r="W124" s="35"/>
      <c r="X124" s="35"/>
      <c r="Y124" s="35"/>
      <c r="Z124" s="35"/>
    </row>
    <row r="125" spans="1:26" s="17" customFormat="1">
      <c r="A125" s="33" t="s">
        <v>419</v>
      </c>
      <c r="B125" s="34">
        <f>COUNTA($B$1:B124)</f>
        <v>115</v>
      </c>
      <c r="C125" s="35" t="s">
        <v>422</v>
      </c>
      <c r="D125" s="35"/>
      <c r="E125" s="35"/>
      <c r="F125" s="34"/>
      <c r="G125" s="35" t="s">
        <v>133</v>
      </c>
      <c r="H125" s="35"/>
      <c r="I125" s="35" t="s">
        <v>55</v>
      </c>
      <c r="J125" s="35" t="s">
        <v>423</v>
      </c>
      <c r="K125" s="34">
        <v>0</v>
      </c>
      <c r="L125" s="35" t="s">
        <v>98</v>
      </c>
      <c r="M125" s="36"/>
      <c r="N125" s="35" t="s">
        <v>99</v>
      </c>
      <c r="O125" s="35"/>
      <c r="P125" s="35"/>
      <c r="Q125" s="35"/>
      <c r="R125" s="36" t="str">
        <f>TEXT(M102,"0")</f>
        <v>Destination1</v>
      </c>
      <c r="S125" s="35"/>
      <c r="T125" s="35" t="s">
        <v>2</v>
      </c>
      <c r="U125" s="35"/>
      <c r="V125" s="35"/>
      <c r="W125" s="35"/>
      <c r="X125" s="35"/>
      <c r="Y125" s="35"/>
      <c r="Z125" s="35"/>
    </row>
    <row r="126" spans="1:26" s="17" customFormat="1">
      <c r="A126" s="33" t="s">
        <v>419</v>
      </c>
      <c r="B126" s="34">
        <f>COUNTA($B$1:B125)</f>
        <v>116</v>
      </c>
      <c r="C126" s="35" t="s">
        <v>424</v>
      </c>
      <c r="D126" s="35"/>
      <c r="E126" s="35"/>
      <c r="F126" s="34"/>
      <c r="G126" s="35" t="s">
        <v>133</v>
      </c>
      <c r="H126" s="35"/>
      <c r="I126" s="35" t="s">
        <v>55</v>
      </c>
      <c r="J126" s="35" t="s">
        <v>425</v>
      </c>
      <c r="K126" s="34">
        <v>0</v>
      </c>
      <c r="L126" s="35" t="s">
        <v>98</v>
      </c>
      <c r="M126" s="36"/>
      <c r="N126" s="35" t="s">
        <v>99</v>
      </c>
      <c r="O126" s="35"/>
      <c r="P126" s="35"/>
      <c r="Q126" s="35"/>
      <c r="R126" s="35" t="str">
        <f>TEXT(M105,"mm/dd/yyyy")</f>
        <v>DepDate1</v>
      </c>
      <c r="S126" s="35"/>
      <c r="T126" s="35" t="s">
        <v>2</v>
      </c>
      <c r="U126" s="35"/>
      <c r="V126" s="35"/>
      <c r="W126" s="35"/>
      <c r="X126" s="35"/>
      <c r="Y126" s="35"/>
      <c r="Z126" s="35"/>
    </row>
    <row r="127" spans="1:26" s="17" customFormat="1">
      <c r="A127" s="33" t="s">
        <v>419</v>
      </c>
      <c r="B127" s="34">
        <f>COUNTA($B$1:B126)</f>
        <v>117</v>
      </c>
      <c r="C127" s="35" t="s">
        <v>426</v>
      </c>
      <c r="D127" s="35"/>
      <c r="E127" s="35"/>
      <c r="F127" s="34"/>
      <c r="G127" s="35" t="s">
        <v>133</v>
      </c>
      <c r="H127" s="35"/>
      <c r="I127" s="35" t="s">
        <v>55</v>
      </c>
      <c r="J127" s="35" t="s">
        <v>427</v>
      </c>
      <c r="K127" s="34">
        <v>0</v>
      </c>
      <c r="L127" s="35" t="s">
        <v>98</v>
      </c>
      <c r="M127" s="36"/>
      <c r="N127" s="35" t="s">
        <v>99</v>
      </c>
      <c r="O127" s="35"/>
      <c r="P127" s="35"/>
      <c r="Q127" s="35"/>
      <c r="R127" s="35" t="str">
        <f>TEXT(M106,"mm/dd/yyyy")</f>
        <v>RetDate1</v>
      </c>
      <c r="S127" s="35"/>
      <c r="T127" s="35" t="s">
        <v>2</v>
      </c>
      <c r="U127" s="35"/>
      <c r="V127" s="35"/>
      <c r="W127" s="35"/>
      <c r="X127" s="35"/>
      <c r="Y127" s="35"/>
      <c r="Z127" s="35"/>
    </row>
    <row r="128" spans="1:26" s="17" customFormat="1">
      <c r="A128" s="33" t="s">
        <v>419</v>
      </c>
      <c r="B128" s="34">
        <f>COUNTA($B$1:B127)</f>
        <v>118</v>
      </c>
      <c r="C128" s="35" t="s">
        <v>429</v>
      </c>
      <c r="D128" s="35"/>
      <c r="E128" s="35"/>
      <c r="F128" s="34"/>
      <c r="G128" s="35" t="s">
        <v>133</v>
      </c>
      <c r="H128" s="35"/>
      <c r="I128" s="35" t="s">
        <v>55</v>
      </c>
      <c r="J128" s="35" t="s">
        <v>430</v>
      </c>
      <c r="K128" s="34">
        <v>0</v>
      </c>
      <c r="L128" s="35" t="s">
        <v>98</v>
      </c>
      <c r="M128" s="36"/>
      <c r="N128" s="35" t="s">
        <v>99</v>
      </c>
      <c r="O128" s="35"/>
      <c r="P128" s="35"/>
      <c r="Q128" s="35"/>
      <c r="R128" s="36" t="s">
        <v>196</v>
      </c>
      <c r="S128" s="35"/>
      <c r="T128" s="35" t="s">
        <v>2</v>
      </c>
      <c r="U128" s="35"/>
      <c r="V128" s="35"/>
      <c r="W128" s="35"/>
      <c r="X128" s="35"/>
      <c r="Y128" s="35"/>
      <c r="Z128" s="35"/>
    </row>
    <row r="129" spans="1:26" s="17" customFormat="1">
      <c r="A129" s="33" t="s">
        <v>419</v>
      </c>
      <c r="B129" s="34">
        <f>COUNTA($B$1:B128)</f>
        <v>119</v>
      </c>
      <c r="C129" s="35" t="s">
        <v>431</v>
      </c>
      <c r="D129" s="35"/>
      <c r="E129" s="35"/>
      <c r="F129" s="34"/>
      <c r="G129" s="35" t="s">
        <v>133</v>
      </c>
      <c r="H129" s="35"/>
      <c r="I129" s="35" t="s">
        <v>55</v>
      </c>
      <c r="J129" s="35" t="s">
        <v>432</v>
      </c>
      <c r="K129" s="34">
        <v>0</v>
      </c>
      <c r="L129" s="35" t="s">
        <v>98</v>
      </c>
      <c r="M129" s="36"/>
      <c r="N129" s="35" t="s">
        <v>99</v>
      </c>
      <c r="O129" s="35"/>
      <c r="P129" s="35"/>
      <c r="Q129" s="35"/>
      <c r="R129" s="36"/>
      <c r="S129" s="35"/>
      <c r="T129" s="35"/>
      <c r="U129" s="35"/>
      <c r="V129" s="35"/>
      <c r="W129" s="35"/>
      <c r="X129" s="35"/>
      <c r="Y129" s="35"/>
      <c r="Z129" s="35"/>
    </row>
    <row r="130" spans="1:26" s="17" customFormat="1">
      <c r="A130" s="33" t="s">
        <v>419</v>
      </c>
      <c r="B130" s="34">
        <f>COUNTA($B$1:B129)</f>
        <v>120</v>
      </c>
      <c r="C130" s="35" t="s">
        <v>433</v>
      </c>
      <c r="D130" s="35"/>
      <c r="E130" s="35"/>
      <c r="F130" s="34"/>
      <c r="G130" s="35" t="s">
        <v>133</v>
      </c>
      <c r="H130" s="35"/>
      <c r="I130" s="35" t="s">
        <v>55</v>
      </c>
      <c r="J130" s="35" t="s">
        <v>434</v>
      </c>
      <c r="K130" s="34">
        <v>0</v>
      </c>
      <c r="L130" s="35" t="s">
        <v>98</v>
      </c>
      <c r="M130" s="36"/>
      <c r="N130" s="35" t="s">
        <v>99</v>
      </c>
      <c r="O130" s="35"/>
      <c r="P130" s="35"/>
      <c r="Q130" s="35"/>
      <c r="R130" s="64"/>
      <c r="S130" s="35"/>
      <c r="T130" s="35"/>
      <c r="U130" s="35"/>
      <c r="V130" s="35"/>
      <c r="W130" s="35"/>
      <c r="X130" s="35"/>
      <c r="Y130" s="35"/>
      <c r="Z130" s="35"/>
    </row>
    <row r="131" spans="1:26" s="17" customFormat="1">
      <c r="A131" s="33" t="s">
        <v>419</v>
      </c>
      <c r="B131" s="34">
        <f>COUNTA($B$1:B130)</f>
        <v>121</v>
      </c>
      <c r="C131" s="35" t="s">
        <v>435</v>
      </c>
      <c r="D131" s="35"/>
      <c r="E131" s="35"/>
      <c r="F131" s="34"/>
      <c r="G131" s="35" t="s">
        <v>133</v>
      </c>
      <c r="H131" s="35"/>
      <c r="I131" s="35" t="s">
        <v>55</v>
      </c>
      <c r="J131" s="35" t="s">
        <v>428</v>
      </c>
      <c r="K131" s="34">
        <v>0</v>
      </c>
      <c r="L131" s="35" t="s">
        <v>147</v>
      </c>
      <c r="M131" s="36"/>
      <c r="N131" s="35"/>
      <c r="O131" s="35"/>
      <c r="P131" s="35"/>
      <c r="Q131" s="35"/>
      <c r="R131" s="36"/>
      <c r="S131" s="35"/>
      <c r="T131" s="35"/>
      <c r="U131" s="35"/>
      <c r="V131" s="35"/>
      <c r="W131" s="35"/>
      <c r="X131" s="35"/>
      <c r="Y131" s="35"/>
      <c r="Z131" s="35"/>
    </row>
    <row r="132" spans="1:26" ht="12.75" customHeight="1">
      <c r="A132" s="33" t="s">
        <v>419</v>
      </c>
      <c r="B132" s="34">
        <f>COUNTA($B$1:B131)</f>
        <v>122</v>
      </c>
      <c r="C132" s="35" t="s">
        <v>67</v>
      </c>
      <c r="D132" s="35"/>
      <c r="E132" s="35"/>
      <c r="F132" s="34"/>
      <c r="G132" s="35" t="s">
        <v>133</v>
      </c>
      <c r="H132" s="35"/>
      <c r="I132" s="35"/>
      <c r="J132" s="35"/>
      <c r="K132" s="34"/>
      <c r="L132" s="35" t="s">
        <v>67</v>
      </c>
      <c r="M132" s="36">
        <v>2</v>
      </c>
      <c r="N132" s="35"/>
      <c r="O132" s="35"/>
      <c r="P132" s="35"/>
      <c r="Q132" s="35"/>
      <c r="R132" s="36"/>
      <c r="S132" s="35"/>
      <c r="T132" s="35"/>
      <c r="U132" s="35"/>
      <c r="V132" s="35"/>
      <c r="W132" s="35"/>
      <c r="X132" s="35"/>
      <c r="Y132" s="35"/>
      <c r="Z132" s="35"/>
    </row>
    <row r="133" spans="1:26" s="12" customFormat="1" ht="12.75" customHeight="1">
      <c r="A133" s="33" t="s">
        <v>419</v>
      </c>
      <c r="B133" s="34">
        <f>COUNTA($B$1:B132)</f>
        <v>123</v>
      </c>
      <c r="C133" s="35" t="s">
        <v>443</v>
      </c>
      <c r="D133" s="35"/>
      <c r="E133" s="35"/>
      <c r="F133" s="34"/>
      <c r="G133" s="35" t="s">
        <v>133</v>
      </c>
      <c r="H133" s="35"/>
      <c r="I133" s="35" t="s">
        <v>55</v>
      </c>
      <c r="J133" s="35" t="s">
        <v>221</v>
      </c>
      <c r="K133" s="34">
        <v>0</v>
      </c>
      <c r="L133" s="35" t="s">
        <v>444</v>
      </c>
      <c r="M133" s="36"/>
      <c r="N133" s="69"/>
      <c r="O133" s="35"/>
      <c r="P133" s="35"/>
      <c r="Q133" s="35"/>
      <c r="R133" s="36"/>
      <c r="S133" s="35"/>
      <c r="T133" s="35"/>
      <c r="U133" s="35"/>
      <c r="V133" s="35"/>
      <c r="W133" s="35"/>
      <c r="X133" s="35"/>
      <c r="Y133" s="35"/>
      <c r="Z133" s="35"/>
    </row>
    <row r="134" spans="1:26" s="16" customFormat="1" outlineLevel="1">
      <c r="A134" s="33" t="s">
        <v>419</v>
      </c>
      <c r="B134" s="34">
        <f>COUNTA($B$1:B133)</f>
        <v>124</v>
      </c>
      <c r="C134" s="35" t="s">
        <v>445</v>
      </c>
      <c r="D134" s="35"/>
      <c r="E134" s="35"/>
      <c r="F134" s="34"/>
      <c r="G134" s="35" t="s">
        <v>133</v>
      </c>
      <c r="H134" s="35"/>
      <c r="I134" s="35" t="s">
        <v>55</v>
      </c>
      <c r="J134" s="35" t="s">
        <v>105</v>
      </c>
      <c r="K134" s="34">
        <v>0</v>
      </c>
      <c r="L134" s="35" t="s">
        <v>444</v>
      </c>
      <c r="M134" s="36"/>
      <c r="N134" s="69"/>
      <c r="O134" s="35"/>
      <c r="P134" s="35"/>
      <c r="Q134" s="35"/>
      <c r="R134" s="36"/>
      <c r="S134" s="35"/>
      <c r="T134" s="35"/>
      <c r="U134" s="35"/>
      <c r="V134" s="35"/>
      <c r="W134" s="35"/>
      <c r="X134" s="35"/>
      <c r="Y134" s="35"/>
      <c r="Z134" s="35"/>
    </row>
    <row r="135" spans="1:26" s="17" customFormat="1">
      <c r="A135" s="33" t="s">
        <v>419</v>
      </c>
      <c r="B135" s="34">
        <f>COUNTA($B$1:B134)</f>
        <v>125</v>
      </c>
      <c r="C135" s="35" t="s">
        <v>446</v>
      </c>
      <c r="D135" s="35"/>
      <c r="E135" s="35"/>
      <c r="F135" s="34"/>
      <c r="G135" s="35" t="s">
        <v>133</v>
      </c>
      <c r="H135" s="35"/>
      <c r="I135" s="35" t="s">
        <v>55</v>
      </c>
      <c r="J135" s="35" t="s">
        <v>229</v>
      </c>
      <c r="K135" s="34">
        <v>0</v>
      </c>
      <c r="L135" s="35" t="s">
        <v>444</v>
      </c>
      <c r="M135" s="36"/>
      <c r="N135" s="69"/>
      <c r="O135" s="35"/>
      <c r="P135" s="35"/>
      <c r="Q135" s="35"/>
      <c r="R135" s="36"/>
      <c r="S135" s="35"/>
      <c r="T135" s="35"/>
      <c r="U135" s="35"/>
      <c r="V135" s="35"/>
      <c r="W135" s="35"/>
      <c r="X135" s="35"/>
      <c r="Y135" s="35"/>
      <c r="Z135" s="35"/>
    </row>
    <row r="136" spans="1:26" s="17" customFormat="1">
      <c r="A136" s="33" t="s">
        <v>419</v>
      </c>
      <c r="B136" s="34">
        <f>COUNTA($B$1:B135)</f>
        <v>126</v>
      </c>
      <c r="C136" s="35" t="s">
        <v>447</v>
      </c>
      <c r="D136" s="35"/>
      <c r="E136" s="35"/>
      <c r="F136" s="34"/>
      <c r="G136" s="35" t="s">
        <v>133</v>
      </c>
      <c r="H136" s="35"/>
      <c r="I136" s="35" t="s">
        <v>55</v>
      </c>
      <c r="J136" s="35" t="s">
        <v>231</v>
      </c>
      <c r="K136" s="34">
        <v>0</v>
      </c>
      <c r="L136" s="35" t="s">
        <v>444</v>
      </c>
      <c r="M136" s="36"/>
      <c r="N136" s="69"/>
      <c r="O136" s="35"/>
      <c r="P136" s="35"/>
      <c r="Q136" s="35"/>
      <c r="R136" s="36"/>
      <c r="S136" s="35"/>
      <c r="T136" s="35"/>
      <c r="U136" s="35"/>
      <c r="V136" s="35"/>
      <c r="W136" s="35"/>
      <c r="X136" s="35"/>
      <c r="Y136" s="35"/>
      <c r="Z136" s="35"/>
    </row>
    <row r="137" spans="1:26" s="17" customFormat="1">
      <c r="A137" s="33" t="s">
        <v>419</v>
      </c>
      <c r="B137" s="34">
        <f>COUNTA($B$1:B136)</f>
        <v>127</v>
      </c>
      <c r="C137" s="35" t="s">
        <v>448</v>
      </c>
      <c r="D137" s="35"/>
      <c r="E137" s="35"/>
      <c r="F137" s="34"/>
      <c r="G137" s="35" t="s">
        <v>133</v>
      </c>
      <c r="H137" s="35"/>
      <c r="I137" s="35" t="s">
        <v>55</v>
      </c>
      <c r="J137" s="35" t="s">
        <v>233</v>
      </c>
      <c r="K137" s="34">
        <v>0</v>
      </c>
      <c r="L137" s="35" t="s">
        <v>444</v>
      </c>
      <c r="M137" s="36"/>
      <c r="N137" s="69"/>
      <c r="O137" s="35"/>
      <c r="P137" s="35"/>
      <c r="Q137" s="35"/>
      <c r="R137" s="36"/>
      <c r="S137" s="35"/>
      <c r="T137" s="35"/>
      <c r="U137" s="35"/>
      <c r="V137" s="35"/>
      <c r="W137" s="35"/>
      <c r="X137" s="35"/>
      <c r="Y137" s="35"/>
      <c r="Z137" s="35"/>
    </row>
    <row r="138" spans="1:26" s="17" customFormat="1">
      <c r="A138" s="33" t="s">
        <v>419</v>
      </c>
      <c r="B138" s="34">
        <f>COUNTA($B$1:B137)</f>
        <v>128</v>
      </c>
      <c r="C138" s="35" t="s">
        <v>449</v>
      </c>
      <c r="D138" s="35"/>
      <c r="E138" s="35"/>
      <c r="F138" s="34"/>
      <c r="G138" s="35" t="s">
        <v>133</v>
      </c>
      <c r="H138" s="35"/>
      <c r="I138" s="35" t="s">
        <v>55</v>
      </c>
      <c r="J138" s="35" t="s">
        <v>236</v>
      </c>
      <c r="K138" s="34">
        <v>0</v>
      </c>
      <c r="L138" s="35" t="s">
        <v>444</v>
      </c>
      <c r="M138" s="36"/>
      <c r="N138" s="69"/>
      <c r="O138" s="35"/>
      <c r="P138" s="35"/>
      <c r="Q138" s="35"/>
      <c r="R138" s="52"/>
      <c r="S138" s="35"/>
      <c r="T138" s="35"/>
      <c r="U138" s="35"/>
      <c r="V138" s="35"/>
      <c r="W138" s="35"/>
      <c r="X138" s="35"/>
      <c r="Y138" s="35"/>
      <c r="Z138" s="35"/>
    </row>
    <row r="139" spans="1:26" s="17" customFormat="1">
      <c r="A139" s="33" t="s">
        <v>419</v>
      </c>
      <c r="B139" s="34">
        <f>COUNTA($B$1:B138)</f>
        <v>129</v>
      </c>
      <c r="C139" s="35" t="s">
        <v>450</v>
      </c>
      <c r="D139" s="35"/>
      <c r="E139" s="35"/>
      <c r="F139" s="34"/>
      <c r="G139" s="35" t="s">
        <v>133</v>
      </c>
      <c r="H139" s="35"/>
      <c r="I139" s="35" t="s">
        <v>55</v>
      </c>
      <c r="J139" s="35" t="s">
        <v>90</v>
      </c>
      <c r="K139" s="34">
        <v>0</v>
      </c>
      <c r="L139" s="35" t="s">
        <v>444</v>
      </c>
      <c r="M139" s="36"/>
      <c r="N139" s="69"/>
      <c r="O139" s="35"/>
      <c r="P139" s="35"/>
      <c r="Q139" s="35"/>
      <c r="R139" s="52"/>
      <c r="S139" s="35"/>
      <c r="T139" s="35"/>
      <c r="U139" s="35"/>
      <c r="V139" s="35"/>
      <c r="W139" s="35"/>
      <c r="X139" s="35"/>
      <c r="Y139" s="35"/>
      <c r="Z139" s="35"/>
    </row>
    <row r="140" spans="1:26" s="17" customFormat="1">
      <c r="A140" s="33" t="s">
        <v>419</v>
      </c>
      <c r="B140" s="34">
        <f>COUNTA($B$1:B139)</f>
        <v>130</v>
      </c>
      <c r="C140" s="35" t="s">
        <v>451</v>
      </c>
      <c r="D140" s="35"/>
      <c r="E140" s="35"/>
      <c r="F140" s="34"/>
      <c r="G140" s="35" t="s">
        <v>133</v>
      </c>
      <c r="H140" s="35"/>
      <c r="I140" s="35" t="s">
        <v>55</v>
      </c>
      <c r="J140" s="35" t="s">
        <v>241</v>
      </c>
      <c r="K140" s="34">
        <v>0</v>
      </c>
      <c r="L140" s="35" t="s">
        <v>444</v>
      </c>
      <c r="M140" s="36"/>
      <c r="N140" s="69"/>
      <c r="O140" s="35"/>
      <c r="P140" s="35"/>
      <c r="Q140" s="35"/>
      <c r="R140" s="52"/>
      <c r="S140" s="35"/>
      <c r="T140" s="35"/>
      <c r="U140" s="35"/>
      <c r="V140" s="35"/>
      <c r="W140" s="35"/>
      <c r="X140" s="35"/>
      <c r="Y140" s="35"/>
      <c r="Z140" s="35"/>
    </row>
    <row r="141" spans="1:26" s="17" customFormat="1">
      <c r="A141" s="33" t="s">
        <v>419</v>
      </c>
      <c r="B141" s="34">
        <f>COUNTA($B$1:B140)</f>
        <v>131</v>
      </c>
      <c r="C141" s="35" t="s">
        <v>190</v>
      </c>
      <c r="D141" s="35"/>
      <c r="E141" s="35"/>
      <c r="F141" s="34"/>
      <c r="G141" s="35" t="s">
        <v>133</v>
      </c>
      <c r="H141" s="35"/>
      <c r="I141" s="35" t="s">
        <v>55</v>
      </c>
      <c r="J141" s="35" t="s">
        <v>87</v>
      </c>
      <c r="K141" s="34">
        <v>0</v>
      </c>
      <c r="L141" s="35" t="s">
        <v>147</v>
      </c>
      <c r="M141" s="36"/>
      <c r="N141" s="35"/>
      <c r="O141" s="35"/>
      <c r="P141" s="35"/>
      <c r="Q141" s="35"/>
      <c r="R141" s="35"/>
      <c r="S141" s="35"/>
      <c r="T141" s="35"/>
      <c r="U141" s="35"/>
      <c r="V141" s="35"/>
      <c r="W141" s="35"/>
      <c r="X141" s="35"/>
      <c r="Y141" s="35"/>
      <c r="Z141" s="35"/>
    </row>
    <row r="142" spans="1:26">
      <c r="A142" s="33" t="s">
        <v>419</v>
      </c>
      <c r="B142" s="34">
        <f>COUNTA($B$1:B141)</f>
        <v>132</v>
      </c>
      <c r="C142" s="35" t="s">
        <v>67</v>
      </c>
      <c r="D142" s="35"/>
      <c r="E142" s="35"/>
      <c r="F142" s="34"/>
      <c r="G142" s="35" t="s">
        <v>133</v>
      </c>
      <c r="H142" s="35"/>
      <c r="I142" s="35"/>
      <c r="J142" s="35"/>
      <c r="K142" s="34"/>
      <c r="L142" s="35" t="s">
        <v>67</v>
      </c>
      <c r="M142" s="36">
        <v>10</v>
      </c>
      <c r="N142" s="35"/>
      <c r="O142" s="35"/>
      <c r="P142" s="35"/>
      <c r="Q142" s="35"/>
      <c r="R142" s="36"/>
      <c r="S142" s="35"/>
      <c r="T142" s="35"/>
      <c r="U142" s="35"/>
      <c r="V142" s="35"/>
      <c r="W142" s="35"/>
      <c r="X142" s="35"/>
      <c r="Y142" s="35"/>
      <c r="Z142" s="35"/>
    </row>
    <row r="143" spans="1:26">
      <c r="A143" s="30" t="s">
        <v>91</v>
      </c>
      <c r="B143" s="31"/>
      <c r="C143" s="31"/>
      <c r="D143" s="32"/>
      <c r="E143" s="32"/>
      <c r="F143" s="31"/>
      <c r="G143" s="32"/>
      <c r="H143" s="32"/>
      <c r="I143" s="32"/>
      <c r="J143" s="32"/>
      <c r="K143" s="31"/>
      <c r="L143" s="32"/>
      <c r="M143" s="32"/>
      <c r="N143" s="32"/>
      <c r="O143" s="32"/>
      <c r="P143" s="32"/>
      <c r="Q143" s="32"/>
      <c r="R143" s="32"/>
      <c r="S143" s="32"/>
      <c r="T143" s="32"/>
      <c r="U143" s="32"/>
      <c r="V143" s="32"/>
      <c r="W143" s="32"/>
      <c r="X143" s="32"/>
      <c r="Y143" s="32"/>
      <c r="Z143" s="32"/>
    </row>
    <row r="144" spans="1:26">
      <c r="A144" s="33" t="str">
        <f>IF(Global!B2="QA","Y","N")</f>
        <v>N</v>
      </c>
      <c r="B144" s="34">
        <f>COUNTA($B$1:B143)</f>
        <v>133</v>
      </c>
      <c r="C144" s="35" t="s">
        <v>452</v>
      </c>
      <c r="D144" s="35"/>
      <c r="E144" s="35"/>
      <c r="F144" s="34"/>
      <c r="G144" s="35" t="s">
        <v>133</v>
      </c>
      <c r="H144" s="35"/>
      <c r="I144" s="35" t="s">
        <v>55</v>
      </c>
      <c r="J144" s="35" t="s">
        <v>453</v>
      </c>
      <c r="K144" s="34"/>
      <c r="L144" s="35" t="s">
        <v>98</v>
      </c>
      <c r="M144" s="36"/>
      <c r="N144" s="35" t="s">
        <v>99</v>
      </c>
      <c r="O144" s="35"/>
      <c r="P144" s="35"/>
      <c r="Q144" s="35"/>
      <c r="R144" s="36" t="str">
        <f>TEXT(M102,"0")</f>
        <v>Destination1</v>
      </c>
      <c r="S144" s="35"/>
      <c r="T144" s="35" t="s">
        <v>2</v>
      </c>
      <c r="U144" s="35"/>
      <c r="V144" s="35"/>
      <c r="W144" s="35"/>
      <c r="X144" s="35"/>
      <c r="Y144" s="35"/>
      <c r="Z144" s="35"/>
    </row>
    <row r="145" spans="1:26">
      <c r="A145" s="33" t="str">
        <f>A144</f>
        <v>N</v>
      </c>
      <c r="B145" s="34">
        <f>COUNTA($B$1:B144)</f>
        <v>134</v>
      </c>
      <c r="C145" s="35" t="s">
        <v>424</v>
      </c>
      <c r="D145" s="35"/>
      <c r="E145" s="35"/>
      <c r="F145" s="34"/>
      <c r="G145" s="35" t="s">
        <v>133</v>
      </c>
      <c r="H145" s="35"/>
      <c r="I145" s="35" t="s">
        <v>55</v>
      </c>
      <c r="J145" s="35" t="s">
        <v>298</v>
      </c>
      <c r="K145" s="34">
        <v>2</v>
      </c>
      <c r="L145" s="35" t="s">
        <v>98</v>
      </c>
      <c r="M145" s="36"/>
      <c r="N145" s="35" t="s">
        <v>99</v>
      </c>
      <c r="O145" s="35"/>
      <c r="P145" s="35"/>
      <c r="Q145" s="35"/>
      <c r="R145" s="36" t="str">
        <f>TEXT(M105,"mm/dd/yyyy")</f>
        <v>DepDate1</v>
      </c>
      <c r="S145" s="35"/>
      <c r="T145" s="35" t="s">
        <v>2</v>
      </c>
      <c r="U145" s="35"/>
      <c r="V145" s="35"/>
      <c r="W145" s="35"/>
      <c r="X145" s="35"/>
      <c r="Y145" s="35"/>
      <c r="Z145" s="35"/>
    </row>
    <row r="146" spans="1:26">
      <c r="A146" s="33" t="str">
        <f t="shared" ref="A146:A148" si="3">A145</f>
        <v>N</v>
      </c>
      <c r="B146" s="34">
        <f>COUNTA($B$1:B145)</f>
        <v>135</v>
      </c>
      <c r="C146" s="35" t="s">
        <v>426</v>
      </c>
      <c r="D146" s="35"/>
      <c r="E146" s="35"/>
      <c r="F146" s="34"/>
      <c r="G146" s="35" t="s">
        <v>133</v>
      </c>
      <c r="H146" s="35"/>
      <c r="I146" s="35" t="s">
        <v>55</v>
      </c>
      <c r="J146" s="35" t="s">
        <v>300</v>
      </c>
      <c r="K146" s="34">
        <v>2</v>
      </c>
      <c r="L146" s="35" t="s">
        <v>98</v>
      </c>
      <c r="M146" s="36"/>
      <c r="N146" s="35" t="s">
        <v>99</v>
      </c>
      <c r="O146" s="35"/>
      <c r="P146" s="35"/>
      <c r="Q146" s="35"/>
      <c r="R146" s="36" t="str">
        <f>TEXT(M106,"mm/dd/yyyy")</f>
        <v>RetDate1</v>
      </c>
      <c r="S146" s="35"/>
      <c r="T146" s="35" t="s">
        <v>2</v>
      </c>
      <c r="U146" s="35"/>
      <c r="V146" s="35"/>
      <c r="W146" s="35"/>
      <c r="X146" s="35"/>
      <c r="Y146" s="35"/>
      <c r="Z146" s="35"/>
    </row>
    <row r="147" spans="1:26">
      <c r="A147" s="33" t="str">
        <f t="shared" si="3"/>
        <v>N</v>
      </c>
      <c r="B147" s="34">
        <f>COUNTA($B$1:B146)</f>
        <v>136</v>
      </c>
      <c r="C147" s="35" t="s">
        <v>429</v>
      </c>
      <c r="D147" s="35"/>
      <c r="E147" s="35"/>
      <c r="F147" s="34"/>
      <c r="G147" s="35" t="s">
        <v>133</v>
      </c>
      <c r="H147" s="35"/>
      <c r="I147" s="35" t="s">
        <v>55</v>
      </c>
      <c r="J147" s="35" t="s">
        <v>107</v>
      </c>
      <c r="K147" s="34">
        <v>2</v>
      </c>
      <c r="L147" s="35" t="s">
        <v>98</v>
      </c>
      <c r="M147" s="36"/>
      <c r="N147" s="35" t="s">
        <v>99</v>
      </c>
      <c r="O147" s="35"/>
      <c r="P147" s="35"/>
      <c r="Q147" s="35"/>
      <c r="R147" s="36" t="s">
        <v>196</v>
      </c>
      <c r="S147" s="35"/>
      <c r="T147" s="35" t="s">
        <v>2</v>
      </c>
      <c r="U147" s="35"/>
      <c r="V147" s="35"/>
      <c r="W147" s="35"/>
      <c r="X147" s="35"/>
      <c r="Y147" s="35"/>
      <c r="Z147" s="35"/>
    </row>
    <row r="148" spans="1:26">
      <c r="A148" s="33" t="str">
        <f t="shared" si="3"/>
        <v>N</v>
      </c>
      <c r="B148" s="34">
        <f>COUNTA($B$1:B147)</f>
        <v>137</v>
      </c>
      <c r="C148" s="35" t="s">
        <v>433</v>
      </c>
      <c r="D148" s="35"/>
      <c r="E148" s="35"/>
      <c r="F148" s="34"/>
      <c r="G148" s="35" t="s">
        <v>133</v>
      </c>
      <c r="H148" s="35"/>
      <c r="I148" s="35" t="s">
        <v>55</v>
      </c>
      <c r="J148" s="35" t="s">
        <v>454</v>
      </c>
      <c r="K148" s="34"/>
      <c r="L148" s="35" t="s">
        <v>98</v>
      </c>
      <c r="M148" s="36"/>
      <c r="N148" s="35" t="s">
        <v>99</v>
      </c>
      <c r="O148" s="35"/>
      <c r="P148" s="35"/>
      <c r="Q148" s="35"/>
      <c r="R148" s="64"/>
      <c r="S148" s="35"/>
      <c r="T148" s="35"/>
      <c r="U148" s="35"/>
      <c r="V148" s="35"/>
      <c r="W148" s="35"/>
      <c r="X148" s="35"/>
      <c r="Y148" s="35"/>
      <c r="Z148" s="35"/>
    </row>
    <row r="149" spans="1:26">
      <c r="A149" s="33" t="str">
        <f>IF(OR(Global!B2="UAT",Global!B2="PROD"),"Y","N")</f>
        <v>Y</v>
      </c>
      <c r="B149" s="34">
        <f>COUNTA($B$1:B148)</f>
        <v>138</v>
      </c>
      <c r="C149" s="35" t="s">
        <v>452</v>
      </c>
      <c r="D149" s="35"/>
      <c r="E149" s="35"/>
      <c r="F149" s="34"/>
      <c r="G149" s="35" t="s">
        <v>133</v>
      </c>
      <c r="H149" s="35"/>
      <c r="I149" s="35" t="s">
        <v>55</v>
      </c>
      <c r="J149" s="35" t="s">
        <v>831</v>
      </c>
      <c r="K149" s="34"/>
      <c r="L149" s="35" t="s">
        <v>98</v>
      </c>
      <c r="M149" s="36"/>
      <c r="N149" s="35" t="s">
        <v>99</v>
      </c>
      <c r="O149" s="35"/>
      <c r="P149" s="35"/>
      <c r="Q149" s="35"/>
      <c r="R149" s="36" t="str">
        <f>TEXT(M102,"0")</f>
        <v>Destination1</v>
      </c>
      <c r="S149" s="35"/>
      <c r="T149" s="35" t="s">
        <v>2</v>
      </c>
      <c r="U149" s="35"/>
      <c r="V149" s="35"/>
      <c r="W149" s="35"/>
      <c r="X149" s="35"/>
      <c r="Y149" s="35"/>
      <c r="Z149" s="35"/>
    </row>
    <row r="150" spans="1:26">
      <c r="A150" s="33" t="str">
        <f>A149</f>
        <v>Y</v>
      </c>
      <c r="B150" s="34">
        <f>COUNTA($B$1:B149)</f>
        <v>139</v>
      </c>
      <c r="C150" s="35" t="s">
        <v>424</v>
      </c>
      <c r="D150" s="35"/>
      <c r="E150" s="35"/>
      <c r="F150" s="34"/>
      <c r="G150" s="35" t="s">
        <v>133</v>
      </c>
      <c r="H150" s="35"/>
      <c r="I150" s="35" t="s">
        <v>55</v>
      </c>
      <c r="J150" s="35" t="s">
        <v>824</v>
      </c>
      <c r="K150" s="34">
        <v>0</v>
      </c>
      <c r="L150" s="35" t="s">
        <v>98</v>
      </c>
      <c r="M150" s="36"/>
      <c r="N150" s="35" t="s">
        <v>99</v>
      </c>
      <c r="O150" s="35"/>
      <c r="P150" s="35"/>
      <c r="Q150" s="35"/>
      <c r="R150" s="36" t="str">
        <f>TEXT(M105,"mm/dd/yyyy")</f>
        <v>DepDate1</v>
      </c>
      <c r="S150" s="35"/>
      <c r="T150" s="35" t="s">
        <v>2</v>
      </c>
      <c r="U150" s="35"/>
      <c r="V150" s="35"/>
      <c r="W150" s="35"/>
      <c r="X150" s="35"/>
      <c r="Y150" s="35"/>
      <c r="Z150" s="35"/>
    </row>
    <row r="151" spans="1:26">
      <c r="A151" s="33" t="str">
        <f t="shared" ref="A151:A153" si="4">A150</f>
        <v>Y</v>
      </c>
      <c r="B151" s="34">
        <f>COUNTA($B$1:B150)</f>
        <v>140</v>
      </c>
      <c r="C151" s="35" t="s">
        <v>426</v>
      </c>
      <c r="D151" s="35"/>
      <c r="E151" s="35"/>
      <c r="F151" s="34"/>
      <c r="G151" s="35" t="s">
        <v>133</v>
      </c>
      <c r="H151" s="35"/>
      <c r="I151" s="35" t="s">
        <v>55</v>
      </c>
      <c r="J151" s="35" t="s">
        <v>825</v>
      </c>
      <c r="K151" s="34">
        <v>0</v>
      </c>
      <c r="L151" s="35" t="s">
        <v>98</v>
      </c>
      <c r="M151" s="36"/>
      <c r="N151" s="35" t="s">
        <v>99</v>
      </c>
      <c r="O151" s="35"/>
      <c r="P151" s="35"/>
      <c r="Q151" s="35"/>
      <c r="R151" s="36" t="str">
        <f>TEXT(M106,"mm/dd/yyyy")</f>
        <v>RetDate1</v>
      </c>
      <c r="S151" s="35"/>
      <c r="T151" s="35" t="s">
        <v>2</v>
      </c>
      <c r="U151" s="35"/>
      <c r="V151" s="35"/>
      <c r="W151" s="35"/>
      <c r="X151" s="35"/>
      <c r="Y151" s="35"/>
      <c r="Z151" s="35"/>
    </row>
    <row r="152" spans="1:26">
      <c r="A152" s="33" t="str">
        <f t="shared" si="4"/>
        <v>Y</v>
      </c>
      <c r="B152" s="34">
        <f>COUNTA($B$1:B151)</f>
        <v>141</v>
      </c>
      <c r="C152" s="35" t="s">
        <v>429</v>
      </c>
      <c r="D152" s="35"/>
      <c r="E152" s="35"/>
      <c r="F152" s="34"/>
      <c r="G152" s="35" t="s">
        <v>133</v>
      </c>
      <c r="H152" s="35"/>
      <c r="I152" s="35" t="s">
        <v>55</v>
      </c>
      <c r="J152" s="35" t="s">
        <v>826</v>
      </c>
      <c r="K152" s="34">
        <v>0</v>
      </c>
      <c r="L152" s="35" t="s">
        <v>98</v>
      </c>
      <c r="M152" s="36"/>
      <c r="N152" s="35" t="s">
        <v>99</v>
      </c>
      <c r="O152" s="35"/>
      <c r="P152" s="35"/>
      <c r="Q152" s="35"/>
      <c r="R152" s="36" t="s">
        <v>196</v>
      </c>
      <c r="S152" s="35"/>
      <c r="T152" s="35" t="s">
        <v>2</v>
      </c>
      <c r="U152" s="35"/>
      <c r="V152" s="35"/>
      <c r="W152" s="35"/>
      <c r="X152" s="35"/>
      <c r="Y152" s="35"/>
      <c r="Z152" s="35"/>
    </row>
    <row r="153" spans="1:26">
      <c r="A153" s="33" t="str">
        <f t="shared" si="4"/>
        <v>Y</v>
      </c>
      <c r="B153" s="34">
        <f>COUNTA($B$1:B152)</f>
        <v>142</v>
      </c>
      <c r="C153" s="35" t="s">
        <v>433</v>
      </c>
      <c r="D153" s="35"/>
      <c r="E153" s="35"/>
      <c r="F153" s="34"/>
      <c r="G153" s="35" t="s">
        <v>133</v>
      </c>
      <c r="H153" s="35"/>
      <c r="I153" s="35" t="s">
        <v>55</v>
      </c>
      <c r="J153" s="35" t="s">
        <v>832</v>
      </c>
      <c r="K153" s="34"/>
      <c r="L153" s="35" t="s">
        <v>98</v>
      </c>
      <c r="M153" s="36"/>
      <c r="N153" s="35" t="s">
        <v>99</v>
      </c>
      <c r="O153" s="35"/>
      <c r="P153" s="35"/>
      <c r="Q153" s="35"/>
      <c r="R153" s="64"/>
      <c r="S153" s="35"/>
      <c r="T153" s="35"/>
      <c r="U153" s="35"/>
      <c r="V153" s="35"/>
      <c r="W153" s="35"/>
      <c r="X153" s="35"/>
      <c r="Y153" s="35"/>
      <c r="Z153" s="35"/>
    </row>
    <row r="154" spans="1:26">
      <c r="A154" s="33" t="s">
        <v>419</v>
      </c>
      <c r="B154" s="34">
        <f>COUNTA($B$1:B153)</f>
        <v>143</v>
      </c>
      <c r="C154" s="35" t="s">
        <v>67</v>
      </c>
      <c r="D154" s="35"/>
      <c r="E154" s="35"/>
      <c r="F154" s="34"/>
      <c r="G154" s="35" t="s">
        <v>133</v>
      </c>
      <c r="H154" s="35"/>
      <c r="I154" s="35"/>
      <c r="J154" s="35"/>
      <c r="K154" s="34"/>
      <c r="L154" s="35" t="s">
        <v>67</v>
      </c>
      <c r="M154" s="36">
        <v>3</v>
      </c>
      <c r="N154" s="35"/>
      <c r="O154" s="35"/>
      <c r="P154" s="35"/>
      <c r="Q154" s="35"/>
      <c r="R154" s="36"/>
      <c r="S154" s="35"/>
      <c r="T154" s="35"/>
      <c r="U154" s="35"/>
      <c r="V154" s="35"/>
      <c r="W154" s="35"/>
      <c r="X154" s="35"/>
      <c r="Y154" s="35"/>
      <c r="Z154" s="35"/>
    </row>
    <row r="155" spans="1:26">
      <c r="A155" s="33" t="s">
        <v>419</v>
      </c>
      <c r="B155" s="34">
        <f>COUNTA($B$1:B154)</f>
        <v>144</v>
      </c>
      <c r="C155" s="35" t="s">
        <v>93</v>
      </c>
      <c r="D155" s="35"/>
      <c r="E155" s="35"/>
      <c r="F155" s="34"/>
      <c r="G155" s="35" t="s">
        <v>133</v>
      </c>
      <c r="H155" s="35"/>
      <c r="I155" s="35" t="s">
        <v>55</v>
      </c>
      <c r="J155" s="35" t="s">
        <v>92</v>
      </c>
      <c r="K155" s="34">
        <v>0</v>
      </c>
      <c r="L155" s="35" t="s">
        <v>0</v>
      </c>
      <c r="M155" s="50" t="s">
        <v>261</v>
      </c>
      <c r="N155" s="35"/>
      <c r="O155" s="35"/>
      <c r="P155" s="35"/>
      <c r="Q155" s="35"/>
      <c r="R155" s="52"/>
      <c r="S155" s="35"/>
      <c r="T155" s="35"/>
      <c r="U155" s="35"/>
      <c r="V155" s="35"/>
      <c r="W155" s="35"/>
      <c r="X155" s="35"/>
      <c r="Y155" s="35"/>
      <c r="Z155" s="35"/>
    </row>
    <row r="156" spans="1:26">
      <c r="A156" s="33" t="s">
        <v>419</v>
      </c>
      <c r="B156" s="34">
        <f>COUNTA($B$1:B155)</f>
        <v>145</v>
      </c>
      <c r="C156" s="35" t="s">
        <v>262</v>
      </c>
      <c r="D156" s="35"/>
      <c r="E156" s="35"/>
      <c r="F156" s="34"/>
      <c r="G156" s="35" t="s">
        <v>133</v>
      </c>
      <c r="H156" s="35"/>
      <c r="I156" s="35"/>
      <c r="J156" s="35"/>
      <c r="K156" s="34">
        <v>2</v>
      </c>
      <c r="L156" s="35" t="s">
        <v>95</v>
      </c>
      <c r="M156" s="35"/>
      <c r="N156" s="35"/>
      <c r="O156" s="35"/>
      <c r="P156" s="35"/>
      <c r="Q156" s="35"/>
      <c r="R156" s="52"/>
      <c r="S156" s="35"/>
      <c r="T156" s="35"/>
      <c r="U156" s="35"/>
      <c r="V156" s="35"/>
      <c r="W156" s="35"/>
      <c r="X156" s="35"/>
      <c r="Y156" s="35"/>
      <c r="Z156" s="35"/>
    </row>
    <row r="157" spans="1:26">
      <c r="A157" s="33" t="s">
        <v>419</v>
      </c>
      <c r="B157" s="34">
        <f>COUNTA($B$1:B156)</f>
        <v>146</v>
      </c>
      <c r="C157" s="35" t="s">
        <v>94</v>
      </c>
      <c r="D157" s="35"/>
      <c r="E157" s="35"/>
      <c r="F157" s="34"/>
      <c r="G157" s="35" t="s">
        <v>133</v>
      </c>
      <c r="H157" s="35"/>
      <c r="I157" s="35" t="s">
        <v>55</v>
      </c>
      <c r="J157" s="35" t="s">
        <v>263</v>
      </c>
      <c r="K157" s="34">
        <v>0</v>
      </c>
      <c r="L157" s="35" t="s">
        <v>0</v>
      </c>
      <c r="M157" s="50" t="s">
        <v>264</v>
      </c>
      <c r="N157" s="35"/>
      <c r="O157" s="35"/>
      <c r="P157" s="35"/>
      <c r="Q157" s="35"/>
      <c r="R157" s="52"/>
      <c r="S157" s="35"/>
      <c r="T157" s="35"/>
      <c r="U157" s="35"/>
      <c r="V157" s="35"/>
      <c r="W157" s="35"/>
      <c r="X157" s="35"/>
      <c r="Y157" s="35"/>
      <c r="Z157" s="35"/>
    </row>
    <row r="158" spans="1:26">
      <c r="A158" s="33" t="s">
        <v>419</v>
      </c>
      <c r="B158" s="34">
        <f>COUNTA($B$1:B157)</f>
        <v>147</v>
      </c>
      <c r="C158" s="35" t="s">
        <v>262</v>
      </c>
      <c r="D158" s="35"/>
      <c r="E158" s="35"/>
      <c r="F158" s="34"/>
      <c r="G158" s="35" t="s">
        <v>133</v>
      </c>
      <c r="H158" s="35"/>
      <c r="I158" s="35"/>
      <c r="J158" s="35"/>
      <c r="K158" s="34">
        <v>0</v>
      </c>
      <c r="L158" s="35" t="s">
        <v>96</v>
      </c>
      <c r="M158" s="35"/>
      <c r="N158" s="35"/>
      <c r="O158" s="35"/>
      <c r="P158" s="35"/>
      <c r="Q158" s="35"/>
      <c r="R158" s="52"/>
      <c r="S158" s="35"/>
      <c r="T158" s="35"/>
      <c r="U158" s="35"/>
      <c r="V158" s="35"/>
      <c r="W158" s="35"/>
      <c r="X158" s="35"/>
      <c r="Y158" s="35"/>
      <c r="Z158" s="35"/>
    </row>
    <row r="159" spans="1:26">
      <c r="A159" s="33" t="s">
        <v>419</v>
      </c>
      <c r="B159" s="34">
        <f>COUNTA($B$1:B158)</f>
        <v>148</v>
      </c>
      <c r="C159" s="35" t="s">
        <v>262</v>
      </c>
      <c r="D159" s="35"/>
      <c r="E159" s="35"/>
      <c r="F159" s="34"/>
      <c r="G159" s="35" t="s">
        <v>133</v>
      </c>
      <c r="H159" s="35"/>
      <c r="I159" s="35"/>
      <c r="J159" s="35"/>
      <c r="K159" s="34">
        <v>2</v>
      </c>
      <c r="L159" s="35" t="s">
        <v>95</v>
      </c>
      <c r="M159" s="35"/>
      <c r="N159" s="35"/>
      <c r="O159" s="35"/>
      <c r="P159" s="35"/>
      <c r="Q159" s="35"/>
      <c r="R159" s="52"/>
      <c r="S159" s="35"/>
      <c r="T159" s="35"/>
      <c r="U159" s="35"/>
      <c r="V159" s="35"/>
      <c r="W159" s="35"/>
      <c r="X159" s="35"/>
      <c r="Y159" s="35"/>
      <c r="Z159" s="35"/>
    </row>
    <row r="160" spans="1:26">
      <c r="A160" s="217" t="s">
        <v>21</v>
      </c>
      <c r="B160" s="218">
        <f>COUNTA($B$1:B159)</f>
        <v>149</v>
      </c>
      <c r="C160" s="219" t="s">
        <v>226</v>
      </c>
      <c r="D160" s="51"/>
      <c r="E160" s="52"/>
      <c r="F160" s="34"/>
      <c r="G160" s="35" t="s">
        <v>133</v>
      </c>
      <c r="H160" s="35"/>
      <c r="I160" s="35"/>
      <c r="J160" s="35"/>
      <c r="K160" s="34"/>
      <c r="L160" s="35" t="s">
        <v>227</v>
      </c>
      <c r="M160" s="36" t="s">
        <v>79</v>
      </c>
      <c r="N160" s="35"/>
      <c r="O160" s="35"/>
      <c r="P160" s="35"/>
      <c r="Q160" s="35"/>
      <c r="R160" s="35"/>
      <c r="S160" s="52"/>
      <c r="T160" s="35"/>
      <c r="U160" s="35"/>
      <c r="V160" s="35"/>
      <c r="W160" s="35"/>
      <c r="X160" s="52"/>
      <c r="Y160" s="52"/>
      <c r="Z160" s="52"/>
    </row>
    <row r="161" spans="1:26">
      <c r="A161" s="217" t="s">
        <v>21</v>
      </c>
      <c r="B161" s="218">
        <f>COUNTA($B$1:B160)</f>
        <v>150</v>
      </c>
      <c r="C161" s="219" t="s">
        <v>265</v>
      </c>
      <c r="D161" s="35"/>
      <c r="E161" s="35"/>
      <c r="F161" s="34"/>
      <c r="G161" s="35" t="s">
        <v>133</v>
      </c>
      <c r="H161" s="35"/>
      <c r="I161" s="35"/>
      <c r="J161" s="35"/>
      <c r="K161" s="34"/>
      <c r="L161" s="35" t="s">
        <v>227</v>
      </c>
      <c r="M161" s="50" t="s">
        <v>266</v>
      </c>
      <c r="N161" s="35"/>
      <c r="O161" s="35"/>
      <c r="P161" s="35"/>
      <c r="Q161" s="35"/>
      <c r="R161" s="52"/>
      <c r="S161" s="35"/>
      <c r="T161" s="35"/>
      <c r="U161" s="35"/>
      <c r="V161" s="35"/>
      <c r="W161" s="35"/>
      <c r="X161" s="35"/>
      <c r="Y161" s="35"/>
      <c r="Z161" s="35"/>
    </row>
    <row r="162" spans="1:26" s="17" customFormat="1">
      <c r="A162" s="217" t="s">
        <v>21</v>
      </c>
      <c r="B162" s="218">
        <f>COUNTA($B$1:B161)</f>
        <v>151</v>
      </c>
      <c r="C162" s="219" t="s">
        <v>267</v>
      </c>
      <c r="D162" s="35"/>
      <c r="E162" s="35"/>
      <c r="F162" s="34"/>
      <c r="G162" s="35" t="s">
        <v>133</v>
      </c>
      <c r="H162" s="35"/>
      <c r="I162" s="35"/>
      <c r="J162" s="35"/>
      <c r="K162" s="34"/>
      <c r="L162" s="35" t="s">
        <v>227</v>
      </c>
      <c r="M162" s="50" t="s">
        <v>268</v>
      </c>
      <c r="N162" s="35"/>
      <c r="O162" s="35"/>
      <c r="P162" s="35"/>
      <c r="Q162" s="35"/>
      <c r="R162" s="52"/>
      <c r="S162" s="35"/>
      <c r="T162" s="35"/>
      <c r="U162" s="35"/>
      <c r="V162" s="35"/>
      <c r="W162" s="35"/>
      <c r="X162" s="35"/>
      <c r="Y162" s="35"/>
      <c r="Z162" s="35"/>
    </row>
    <row r="163" spans="1:26" s="17" customFormat="1">
      <c r="A163" s="217" t="s">
        <v>21</v>
      </c>
      <c r="B163" s="218">
        <f>COUNTA($B$1:B162)</f>
        <v>152</v>
      </c>
      <c r="C163" s="219" t="s">
        <v>226</v>
      </c>
      <c r="D163" s="51"/>
      <c r="E163" s="52"/>
      <c r="F163" s="34"/>
      <c r="G163" s="35" t="s">
        <v>133</v>
      </c>
      <c r="H163" s="35"/>
      <c r="I163" s="35"/>
      <c r="J163" s="35"/>
      <c r="K163" s="34"/>
      <c r="L163" s="35" t="s">
        <v>227</v>
      </c>
      <c r="M163" s="36" t="s">
        <v>79</v>
      </c>
      <c r="N163" s="35"/>
      <c r="O163" s="35"/>
      <c r="P163" s="35"/>
      <c r="Q163" s="35"/>
      <c r="R163" s="35"/>
      <c r="S163" s="52"/>
      <c r="T163" s="35"/>
      <c r="U163" s="35"/>
      <c r="V163" s="35"/>
      <c r="W163" s="35"/>
      <c r="X163" s="52"/>
      <c r="Y163" s="52"/>
      <c r="Z163" s="52"/>
    </row>
    <row r="164" spans="1:26" s="19" customFormat="1" outlineLevel="1">
      <c r="A164" s="33" t="s">
        <v>419</v>
      </c>
      <c r="B164" s="34">
        <f>COUNTA($B$1:B163)</f>
        <v>153</v>
      </c>
      <c r="C164" s="35" t="s">
        <v>948</v>
      </c>
      <c r="D164" s="35"/>
      <c r="E164" s="35"/>
      <c r="F164" s="34"/>
      <c r="G164" s="35" t="s">
        <v>133</v>
      </c>
      <c r="H164" s="35"/>
      <c r="I164" s="35" t="s">
        <v>55</v>
      </c>
      <c r="J164" s="35" t="s">
        <v>949</v>
      </c>
      <c r="K164" s="34">
        <v>0</v>
      </c>
      <c r="L164" s="35" t="s">
        <v>34</v>
      </c>
      <c r="M164" s="35"/>
      <c r="N164" s="35"/>
      <c r="O164" s="35"/>
      <c r="P164" s="35"/>
      <c r="Q164" s="35"/>
      <c r="R164" s="35"/>
      <c r="S164" s="35"/>
      <c r="T164" s="35"/>
      <c r="U164" s="35"/>
      <c r="V164" s="35"/>
      <c r="W164" s="35"/>
      <c r="X164" s="35"/>
      <c r="Y164" s="35"/>
      <c r="Z164" s="35"/>
    </row>
    <row r="165" spans="1:26" s="19" customFormat="1" outlineLevel="1">
      <c r="A165" s="33" t="s">
        <v>419</v>
      </c>
      <c r="B165" s="34">
        <f>COUNTA($B$1:B164)</f>
        <v>154</v>
      </c>
      <c r="C165" s="35" t="s">
        <v>67</v>
      </c>
      <c r="D165" s="35"/>
      <c r="E165" s="35"/>
      <c r="F165" s="34"/>
      <c r="G165" s="35" t="s">
        <v>133</v>
      </c>
      <c r="H165" s="35"/>
      <c r="I165" s="35"/>
      <c r="J165" s="35"/>
      <c r="K165" s="34"/>
      <c r="L165" s="35" t="s">
        <v>67</v>
      </c>
      <c r="M165" s="36">
        <v>2</v>
      </c>
      <c r="N165" s="35"/>
      <c r="O165" s="35"/>
      <c r="P165" s="35"/>
      <c r="Q165" s="35"/>
      <c r="R165" s="35"/>
      <c r="S165" s="35"/>
      <c r="T165" s="35"/>
      <c r="U165" s="35"/>
      <c r="V165" s="35"/>
      <c r="W165" s="35"/>
      <c r="X165" s="35"/>
      <c r="Y165" s="35"/>
      <c r="Z165" s="35"/>
    </row>
    <row r="166" spans="1:26" s="19" customFormat="1" outlineLevel="1">
      <c r="A166" s="33" t="s">
        <v>419</v>
      </c>
      <c r="B166" s="34">
        <f>COUNTA($B$1:B165)</f>
        <v>155</v>
      </c>
      <c r="C166" s="35" t="s">
        <v>952</v>
      </c>
      <c r="D166" s="35"/>
      <c r="E166" s="35"/>
      <c r="F166" s="34"/>
      <c r="G166" s="35" t="s">
        <v>133</v>
      </c>
      <c r="H166" s="35"/>
      <c r="I166" s="35" t="s">
        <v>55</v>
      </c>
      <c r="J166" s="35" t="s">
        <v>949</v>
      </c>
      <c r="K166" s="34">
        <v>0</v>
      </c>
      <c r="L166" s="35" t="s">
        <v>951</v>
      </c>
      <c r="M166" s="50" t="s">
        <v>266</v>
      </c>
      <c r="N166" s="35"/>
      <c r="O166" s="35"/>
      <c r="P166" s="35"/>
      <c r="Q166" s="35"/>
      <c r="R166" s="35"/>
      <c r="S166" s="35"/>
      <c r="T166" s="35"/>
      <c r="U166" s="35"/>
      <c r="V166" s="35"/>
      <c r="W166" s="35"/>
      <c r="X166" s="35"/>
      <c r="Y166" s="35"/>
      <c r="Z166" s="35"/>
    </row>
    <row r="167" spans="1:26" s="19" customFormat="1" outlineLevel="1">
      <c r="A167" s="33" t="s">
        <v>419</v>
      </c>
      <c r="B167" s="34">
        <f>COUNTA($B$1:B166)</f>
        <v>156</v>
      </c>
      <c r="C167" s="35" t="s">
        <v>953</v>
      </c>
      <c r="D167" s="35"/>
      <c r="E167" s="35"/>
      <c r="F167" s="34"/>
      <c r="G167" s="35" t="s">
        <v>133</v>
      </c>
      <c r="H167" s="35"/>
      <c r="I167" s="35" t="s">
        <v>55</v>
      </c>
      <c r="J167" s="35" t="s">
        <v>949</v>
      </c>
      <c r="K167" s="34">
        <v>0</v>
      </c>
      <c r="L167" s="35" t="s">
        <v>951</v>
      </c>
      <c r="M167" s="50" t="s">
        <v>268</v>
      </c>
      <c r="N167" s="35"/>
      <c r="O167" s="35"/>
      <c r="P167" s="35"/>
      <c r="Q167" s="35"/>
      <c r="R167" s="35"/>
      <c r="S167" s="35"/>
      <c r="T167" s="35"/>
      <c r="U167" s="35"/>
      <c r="V167" s="35"/>
      <c r="W167" s="35"/>
      <c r="X167" s="35"/>
      <c r="Y167" s="35"/>
      <c r="Z167" s="35"/>
    </row>
    <row r="168" spans="1:26" s="17" customFormat="1">
      <c r="A168" s="33" t="s">
        <v>419</v>
      </c>
      <c r="B168" s="34">
        <f>COUNTA($B$1:B167)</f>
        <v>157</v>
      </c>
      <c r="C168" s="247" t="s">
        <v>226</v>
      </c>
      <c r="D168" s="51"/>
      <c r="E168" s="52"/>
      <c r="F168" s="34"/>
      <c r="G168" s="35" t="s">
        <v>133</v>
      </c>
      <c r="H168" s="35"/>
      <c r="I168" s="35"/>
      <c r="J168" s="35"/>
      <c r="K168" s="34"/>
      <c r="L168" s="35" t="s">
        <v>227</v>
      </c>
      <c r="M168" s="36" t="s">
        <v>79</v>
      </c>
      <c r="N168" s="35"/>
      <c r="O168" s="35"/>
      <c r="P168" s="35"/>
      <c r="Q168" s="35"/>
      <c r="R168" s="35"/>
      <c r="S168" s="52"/>
      <c r="T168" s="35"/>
      <c r="U168" s="35"/>
      <c r="V168" s="35"/>
      <c r="W168" s="35"/>
      <c r="X168" s="52"/>
      <c r="Y168" s="52"/>
      <c r="Z168" s="52"/>
    </row>
    <row r="169" spans="1:26" s="19" customFormat="1" outlineLevel="1">
      <c r="A169" s="33" t="s">
        <v>419</v>
      </c>
      <c r="B169" s="34">
        <f>COUNTA($B$1:B168)</f>
        <v>158</v>
      </c>
      <c r="C169" s="35" t="s">
        <v>67</v>
      </c>
      <c r="D169" s="35"/>
      <c r="E169" s="35"/>
      <c r="F169" s="34"/>
      <c r="G169" s="35" t="s">
        <v>133</v>
      </c>
      <c r="H169" s="35"/>
      <c r="I169" s="35"/>
      <c r="J169" s="35"/>
      <c r="K169" s="34"/>
      <c r="L169" s="35" t="s">
        <v>67</v>
      </c>
      <c r="M169" s="36">
        <v>2</v>
      </c>
      <c r="N169" s="35"/>
      <c r="O169" s="35"/>
      <c r="P169" s="35"/>
      <c r="Q169" s="35"/>
      <c r="R169" s="35"/>
      <c r="S169" s="35"/>
      <c r="T169" s="35"/>
      <c r="U169" s="35"/>
      <c r="V169" s="35"/>
      <c r="W169" s="35"/>
      <c r="X169" s="35"/>
      <c r="Y169" s="35"/>
      <c r="Z169" s="35"/>
    </row>
    <row r="170" spans="1:26" s="17" customFormat="1">
      <c r="A170" s="33" t="s">
        <v>419</v>
      </c>
      <c r="B170" s="34">
        <f>COUNTA($B$1:B169)</f>
        <v>159</v>
      </c>
      <c r="C170" s="35" t="s">
        <v>262</v>
      </c>
      <c r="D170" s="35"/>
      <c r="E170" s="35"/>
      <c r="F170" s="34"/>
      <c r="G170" s="35" t="s">
        <v>133</v>
      </c>
      <c r="H170" s="35"/>
      <c r="I170" s="35"/>
      <c r="J170" s="35"/>
      <c r="K170" s="34">
        <v>0</v>
      </c>
      <c r="L170" s="35" t="s">
        <v>96</v>
      </c>
      <c r="M170" s="35"/>
      <c r="N170" s="35"/>
      <c r="O170" s="35"/>
      <c r="P170" s="35"/>
      <c r="Q170" s="35"/>
      <c r="R170" s="52"/>
      <c r="S170" s="35"/>
      <c r="T170" s="35"/>
      <c r="U170" s="35"/>
      <c r="V170" s="35"/>
      <c r="W170" s="35"/>
      <c r="X170" s="35"/>
      <c r="Y170" s="35"/>
      <c r="Z170" s="35"/>
    </row>
    <row r="171" spans="1:26" s="17" customFormat="1">
      <c r="A171" s="33" t="s">
        <v>419</v>
      </c>
      <c r="B171" s="34">
        <f>COUNTA($B$1:B170)</f>
        <v>160</v>
      </c>
      <c r="C171" s="35" t="s">
        <v>67</v>
      </c>
      <c r="D171" s="35"/>
      <c r="E171" s="35"/>
      <c r="F171" s="34"/>
      <c r="G171" s="35" t="s">
        <v>133</v>
      </c>
      <c r="H171" s="35"/>
      <c r="I171" s="35"/>
      <c r="J171" s="35"/>
      <c r="K171" s="34"/>
      <c r="L171" s="35" t="s">
        <v>67</v>
      </c>
      <c r="M171" s="36">
        <v>3</v>
      </c>
      <c r="N171" s="35"/>
      <c r="O171" s="35"/>
      <c r="P171" s="35"/>
      <c r="Q171" s="35"/>
      <c r="R171" s="36"/>
      <c r="S171" s="35"/>
      <c r="T171" s="35"/>
      <c r="U171" s="35"/>
      <c r="V171" s="35"/>
      <c r="W171" s="35"/>
      <c r="X171" s="35"/>
      <c r="Y171" s="35"/>
      <c r="Z171" s="35"/>
    </row>
    <row r="172" spans="1:26" s="17" customFormat="1">
      <c r="A172" s="33" t="s">
        <v>419</v>
      </c>
      <c r="B172" s="34">
        <f>COUNTA($B$1:B171)</f>
        <v>161</v>
      </c>
      <c r="C172" s="35" t="s">
        <v>312</v>
      </c>
      <c r="D172" s="51"/>
      <c r="E172" s="52" t="s">
        <v>154</v>
      </c>
      <c r="F172" s="34"/>
      <c r="G172" s="35" t="s">
        <v>133</v>
      </c>
      <c r="H172" s="35"/>
      <c r="I172" s="35" t="s">
        <v>55</v>
      </c>
      <c r="J172" s="35" t="s">
        <v>313</v>
      </c>
      <c r="K172" s="34">
        <v>0</v>
      </c>
      <c r="L172" s="35" t="s">
        <v>147</v>
      </c>
      <c r="M172" s="36"/>
      <c r="N172" s="35"/>
      <c r="O172" s="35"/>
      <c r="P172" s="35"/>
      <c r="Q172" s="35"/>
      <c r="R172" s="35"/>
      <c r="S172" s="52"/>
      <c r="T172" s="35"/>
      <c r="U172" s="35"/>
      <c r="V172" s="35"/>
      <c r="W172" s="35"/>
      <c r="X172" s="52"/>
      <c r="Y172" s="52"/>
      <c r="Z172" s="52"/>
    </row>
    <row r="173" spans="1:26" s="17" customFormat="1">
      <c r="A173" s="33" t="s">
        <v>419</v>
      </c>
      <c r="B173" s="34">
        <f>COUNTA($B$1:B172)</f>
        <v>162</v>
      </c>
      <c r="C173" s="35" t="s">
        <v>67</v>
      </c>
      <c r="D173" s="35"/>
      <c r="E173" s="35"/>
      <c r="F173" s="34"/>
      <c r="G173" s="35" t="s">
        <v>133</v>
      </c>
      <c r="H173" s="35"/>
      <c r="I173" s="35"/>
      <c r="J173" s="35"/>
      <c r="K173" s="34"/>
      <c r="L173" s="35" t="s">
        <v>67</v>
      </c>
      <c r="M173" s="36">
        <v>2</v>
      </c>
      <c r="N173" s="35"/>
      <c r="O173" s="35"/>
      <c r="P173" s="35"/>
      <c r="Q173" s="35"/>
      <c r="R173" s="36"/>
      <c r="S173" s="35"/>
      <c r="T173" s="35"/>
      <c r="U173" s="35"/>
      <c r="V173" s="35"/>
      <c r="W173" s="35"/>
      <c r="X173" s="35"/>
      <c r="Y173" s="35"/>
      <c r="Z173" s="35"/>
    </row>
    <row r="174" spans="1:26" s="17" customFormat="1">
      <c r="A174" s="33" t="str" cm="1">
        <f t="array" ref="A174">_xlfn.IFS(Global!B2="QA","bln678042",Global!B2="UAT","bln678042",Global!B2="PROD","N")</f>
        <v>bln678042</v>
      </c>
      <c r="B174" s="34">
        <f>COUNTA($B$1:B173)</f>
        <v>163</v>
      </c>
      <c r="C174" s="35" t="s">
        <v>190</v>
      </c>
      <c r="D174" s="35"/>
      <c r="E174" s="35"/>
      <c r="F174" s="34"/>
      <c r="G174" s="35" t="s">
        <v>133</v>
      </c>
      <c r="H174" s="35"/>
      <c r="I174" s="35" t="s">
        <v>55</v>
      </c>
      <c r="J174" s="35" t="s">
        <v>87</v>
      </c>
      <c r="K174" s="34">
        <v>0</v>
      </c>
      <c r="L174" s="35" t="s">
        <v>147</v>
      </c>
      <c r="M174" s="36"/>
      <c r="N174" s="35"/>
      <c r="O174" s="35"/>
      <c r="P174" s="35"/>
      <c r="Q174" s="35"/>
      <c r="R174" s="35"/>
      <c r="S174" s="35"/>
      <c r="T174" s="35"/>
      <c r="U174" s="35"/>
      <c r="V174" s="35"/>
      <c r="W174" s="35"/>
      <c r="X174" s="35"/>
      <c r="Y174" s="35"/>
      <c r="Z174" s="35"/>
    </row>
    <row r="175" spans="1:26" s="17" customFormat="1">
      <c r="A175" s="33" t="str">
        <f>A174</f>
        <v>bln678042</v>
      </c>
      <c r="B175" s="34">
        <f>COUNTA($B$1:B174)</f>
        <v>164</v>
      </c>
      <c r="C175" s="35" t="s">
        <v>67</v>
      </c>
      <c r="D175" s="35"/>
      <c r="E175" s="35"/>
      <c r="F175" s="34"/>
      <c r="G175" s="35" t="s">
        <v>133</v>
      </c>
      <c r="H175" s="35"/>
      <c r="I175" s="35"/>
      <c r="J175" s="35"/>
      <c r="K175" s="34"/>
      <c r="L175" s="35" t="s">
        <v>67</v>
      </c>
      <c r="M175" s="36">
        <v>10</v>
      </c>
      <c r="N175" s="35"/>
      <c r="O175" s="35"/>
      <c r="P175" s="35"/>
      <c r="Q175" s="35"/>
      <c r="R175" s="36"/>
      <c r="S175" s="35"/>
      <c r="T175" s="35"/>
      <c r="U175" s="35"/>
      <c r="V175" s="35"/>
      <c r="W175" s="35"/>
      <c r="X175" s="35"/>
      <c r="Y175" s="35"/>
      <c r="Z175" s="35"/>
    </row>
    <row r="176" spans="1:26" s="17" customFormat="1">
      <c r="A176" s="30" t="s">
        <v>100</v>
      </c>
      <c r="B176" s="31"/>
      <c r="C176" s="31"/>
      <c r="D176" s="32"/>
      <c r="E176" s="32"/>
      <c r="F176" s="31"/>
      <c r="G176" s="32"/>
      <c r="H176" s="32"/>
      <c r="I176" s="32"/>
      <c r="J176" s="32"/>
      <c r="K176" s="31"/>
      <c r="L176" s="32"/>
      <c r="M176" s="32"/>
      <c r="N176" s="32"/>
      <c r="O176" s="32"/>
      <c r="P176" s="32"/>
      <c r="Q176" s="32"/>
      <c r="R176" s="32"/>
      <c r="S176" s="32"/>
      <c r="T176" s="32"/>
      <c r="U176" s="32"/>
      <c r="V176" s="32"/>
      <c r="W176" s="32"/>
      <c r="X176" s="32"/>
      <c r="Y176" s="32"/>
      <c r="Z176" s="32"/>
    </row>
    <row r="177" spans="1:26" s="17" customFormat="1">
      <c r="A177" s="33" t="str">
        <f>IF(Global!B2="QA","Y","N")</f>
        <v>N</v>
      </c>
      <c r="B177" s="34">
        <f>COUNTA($B$1:B176)</f>
        <v>165</v>
      </c>
      <c r="C177" s="35" t="s">
        <v>455</v>
      </c>
      <c r="D177" s="35"/>
      <c r="E177" s="35"/>
      <c r="F177" s="34"/>
      <c r="G177" s="35" t="s">
        <v>133</v>
      </c>
      <c r="H177" s="35"/>
      <c r="I177" s="35" t="s">
        <v>55</v>
      </c>
      <c r="J177" s="35" t="s">
        <v>456</v>
      </c>
      <c r="K177" s="34">
        <v>0</v>
      </c>
      <c r="L177" s="35" t="s">
        <v>98</v>
      </c>
      <c r="M177" s="36"/>
      <c r="N177" s="35" t="s">
        <v>99</v>
      </c>
      <c r="O177" s="35"/>
      <c r="P177" s="35"/>
      <c r="Q177" s="35"/>
      <c r="R177" s="36" t="s">
        <v>319</v>
      </c>
      <c r="S177" s="35"/>
      <c r="T177" s="35" t="s">
        <v>2</v>
      </c>
      <c r="U177" s="35"/>
      <c r="V177" s="35"/>
      <c r="W177" s="35"/>
      <c r="X177" s="35"/>
      <c r="Y177" s="35"/>
      <c r="Z177" s="35"/>
    </row>
    <row r="178" spans="1:26" s="17" customFormat="1">
      <c r="A178" s="33" t="str">
        <f>A177</f>
        <v>N</v>
      </c>
      <c r="B178" s="34">
        <f>COUNTA($B$1:B177)</f>
        <v>166</v>
      </c>
      <c r="C178" s="35" t="s">
        <v>457</v>
      </c>
      <c r="D178" s="35"/>
      <c r="E178" s="35"/>
      <c r="F178" s="34"/>
      <c r="G178" s="35" t="s">
        <v>133</v>
      </c>
      <c r="H178" s="35"/>
      <c r="I178" s="35" t="s">
        <v>55</v>
      </c>
      <c r="J178" s="35" t="s">
        <v>458</v>
      </c>
      <c r="K178" s="34">
        <v>0</v>
      </c>
      <c r="L178" s="35" t="s">
        <v>98</v>
      </c>
      <c r="M178" s="36"/>
      <c r="N178" s="35" t="s">
        <v>99</v>
      </c>
      <c r="O178" s="35"/>
      <c r="P178" s="35"/>
      <c r="Q178" s="35"/>
      <c r="R178" s="36" t="s">
        <v>322</v>
      </c>
      <c r="S178" s="35"/>
      <c r="T178" s="35" t="s">
        <v>2</v>
      </c>
      <c r="U178" s="35"/>
      <c r="V178" s="35"/>
      <c r="W178" s="35"/>
      <c r="X178" s="35"/>
      <c r="Y178" s="35"/>
      <c r="Z178" s="35"/>
    </row>
    <row r="179" spans="1:26" s="17" customFormat="1">
      <c r="A179" s="33" t="str">
        <f t="shared" ref="A179:A197" si="5">A178</f>
        <v>N</v>
      </c>
      <c r="B179" s="34">
        <f>COUNTA($B$1:B178)</f>
        <v>167</v>
      </c>
      <c r="C179" s="35" t="s">
        <v>327</v>
      </c>
      <c r="D179" s="51"/>
      <c r="E179" s="52"/>
      <c r="F179" s="34"/>
      <c r="G179" s="35" t="s">
        <v>133</v>
      </c>
      <c r="H179" s="35"/>
      <c r="I179" s="35" t="s">
        <v>55</v>
      </c>
      <c r="J179" s="35" t="s">
        <v>328</v>
      </c>
      <c r="K179" s="34">
        <v>0</v>
      </c>
      <c r="L179" s="35" t="s">
        <v>98</v>
      </c>
      <c r="M179" s="35"/>
      <c r="N179" s="35" t="s">
        <v>99</v>
      </c>
      <c r="O179" s="35"/>
      <c r="P179" s="35"/>
      <c r="Q179" s="35"/>
      <c r="R179" s="35"/>
      <c r="S179" s="35" t="s">
        <v>329</v>
      </c>
      <c r="T179" s="35"/>
      <c r="U179" s="35"/>
      <c r="V179" s="35"/>
      <c r="W179" s="35"/>
      <c r="X179" s="52"/>
      <c r="Y179" s="52"/>
      <c r="Z179" s="52"/>
    </row>
    <row r="180" spans="1:26" s="17" customFormat="1">
      <c r="A180" s="33" t="str">
        <f t="shared" si="5"/>
        <v>N</v>
      </c>
      <c r="B180" s="34">
        <f>COUNTA($B$1:B179)</f>
        <v>168</v>
      </c>
      <c r="C180" s="35" t="s">
        <v>330</v>
      </c>
      <c r="D180" s="35"/>
      <c r="E180" s="35"/>
      <c r="F180" s="34"/>
      <c r="G180" s="35" t="s">
        <v>133</v>
      </c>
      <c r="H180" s="35"/>
      <c r="I180" s="35" t="s">
        <v>55</v>
      </c>
      <c r="J180" s="35" t="s">
        <v>107</v>
      </c>
      <c r="K180" s="34">
        <v>0</v>
      </c>
      <c r="L180" s="35" t="s">
        <v>98</v>
      </c>
      <c r="M180" s="36"/>
      <c r="N180" s="35" t="s">
        <v>99</v>
      </c>
      <c r="O180" s="35"/>
      <c r="P180" s="35"/>
      <c r="Q180" s="35"/>
      <c r="R180" s="36" t="s">
        <v>196</v>
      </c>
      <c r="S180" s="35"/>
      <c r="T180" s="35" t="s">
        <v>2</v>
      </c>
      <c r="U180" s="35"/>
      <c r="V180" s="35"/>
      <c r="W180" s="35"/>
      <c r="X180" s="35"/>
      <c r="Y180" s="35"/>
      <c r="Z180" s="35"/>
    </row>
    <row r="181" spans="1:26" s="17" customFormat="1">
      <c r="A181" s="33" t="str">
        <f t="shared" si="5"/>
        <v>N</v>
      </c>
      <c r="B181" s="34">
        <f>COUNTA($B$1:B180)</f>
        <v>169</v>
      </c>
      <c r="C181" s="35" t="s">
        <v>459</v>
      </c>
      <c r="D181" s="35"/>
      <c r="E181" s="35"/>
      <c r="F181" s="34"/>
      <c r="G181" s="35" t="s">
        <v>133</v>
      </c>
      <c r="H181" s="35"/>
      <c r="I181" s="35" t="s">
        <v>55</v>
      </c>
      <c r="J181" s="35" t="s">
        <v>460</v>
      </c>
      <c r="K181" s="34">
        <v>0</v>
      </c>
      <c r="L181" s="35" t="s">
        <v>98</v>
      </c>
      <c r="M181" s="36"/>
      <c r="N181" s="35" t="s">
        <v>99</v>
      </c>
      <c r="O181" s="35"/>
      <c r="P181" s="35"/>
      <c r="Q181" s="35"/>
      <c r="R181" s="55" t="s">
        <v>461</v>
      </c>
      <c r="S181" s="35"/>
      <c r="T181" s="35" t="s">
        <v>2</v>
      </c>
      <c r="U181" s="35"/>
      <c r="V181" s="35"/>
      <c r="W181" s="35"/>
      <c r="X181" s="35"/>
      <c r="Y181" s="35"/>
      <c r="Z181" s="35"/>
    </row>
    <row r="182" spans="1:26" s="17" customFormat="1">
      <c r="A182" s="33" t="str">
        <f t="shared" si="5"/>
        <v>N</v>
      </c>
      <c r="B182" s="34">
        <f>COUNTA($B$1:B181)</f>
        <v>170</v>
      </c>
      <c r="C182" s="35" t="s">
        <v>462</v>
      </c>
      <c r="D182" s="35"/>
      <c r="E182" s="35"/>
      <c r="F182" s="34"/>
      <c r="G182" s="35" t="s">
        <v>133</v>
      </c>
      <c r="H182" s="35"/>
      <c r="I182" s="35" t="s">
        <v>55</v>
      </c>
      <c r="J182" s="35" t="s">
        <v>463</v>
      </c>
      <c r="K182" s="34">
        <v>0</v>
      </c>
      <c r="L182" s="35" t="s">
        <v>98</v>
      </c>
      <c r="M182" s="36"/>
      <c r="N182" s="35" t="s">
        <v>99</v>
      </c>
      <c r="O182" s="35"/>
      <c r="P182" s="35"/>
      <c r="Q182" s="35"/>
      <c r="R182" s="55" t="s">
        <v>464</v>
      </c>
      <c r="S182" s="35"/>
      <c r="T182" s="35" t="s">
        <v>2</v>
      </c>
      <c r="U182" s="35"/>
      <c r="V182" s="35"/>
      <c r="W182" s="35"/>
      <c r="X182" s="35"/>
      <c r="Y182" s="35"/>
      <c r="Z182" s="35"/>
    </row>
    <row r="183" spans="1:26" s="17" customFormat="1">
      <c r="A183" s="33" t="str">
        <f t="shared" si="5"/>
        <v>N</v>
      </c>
      <c r="B183" s="34">
        <f>COUNTA($B$1:B182)</f>
        <v>171</v>
      </c>
      <c r="C183" s="35" t="s">
        <v>465</v>
      </c>
      <c r="D183" s="35"/>
      <c r="E183" s="35"/>
      <c r="F183" s="34"/>
      <c r="G183" s="35" t="s">
        <v>133</v>
      </c>
      <c r="H183" s="35"/>
      <c r="I183" s="35" t="s">
        <v>55</v>
      </c>
      <c r="J183" s="35" t="s">
        <v>466</v>
      </c>
      <c r="K183" s="34">
        <v>0</v>
      </c>
      <c r="L183" s="35" t="s">
        <v>98</v>
      </c>
      <c r="M183" s="36"/>
      <c r="N183" s="35" t="s">
        <v>99</v>
      </c>
      <c r="O183" s="35"/>
      <c r="P183" s="35"/>
      <c r="Q183" s="35"/>
      <c r="R183" s="55" t="s">
        <v>467</v>
      </c>
      <c r="S183" s="35"/>
      <c r="T183" s="35" t="s">
        <v>2</v>
      </c>
      <c r="U183" s="35"/>
      <c r="V183" s="35"/>
      <c r="W183" s="35"/>
      <c r="X183" s="35"/>
      <c r="Y183" s="35"/>
      <c r="Z183" s="35"/>
    </row>
    <row r="184" spans="1:26" s="17" customFormat="1">
      <c r="A184" s="33" t="str">
        <f t="shared" si="5"/>
        <v>N</v>
      </c>
      <c r="B184" s="34">
        <f>COUNTA($B$1:B183)</f>
        <v>172</v>
      </c>
      <c r="C184" s="35" t="s">
        <v>468</v>
      </c>
      <c r="D184" s="35"/>
      <c r="E184" s="35"/>
      <c r="F184" s="34"/>
      <c r="G184" s="35" t="s">
        <v>133</v>
      </c>
      <c r="H184" s="35"/>
      <c r="I184" s="35" t="s">
        <v>55</v>
      </c>
      <c r="J184" s="35" t="s">
        <v>469</v>
      </c>
      <c r="K184" s="34">
        <v>0</v>
      </c>
      <c r="L184" s="35" t="s">
        <v>98</v>
      </c>
      <c r="M184" s="36"/>
      <c r="N184" s="35" t="s">
        <v>99</v>
      </c>
      <c r="O184" s="35"/>
      <c r="P184" s="35"/>
      <c r="Q184" s="35"/>
      <c r="R184" s="55" t="s">
        <v>470</v>
      </c>
      <c r="S184" s="35"/>
      <c r="T184" s="35" t="s">
        <v>2</v>
      </c>
      <c r="U184" s="35"/>
      <c r="V184" s="35"/>
      <c r="W184" s="35"/>
      <c r="X184" s="35"/>
      <c r="Y184" s="35"/>
      <c r="Z184" s="35"/>
    </row>
    <row r="185" spans="1:26" s="17" customFormat="1">
      <c r="A185" s="33" t="str">
        <f t="shared" si="5"/>
        <v>N</v>
      </c>
      <c r="B185" s="34">
        <f>COUNTA($B$1:B184)</f>
        <v>173</v>
      </c>
      <c r="C185" s="35" t="s">
        <v>471</v>
      </c>
      <c r="D185" s="35"/>
      <c r="E185" s="35"/>
      <c r="F185" s="34"/>
      <c r="G185" s="35" t="s">
        <v>133</v>
      </c>
      <c r="H185" s="35"/>
      <c r="I185" s="35" t="s">
        <v>55</v>
      </c>
      <c r="J185" s="35" t="s">
        <v>472</v>
      </c>
      <c r="K185" s="34">
        <v>0</v>
      </c>
      <c r="L185" s="35" t="s">
        <v>98</v>
      </c>
      <c r="M185" s="36"/>
      <c r="N185" s="35" t="s">
        <v>99</v>
      </c>
      <c r="O185" s="35"/>
      <c r="P185" s="35"/>
      <c r="Q185" s="35"/>
      <c r="R185" s="55" t="s">
        <v>473</v>
      </c>
      <c r="S185" s="35"/>
      <c r="T185" s="35" t="s">
        <v>2</v>
      </c>
      <c r="U185" s="35"/>
      <c r="V185" s="35"/>
      <c r="W185" s="35"/>
      <c r="X185" s="35"/>
      <c r="Y185" s="35"/>
      <c r="Z185" s="35"/>
    </row>
    <row r="186" spans="1:26" s="17" customFormat="1">
      <c r="A186" s="33" t="str">
        <f t="shared" si="5"/>
        <v>N</v>
      </c>
      <c r="B186" s="34">
        <f>COUNTA($B$1:B185)</f>
        <v>174</v>
      </c>
      <c r="C186" s="35" t="s">
        <v>474</v>
      </c>
      <c r="D186" s="35"/>
      <c r="E186" s="35"/>
      <c r="F186" s="34"/>
      <c r="G186" s="35" t="s">
        <v>133</v>
      </c>
      <c r="H186" s="35"/>
      <c r="I186" s="35" t="s">
        <v>55</v>
      </c>
      <c r="J186" s="35" t="s">
        <v>475</v>
      </c>
      <c r="K186" s="34">
        <v>0</v>
      </c>
      <c r="L186" s="35" t="s">
        <v>98</v>
      </c>
      <c r="M186" s="36"/>
      <c r="N186" s="35" t="s">
        <v>99</v>
      </c>
      <c r="O186" s="35"/>
      <c r="P186" s="35"/>
      <c r="Q186" s="35"/>
      <c r="R186" s="55" t="s">
        <v>476</v>
      </c>
      <c r="S186" s="35"/>
      <c r="T186" s="35"/>
      <c r="U186" s="35"/>
      <c r="V186" s="35"/>
      <c r="W186" s="35"/>
      <c r="X186" s="35"/>
      <c r="Y186" s="35"/>
      <c r="Z186" s="35"/>
    </row>
    <row r="187" spans="1:26" s="17" customFormat="1">
      <c r="A187" s="33" t="str">
        <f t="shared" si="5"/>
        <v>N</v>
      </c>
      <c r="B187" s="34">
        <f>COUNTA($B$1:B186)</f>
        <v>175</v>
      </c>
      <c r="C187" s="35" t="s">
        <v>477</v>
      </c>
      <c r="D187" s="35"/>
      <c r="E187" s="35"/>
      <c r="F187" s="34"/>
      <c r="G187" s="35" t="s">
        <v>133</v>
      </c>
      <c r="H187" s="35"/>
      <c r="I187" s="35" t="s">
        <v>55</v>
      </c>
      <c r="J187" s="35" t="s">
        <v>478</v>
      </c>
      <c r="K187" s="34">
        <v>0</v>
      </c>
      <c r="L187" s="35" t="s">
        <v>98</v>
      </c>
      <c r="M187" s="36"/>
      <c r="N187" s="35" t="s">
        <v>99</v>
      </c>
      <c r="O187" s="35"/>
      <c r="P187" s="35"/>
      <c r="Q187" s="35"/>
      <c r="R187" s="52" t="s">
        <v>351</v>
      </c>
      <c r="S187" s="35"/>
      <c r="T187" s="35" t="s">
        <v>2</v>
      </c>
      <c r="U187" s="35"/>
      <c r="V187" s="35"/>
      <c r="W187" s="35"/>
      <c r="X187" s="35"/>
      <c r="Y187" s="35"/>
      <c r="Z187" s="35"/>
    </row>
    <row r="188" spans="1:26" s="17" customFormat="1">
      <c r="A188" s="33" t="str">
        <f t="shared" si="5"/>
        <v>N</v>
      </c>
      <c r="B188" s="34">
        <f>COUNTA($B$1:B187)</f>
        <v>176</v>
      </c>
      <c r="C188" s="35" t="s">
        <v>352</v>
      </c>
      <c r="D188" s="35"/>
      <c r="E188" s="35"/>
      <c r="F188" s="34"/>
      <c r="G188" s="35" t="s">
        <v>133</v>
      </c>
      <c r="H188" s="35"/>
      <c r="I188" s="35" t="s">
        <v>55</v>
      </c>
      <c r="J188" s="35" t="s">
        <v>423</v>
      </c>
      <c r="K188" s="34">
        <v>0</v>
      </c>
      <c r="L188" s="35" t="s">
        <v>98</v>
      </c>
      <c r="M188" s="36"/>
      <c r="N188" s="35" t="s">
        <v>99</v>
      </c>
      <c r="O188" s="35"/>
      <c r="P188" s="35"/>
      <c r="Q188" s="35"/>
      <c r="R188" s="36" t="str">
        <f>TEXT(M102,"mm/dd/yyyy")</f>
        <v>Destination1</v>
      </c>
      <c r="S188" s="35"/>
      <c r="T188" s="35" t="s">
        <v>2</v>
      </c>
      <c r="U188" s="35"/>
      <c r="V188" s="35"/>
      <c r="W188" s="35"/>
      <c r="X188" s="35"/>
      <c r="Y188" s="35"/>
      <c r="Z188" s="35"/>
    </row>
    <row r="189" spans="1:26" s="17" customFormat="1">
      <c r="A189" s="33" t="str">
        <f t="shared" si="5"/>
        <v>N</v>
      </c>
      <c r="B189" s="34">
        <f>COUNTA($B$1:B188)</f>
        <v>177</v>
      </c>
      <c r="C189" s="35" t="s">
        <v>354</v>
      </c>
      <c r="D189" s="35"/>
      <c r="E189" s="35"/>
      <c r="F189" s="34"/>
      <c r="G189" s="35" t="s">
        <v>133</v>
      </c>
      <c r="H189" s="35"/>
      <c r="I189" s="35" t="s">
        <v>55</v>
      </c>
      <c r="J189" s="35" t="s">
        <v>355</v>
      </c>
      <c r="K189" s="34">
        <v>0</v>
      </c>
      <c r="L189" s="35" t="s">
        <v>98</v>
      </c>
      <c r="M189" s="36"/>
      <c r="N189" s="35" t="s">
        <v>99</v>
      </c>
      <c r="O189" s="35"/>
      <c r="P189" s="35"/>
      <c r="Q189" s="35"/>
      <c r="R189" s="36" t="str">
        <f>TEXT(M105,"mm/dd/yyyy")</f>
        <v>DepDate1</v>
      </c>
      <c r="S189" s="35"/>
      <c r="T189" s="35" t="s">
        <v>2</v>
      </c>
      <c r="U189" s="35"/>
      <c r="V189" s="35"/>
      <c r="W189" s="35"/>
      <c r="X189" s="35"/>
      <c r="Y189" s="35"/>
      <c r="Z189" s="35"/>
    </row>
    <row r="190" spans="1:26" s="17" customFormat="1">
      <c r="A190" s="33" t="str">
        <f t="shared" si="5"/>
        <v>N</v>
      </c>
      <c r="B190" s="34">
        <f>COUNTA($B$1:B189)</f>
        <v>178</v>
      </c>
      <c r="C190" s="35" t="s">
        <v>356</v>
      </c>
      <c r="D190" s="35"/>
      <c r="E190" s="35"/>
      <c r="F190" s="34"/>
      <c r="G190" s="35" t="s">
        <v>133</v>
      </c>
      <c r="H190" s="35"/>
      <c r="I190" s="35" t="s">
        <v>55</v>
      </c>
      <c r="J190" s="35" t="s">
        <v>357</v>
      </c>
      <c r="K190" s="34">
        <v>0</v>
      </c>
      <c r="L190" s="35" t="s">
        <v>98</v>
      </c>
      <c r="M190" s="36"/>
      <c r="N190" s="35" t="s">
        <v>99</v>
      </c>
      <c r="O190" s="35"/>
      <c r="P190" s="35"/>
      <c r="Q190" s="35"/>
      <c r="R190" s="36" t="str">
        <f>TEXT(M106,"mm/dd/yyyy")</f>
        <v>RetDate1</v>
      </c>
      <c r="S190" s="35"/>
      <c r="T190" s="35" t="s">
        <v>2</v>
      </c>
      <c r="U190" s="35"/>
      <c r="V190" s="35"/>
      <c r="W190" s="35"/>
      <c r="X190" s="35"/>
      <c r="Y190" s="35"/>
      <c r="Z190" s="35"/>
    </row>
    <row r="191" spans="1:26" s="17" customFormat="1">
      <c r="A191" s="33" t="str">
        <f t="shared" si="5"/>
        <v>N</v>
      </c>
      <c r="B191" s="34">
        <f>COUNTA($B$1:B190)</f>
        <v>179</v>
      </c>
      <c r="C191" s="35" t="s">
        <v>479</v>
      </c>
      <c r="D191" s="35"/>
      <c r="E191" s="35"/>
      <c r="F191" s="34"/>
      <c r="G191" s="35" t="s">
        <v>133</v>
      </c>
      <c r="H191" s="35"/>
      <c r="I191" s="35" t="s">
        <v>55</v>
      </c>
      <c r="J191" s="35" t="s">
        <v>480</v>
      </c>
      <c r="K191" s="34">
        <v>0</v>
      </c>
      <c r="L191" s="35" t="s">
        <v>98</v>
      </c>
      <c r="M191" s="36"/>
      <c r="N191" s="35" t="s">
        <v>99</v>
      </c>
      <c r="O191" s="35"/>
      <c r="P191" s="35"/>
      <c r="Q191" s="35"/>
      <c r="R191" s="36" t="s">
        <v>196</v>
      </c>
      <c r="S191" s="52"/>
      <c r="T191" s="35" t="s">
        <v>2</v>
      </c>
      <c r="U191" s="35"/>
      <c r="V191" s="35"/>
      <c r="W191" s="35"/>
      <c r="X191" s="35"/>
      <c r="Y191" s="35"/>
      <c r="Z191" s="35"/>
    </row>
    <row r="192" spans="1:26" s="17" customFormat="1">
      <c r="A192" s="33" t="str">
        <f t="shared" si="5"/>
        <v>N</v>
      </c>
      <c r="B192" s="34">
        <f>COUNTA($B$1:B191)</f>
        <v>180</v>
      </c>
      <c r="C192" s="35" t="s">
        <v>360</v>
      </c>
      <c r="D192" s="35"/>
      <c r="E192" s="35"/>
      <c r="F192" s="34"/>
      <c r="G192" s="35" t="s">
        <v>133</v>
      </c>
      <c r="H192" s="35"/>
      <c r="I192" s="35" t="s">
        <v>55</v>
      </c>
      <c r="J192" s="35" t="s">
        <v>481</v>
      </c>
      <c r="K192" s="34">
        <v>0</v>
      </c>
      <c r="L192" s="35" t="s">
        <v>98</v>
      </c>
      <c r="M192" s="36"/>
      <c r="N192" s="35" t="s">
        <v>99</v>
      </c>
      <c r="O192" s="35"/>
      <c r="P192" s="35"/>
      <c r="Q192" s="35"/>
      <c r="R192" s="36"/>
      <c r="S192" s="35"/>
      <c r="T192" s="35"/>
      <c r="U192" s="35"/>
      <c r="V192" s="35"/>
      <c r="W192" s="35"/>
      <c r="X192" s="35"/>
      <c r="Y192" s="35"/>
      <c r="Z192" s="35"/>
    </row>
    <row r="193" spans="1:26" s="17" customFormat="1">
      <c r="A193" s="33" t="str">
        <f t="shared" si="5"/>
        <v>N</v>
      </c>
      <c r="B193" s="34">
        <f>COUNTA($B$1:B192)</f>
        <v>181</v>
      </c>
      <c r="C193" s="35" t="s">
        <v>362</v>
      </c>
      <c r="D193" s="35"/>
      <c r="E193" s="35"/>
      <c r="F193" s="34"/>
      <c r="G193" s="35" t="s">
        <v>133</v>
      </c>
      <c r="H193" s="35"/>
      <c r="I193" s="35" t="s">
        <v>55</v>
      </c>
      <c r="J193" s="35" t="s">
        <v>482</v>
      </c>
      <c r="K193" s="34">
        <v>0</v>
      </c>
      <c r="L193" s="35" t="s">
        <v>98</v>
      </c>
      <c r="M193" s="36"/>
      <c r="N193" s="35" t="s">
        <v>99</v>
      </c>
      <c r="O193" s="35"/>
      <c r="P193" s="35"/>
      <c r="Q193" s="35"/>
      <c r="R193" s="36"/>
      <c r="S193" s="35"/>
      <c r="T193" s="35"/>
      <c r="U193" s="35"/>
      <c r="V193" s="35"/>
      <c r="W193" s="35"/>
      <c r="X193" s="35"/>
      <c r="Y193" s="35"/>
      <c r="Z193" s="35"/>
    </row>
    <row r="194" spans="1:26" s="17" customFormat="1">
      <c r="A194" s="33" t="str">
        <f t="shared" si="5"/>
        <v>N</v>
      </c>
      <c r="B194" s="34">
        <f>COUNTA($B$1:B193)</f>
        <v>182</v>
      </c>
      <c r="C194" s="35" t="s">
        <v>366</v>
      </c>
      <c r="D194" s="35"/>
      <c r="E194" s="35"/>
      <c r="F194" s="34"/>
      <c r="G194" s="35" t="s">
        <v>133</v>
      </c>
      <c r="H194" s="35"/>
      <c r="I194" s="35" t="s">
        <v>55</v>
      </c>
      <c r="J194" s="35" t="s">
        <v>367</v>
      </c>
      <c r="K194" s="34">
        <v>0</v>
      </c>
      <c r="L194" s="35" t="s">
        <v>98</v>
      </c>
      <c r="M194" s="36"/>
      <c r="N194" s="35" t="s">
        <v>99</v>
      </c>
      <c r="O194" s="35"/>
      <c r="P194" s="35"/>
      <c r="Q194" s="35"/>
      <c r="R194" s="55" t="s">
        <v>483</v>
      </c>
      <c r="S194" s="35"/>
      <c r="T194" s="35" t="s">
        <v>2</v>
      </c>
      <c r="U194" s="35"/>
      <c r="V194" s="35"/>
      <c r="W194" s="35"/>
      <c r="X194" s="35"/>
      <c r="Y194" s="35"/>
      <c r="Z194" s="35"/>
    </row>
    <row r="195" spans="1:26" s="17" customFormat="1">
      <c r="A195" s="33" t="str">
        <f t="shared" si="5"/>
        <v>N</v>
      </c>
      <c r="B195" s="34">
        <f>COUNTA($B$1:B194)</f>
        <v>183</v>
      </c>
      <c r="C195" s="35" t="s">
        <v>484</v>
      </c>
      <c r="D195" s="35"/>
      <c r="E195" s="35"/>
      <c r="F195" s="34"/>
      <c r="G195" s="35" t="s">
        <v>133</v>
      </c>
      <c r="H195" s="35"/>
      <c r="I195" s="35" t="s">
        <v>55</v>
      </c>
      <c r="J195" s="35" t="s">
        <v>485</v>
      </c>
      <c r="K195" s="34">
        <v>0</v>
      </c>
      <c r="L195" s="35" t="s">
        <v>98</v>
      </c>
      <c r="M195" s="36"/>
      <c r="N195" s="35" t="s">
        <v>99</v>
      </c>
      <c r="O195" s="35"/>
      <c r="P195" s="35"/>
      <c r="Q195" s="35"/>
      <c r="R195" s="36" t="s">
        <v>196</v>
      </c>
      <c r="S195" s="35"/>
      <c r="T195" s="35" t="s">
        <v>2</v>
      </c>
      <c r="U195" s="35"/>
      <c r="V195" s="35"/>
      <c r="W195" s="35"/>
      <c r="X195" s="35"/>
      <c r="Y195" s="35"/>
      <c r="Z195" s="35"/>
    </row>
    <row r="196" spans="1:26" s="17" customFormat="1">
      <c r="A196" s="33" t="str">
        <f t="shared" si="5"/>
        <v>N</v>
      </c>
      <c r="B196" s="34">
        <f>COUNTA($B$1:B195)</f>
        <v>184</v>
      </c>
      <c r="C196" s="35" t="s">
        <v>486</v>
      </c>
      <c r="D196" s="35"/>
      <c r="E196" s="35"/>
      <c r="F196" s="34"/>
      <c r="G196" s="35" t="s">
        <v>133</v>
      </c>
      <c r="H196" s="35"/>
      <c r="I196" s="35" t="s">
        <v>55</v>
      </c>
      <c r="J196" s="35" t="s">
        <v>487</v>
      </c>
      <c r="K196" s="34">
        <v>0</v>
      </c>
      <c r="L196" s="35" t="s">
        <v>98</v>
      </c>
      <c r="M196" s="36"/>
      <c r="N196" s="35" t="s">
        <v>99</v>
      </c>
      <c r="O196" s="35"/>
      <c r="P196" s="35"/>
      <c r="Q196" s="35"/>
      <c r="R196" s="55"/>
      <c r="S196" s="35"/>
      <c r="T196" s="35"/>
      <c r="U196" s="35"/>
      <c r="V196" s="35"/>
      <c r="W196" s="35"/>
      <c r="X196" s="35"/>
      <c r="Y196" s="35"/>
      <c r="Z196" s="35"/>
    </row>
    <row r="197" spans="1:26" s="17" customFormat="1">
      <c r="A197" s="33" t="str">
        <f t="shared" si="5"/>
        <v>N</v>
      </c>
      <c r="B197" s="34">
        <f>COUNTA($B$1:B196)</f>
        <v>185</v>
      </c>
      <c r="C197" s="35" t="s">
        <v>383</v>
      </c>
      <c r="D197" s="35"/>
      <c r="E197" s="35"/>
      <c r="F197" s="34"/>
      <c r="G197" s="35" t="s">
        <v>133</v>
      </c>
      <c r="H197" s="35"/>
      <c r="I197" s="35" t="s">
        <v>55</v>
      </c>
      <c r="J197" s="35" t="s">
        <v>488</v>
      </c>
      <c r="K197" s="34">
        <v>0</v>
      </c>
      <c r="L197" s="35" t="s">
        <v>98</v>
      </c>
      <c r="M197" s="36"/>
      <c r="N197" s="35" t="s">
        <v>99</v>
      </c>
      <c r="O197" s="35"/>
      <c r="P197" s="35"/>
      <c r="Q197" s="35"/>
      <c r="R197" s="36">
        <f>S148</f>
        <v>0</v>
      </c>
      <c r="S197" s="35"/>
      <c r="T197" s="35" t="s">
        <v>2</v>
      </c>
      <c r="U197" s="35"/>
      <c r="V197" s="35"/>
      <c r="W197" s="35"/>
      <c r="X197" s="35"/>
      <c r="Y197" s="35"/>
      <c r="Z197" s="35"/>
    </row>
    <row r="198" spans="1:26" s="17" customFormat="1">
      <c r="A198" s="33" t="str">
        <f>IF(Global!B2="UAT","Y","N")</f>
        <v>Y</v>
      </c>
      <c r="B198" s="34">
        <f>COUNTA($B$1:B197)</f>
        <v>186</v>
      </c>
      <c r="C198" s="35" t="s">
        <v>455</v>
      </c>
      <c r="D198" s="35"/>
      <c r="E198" s="35"/>
      <c r="F198" s="34"/>
      <c r="G198" s="35" t="s">
        <v>133</v>
      </c>
      <c r="H198" s="35"/>
      <c r="I198" s="35" t="s">
        <v>55</v>
      </c>
      <c r="J198" s="35" t="s">
        <v>456</v>
      </c>
      <c r="K198" s="34">
        <v>0</v>
      </c>
      <c r="L198" s="35" t="s">
        <v>98</v>
      </c>
      <c r="M198" s="36"/>
      <c r="N198" s="35" t="s">
        <v>99</v>
      </c>
      <c r="O198" s="35"/>
      <c r="P198" s="35"/>
      <c r="Q198" s="35"/>
      <c r="R198" s="36" t="s">
        <v>319</v>
      </c>
      <c r="S198" s="35"/>
      <c r="T198" s="35" t="s">
        <v>2</v>
      </c>
      <c r="U198" s="35"/>
      <c r="V198" s="35"/>
      <c r="W198" s="35"/>
      <c r="X198" s="35"/>
      <c r="Y198" s="35"/>
      <c r="Z198" s="35"/>
    </row>
    <row r="199" spans="1:26" s="17" customFormat="1">
      <c r="A199" s="33" t="str">
        <f>A198</f>
        <v>Y</v>
      </c>
      <c r="B199" s="34">
        <f>COUNTA($B$1:B198)</f>
        <v>187</v>
      </c>
      <c r="C199" s="35" t="s">
        <v>457</v>
      </c>
      <c r="D199" s="35"/>
      <c r="E199" s="35"/>
      <c r="F199" s="34"/>
      <c r="G199" s="35" t="s">
        <v>133</v>
      </c>
      <c r="H199" s="35"/>
      <c r="I199" s="35" t="s">
        <v>55</v>
      </c>
      <c r="J199" s="35" t="s">
        <v>458</v>
      </c>
      <c r="K199" s="34">
        <v>0</v>
      </c>
      <c r="L199" s="35" t="s">
        <v>98</v>
      </c>
      <c r="M199" s="36"/>
      <c r="N199" s="35" t="s">
        <v>99</v>
      </c>
      <c r="O199" s="35"/>
      <c r="P199" s="35"/>
      <c r="Q199" s="35"/>
      <c r="R199" s="36" t="s">
        <v>322</v>
      </c>
      <c r="S199" s="35"/>
      <c r="T199" s="35" t="s">
        <v>2</v>
      </c>
      <c r="U199" s="35"/>
      <c r="V199" s="35"/>
      <c r="W199" s="35"/>
      <c r="X199" s="35"/>
      <c r="Y199" s="35"/>
      <c r="Z199" s="35"/>
    </row>
    <row r="200" spans="1:26" s="17" customFormat="1">
      <c r="A200" s="33" t="str">
        <f t="shared" ref="A200:A218" si="6">A199</f>
        <v>Y</v>
      </c>
      <c r="B200" s="34">
        <f>COUNTA($B$1:B199)</f>
        <v>188</v>
      </c>
      <c r="C200" s="35" t="s">
        <v>327</v>
      </c>
      <c r="D200" s="51"/>
      <c r="E200" s="52"/>
      <c r="F200" s="34"/>
      <c r="G200" s="35" t="s">
        <v>133</v>
      </c>
      <c r="H200" s="35"/>
      <c r="I200" s="35" t="s">
        <v>55</v>
      </c>
      <c r="J200" s="35" t="s">
        <v>328</v>
      </c>
      <c r="K200" s="34">
        <v>0</v>
      </c>
      <c r="L200" s="35" t="s">
        <v>98</v>
      </c>
      <c r="M200" s="35"/>
      <c r="N200" s="35" t="s">
        <v>99</v>
      </c>
      <c r="O200" s="35"/>
      <c r="P200" s="35"/>
      <c r="Q200" s="35"/>
      <c r="R200" s="35"/>
      <c r="S200" s="35" t="s">
        <v>329</v>
      </c>
      <c r="T200" s="35"/>
      <c r="U200" s="35"/>
      <c r="V200" s="35"/>
      <c r="W200" s="35"/>
      <c r="X200" s="52"/>
      <c r="Y200" s="52"/>
      <c r="Z200" s="52"/>
    </row>
    <row r="201" spans="1:26" s="17" customFormat="1">
      <c r="A201" s="33" t="str">
        <f t="shared" si="6"/>
        <v>Y</v>
      </c>
      <c r="B201" s="34">
        <f>COUNTA($B$1:B200)</f>
        <v>189</v>
      </c>
      <c r="C201" s="35" t="s">
        <v>330</v>
      </c>
      <c r="D201" s="35"/>
      <c r="E201" s="35"/>
      <c r="F201" s="34"/>
      <c r="G201" s="35" t="s">
        <v>133</v>
      </c>
      <c r="H201" s="35"/>
      <c r="I201" s="35" t="s">
        <v>55</v>
      </c>
      <c r="J201" s="35" t="s">
        <v>430</v>
      </c>
      <c r="K201" s="34">
        <v>0</v>
      </c>
      <c r="L201" s="35" t="s">
        <v>98</v>
      </c>
      <c r="M201" s="36"/>
      <c r="N201" s="35" t="s">
        <v>99</v>
      </c>
      <c r="O201" s="35"/>
      <c r="P201" s="35"/>
      <c r="Q201" s="35"/>
      <c r="R201" s="36" t="s">
        <v>196</v>
      </c>
      <c r="S201" s="35"/>
      <c r="T201" s="35" t="s">
        <v>2</v>
      </c>
      <c r="U201" s="35"/>
      <c r="V201" s="35"/>
      <c r="W201" s="35"/>
      <c r="X201" s="35"/>
      <c r="Y201" s="35"/>
      <c r="Z201" s="35"/>
    </row>
    <row r="202" spans="1:26" s="17" customFormat="1">
      <c r="A202" s="33" t="str">
        <f t="shared" si="6"/>
        <v>Y</v>
      </c>
      <c r="B202" s="34">
        <f>COUNTA($B$1:B201)</f>
        <v>190</v>
      </c>
      <c r="C202" s="35" t="s">
        <v>459</v>
      </c>
      <c r="D202" s="35"/>
      <c r="E202" s="35"/>
      <c r="F202" s="34"/>
      <c r="G202" s="35" t="s">
        <v>133</v>
      </c>
      <c r="H202" s="35"/>
      <c r="I202" s="35" t="s">
        <v>55</v>
      </c>
      <c r="J202" s="35" t="s">
        <v>460</v>
      </c>
      <c r="K202" s="34">
        <v>0</v>
      </c>
      <c r="L202" s="35" t="s">
        <v>98</v>
      </c>
      <c r="M202" s="36"/>
      <c r="N202" s="35" t="s">
        <v>99</v>
      </c>
      <c r="O202" s="35"/>
      <c r="P202" s="35"/>
      <c r="Q202" s="35"/>
      <c r="R202" s="55" t="s">
        <v>461</v>
      </c>
      <c r="S202" s="35"/>
      <c r="T202" s="35" t="s">
        <v>2</v>
      </c>
      <c r="U202" s="35"/>
      <c r="V202" s="35"/>
      <c r="W202" s="35"/>
      <c r="X202" s="35"/>
      <c r="Y202" s="35"/>
      <c r="Z202" s="35"/>
    </row>
    <row r="203" spans="1:26" s="17" customFormat="1">
      <c r="A203" s="33" t="str">
        <f t="shared" si="6"/>
        <v>Y</v>
      </c>
      <c r="B203" s="34">
        <f>COUNTA($B$1:B202)</f>
        <v>191</v>
      </c>
      <c r="C203" s="35" t="s">
        <v>462</v>
      </c>
      <c r="D203" s="35"/>
      <c r="E203" s="35"/>
      <c r="F203" s="34"/>
      <c r="G203" s="35" t="s">
        <v>133</v>
      </c>
      <c r="H203" s="35"/>
      <c r="I203" s="35" t="s">
        <v>55</v>
      </c>
      <c r="J203" s="35" t="s">
        <v>463</v>
      </c>
      <c r="K203" s="34">
        <v>0</v>
      </c>
      <c r="L203" s="35" t="s">
        <v>98</v>
      </c>
      <c r="M203" s="36"/>
      <c r="N203" s="35" t="s">
        <v>99</v>
      </c>
      <c r="O203" s="35"/>
      <c r="P203" s="35"/>
      <c r="Q203" s="35"/>
      <c r="R203" s="55" t="s">
        <v>464</v>
      </c>
      <c r="S203" s="35"/>
      <c r="T203" s="35" t="s">
        <v>2</v>
      </c>
      <c r="U203" s="35"/>
      <c r="V203" s="35"/>
      <c r="W203" s="35"/>
      <c r="X203" s="35"/>
      <c r="Y203" s="35"/>
      <c r="Z203" s="35"/>
    </row>
    <row r="204" spans="1:26" s="17" customFormat="1">
      <c r="A204" s="33" t="str">
        <f t="shared" si="6"/>
        <v>Y</v>
      </c>
      <c r="B204" s="34">
        <f>COUNTA($B$1:B203)</f>
        <v>192</v>
      </c>
      <c r="C204" s="35" t="s">
        <v>465</v>
      </c>
      <c r="D204" s="35"/>
      <c r="E204" s="35"/>
      <c r="F204" s="34"/>
      <c r="G204" s="35" t="s">
        <v>133</v>
      </c>
      <c r="H204" s="35"/>
      <c r="I204" s="35" t="s">
        <v>55</v>
      </c>
      <c r="J204" s="35" t="s">
        <v>466</v>
      </c>
      <c r="K204" s="34">
        <v>0</v>
      </c>
      <c r="L204" s="35" t="s">
        <v>98</v>
      </c>
      <c r="M204" s="36"/>
      <c r="N204" s="35" t="s">
        <v>99</v>
      </c>
      <c r="O204" s="35"/>
      <c r="P204" s="35"/>
      <c r="Q204" s="35"/>
      <c r="R204" s="55" t="s">
        <v>467</v>
      </c>
      <c r="S204" s="35"/>
      <c r="T204" s="35" t="s">
        <v>2</v>
      </c>
      <c r="U204" s="35"/>
      <c r="V204" s="35"/>
      <c r="W204" s="35"/>
      <c r="X204" s="35"/>
      <c r="Y204" s="35"/>
      <c r="Z204" s="35"/>
    </row>
    <row r="205" spans="1:26" s="17" customFormat="1">
      <c r="A205" s="33" t="str">
        <f t="shared" si="6"/>
        <v>Y</v>
      </c>
      <c r="B205" s="34">
        <f>COUNTA($B$1:B204)</f>
        <v>193</v>
      </c>
      <c r="C205" s="35" t="s">
        <v>468</v>
      </c>
      <c r="D205" s="35"/>
      <c r="E205" s="35"/>
      <c r="F205" s="34"/>
      <c r="G205" s="35" t="s">
        <v>133</v>
      </c>
      <c r="H205" s="35"/>
      <c r="I205" s="35" t="s">
        <v>55</v>
      </c>
      <c r="J205" s="35" t="s">
        <v>469</v>
      </c>
      <c r="K205" s="34">
        <v>0</v>
      </c>
      <c r="L205" s="35" t="s">
        <v>98</v>
      </c>
      <c r="M205" s="36"/>
      <c r="N205" s="35" t="s">
        <v>99</v>
      </c>
      <c r="O205" s="35"/>
      <c r="P205" s="35"/>
      <c r="Q205" s="35"/>
      <c r="R205" s="55" t="s">
        <v>470</v>
      </c>
      <c r="S205" s="35"/>
      <c r="T205" s="35" t="s">
        <v>2</v>
      </c>
      <c r="U205" s="35"/>
      <c r="V205" s="35"/>
      <c r="W205" s="35"/>
      <c r="X205" s="35"/>
      <c r="Y205" s="35"/>
      <c r="Z205" s="35"/>
    </row>
    <row r="206" spans="1:26" s="17" customFormat="1">
      <c r="A206" s="33" t="str">
        <f t="shared" si="6"/>
        <v>Y</v>
      </c>
      <c r="B206" s="34">
        <f>COUNTA($B$1:B205)</f>
        <v>194</v>
      </c>
      <c r="C206" s="35" t="s">
        <v>471</v>
      </c>
      <c r="D206" s="35"/>
      <c r="E206" s="35"/>
      <c r="F206" s="34"/>
      <c r="G206" s="35" t="s">
        <v>133</v>
      </c>
      <c r="H206" s="35"/>
      <c r="I206" s="35" t="s">
        <v>55</v>
      </c>
      <c r="J206" s="35" t="s">
        <v>472</v>
      </c>
      <c r="K206" s="34">
        <v>0</v>
      </c>
      <c r="L206" s="35" t="s">
        <v>98</v>
      </c>
      <c r="M206" s="36"/>
      <c r="N206" s="35" t="s">
        <v>99</v>
      </c>
      <c r="O206" s="35"/>
      <c r="P206" s="35"/>
      <c r="Q206" s="35"/>
      <c r="R206" s="55" t="s">
        <v>473</v>
      </c>
      <c r="S206" s="35"/>
      <c r="T206" s="35" t="s">
        <v>2</v>
      </c>
      <c r="U206" s="35"/>
      <c r="V206" s="35"/>
      <c r="W206" s="35"/>
      <c r="X206" s="35"/>
      <c r="Y206" s="35"/>
      <c r="Z206" s="35"/>
    </row>
    <row r="207" spans="1:26" s="17" customFormat="1">
      <c r="A207" s="33" t="str">
        <f t="shared" si="6"/>
        <v>Y</v>
      </c>
      <c r="B207" s="34">
        <f>COUNTA($B$1:B206)</f>
        <v>195</v>
      </c>
      <c r="C207" s="35" t="s">
        <v>474</v>
      </c>
      <c r="D207" s="35"/>
      <c r="E207" s="35"/>
      <c r="F207" s="34"/>
      <c r="G207" s="35" t="s">
        <v>133</v>
      </c>
      <c r="H207" s="35"/>
      <c r="I207" s="35" t="s">
        <v>55</v>
      </c>
      <c r="J207" s="35" t="s">
        <v>475</v>
      </c>
      <c r="K207" s="34">
        <v>0</v>
      </c>
      <c r="L207" s="35" t="s">
        <v>98</v>
      </c>
      <c r="M207" s="36"/>
      <c r="N207" s="35" t="s">
        <v>99</v>
      </c>
      <c r="O207" s="35"/>
      <c r="P207" s="35"/>
      <c r="Q207" s="35"/>
      <c r="R207" s="55" t="s">
        <v>476</v>
      </c>
      <c r="S207" s="35"/>
      <c r="T207" s="35"/>
      <c r="U207" s="35"/>
      <c r="V207" s="35"/>
      <c r="W207" s="35"/>
      <c r="X207" s="35"/>
      <c r="Y207" s="35"/>
      <c r="Z207" s="35"/>
    </row>
    <row r="208" spans="1:26" s="17" customFormat="1">
      <c r="A208" s="33" t="str">
        <f t="shared" si="6"/>
        <v>Y</v>
      </c>
      <c r="B208" s="34">
        <f>COUNTA($B$1:B207)</f>
        <v>196</v>
      </c>
      <c r="C208" s="35" t="s">
        <v>477</v>
      </c>
      <c r="D208" s="35"/>
      <c r="E208" s="35"/>
      <c r="F208" s="34"/>
      <c r="G208" s="35" t="s">
        <v>133</v>
      </c>
      <c r="H208" s="35"/>
      <c r="I208" s="35" t="s">
        <v>55</v>
      </c>
      <c r="J208" s="35" t="s">
        <v>478</v>
      </c>
      <c r="K208" s="34">
        <v>0</v>
      </c>
      <c r="L208" s="35" t="s">
        <v>98</v>
      </c>
      <c r="M208" s="36"/>
      <c r="N208" s="35" t="s">
        <v>99</v>
      </c>
      <c r="O208" s="35"/>
      <c r="P208" s="35"/>
      <c r="Q208" s="35"/>
      <c r="R208" s="52" t="s">
        <v>351</v>
      </c>
      <c r="S208" s="35"/>
      <c r="T208" s="35" t="s">
        <v>2</v>
      </c>
      <c r="U208" s="35"/>
      <c r="V208" s="35"/>
      <c r="W208" s="35"/>
      <c r="X208" s="35"/>
      <c r="Y208" s="35"/>
      <c r="Z208" s="35"/>
    </row>
    <row r="209" spans="1:26" s="17" customFormat="1">
      <c r="A209" s="33" t="str">
        <f t="shared" si="6"/>
        <v>Y</v>
      </c>
      <c r="B209" s="34">
        <f>COUNTA($B$1:B208)</f>
        <v>197</v>
      </c>
      <c r="C209" s="35" t="s">
        <v>352</v>
      </c>
      <c r="D209" s="35"/>
      <c r="E209" s="35"/>
      <c r="F209" s="34"/>
      <c r="G209" s="35" t="s">
        <v>133</v>
      </c>
      <c r="H209" s="35"/>
      <c r="I209" s="35" t="s">
        <v>55</v>
      </c>
      <c r="J209" s="35" t="s">
        <v>423</v>
      </c>
      <c r="K209" s="34">
        <v>0</v>
      </c>
      <c r="L209" s="35" t="s">
        <v>98</v>
      </c>
      <c r="M209" s="36"/>
      <c r="N209" s="35" t="s">
        <v>99</v>
      </c>
      <c r="O209" s="35"/>
      <c r="P209" s="35"/>
      <c r="Q209" s="35"/>
      <c r="R209" s="36" t="str">
        <f>TEXT(M102,"mm/dd/yyyy")</f>
        <v>Destination1</v>
      </c>
      <c r="S209" s="35"/>
      <c r="T209" s="35" t="s">
        <v>2</v>
      </c>
      <c r="U209" s="35"/>
      <c r="V209" s="35"/>
      <c r="W209" s="35"/>
      <c r="X209" s="35"/>
      <c r="Y209" s="35"/>
      <c r="Z209" s="35"/>
    </row>
    <row r="210" spans="1:26" s="17" customFormat="1">
      <c r="A210" s="33" t="str">
        <f t="shared" si="6"/>
        <v>Y</v>
      </c>
      <c r="B210" s="34">
        <f>COUNTA($B$1:B209)</f>
        <v>198</v>
      </c>
      <c r="C210" s="35" t="s">
        <v>354</v>
      </c>
      <c r="D210" s="35"/>
      <c r="E210" s="35"/>
      <c r="F210" s="34"/>
      <c r="G210" s="35" t="s">
        <v>133</v>
      </c>
      <c r="H210" s="35"/>
      <c r="I210" s="35" t="s">
        <v>55</v>
      </c>
      <c r="J210" s="35" t="s">
        <v>355</v>
      </c>
      <c r="K210" s="34">
        <v>0</v>
      </c>
      <c r="L210" s="35" t="s">
        <v>98</v>
      </c>
      <c r="M210" s="36"/>
      <c r="N210" s="35" t="s">
        <v>99</v>
      </c>
      <c r="O210" s="35"/>
      <c r="P210" s="35"/>
      <c r="Q210" s="35"/>
      <c r="R210" s="36" t="str">
        <f>TEXT(M105,"mm/dd/yyyy")</f>
        <v>DepDate1</v>
      </c>
      <c r="S210" s="35"/>
      <c r="T210" s="35" t="s">
        <v>2</v>
      </c>
      <c r="U210" s="35"/>
      <c r="V210" s="35"/>
      <c r="W210" s="35"/>
      <c r="X210" s="35"/>
      <c r="Y210" s="35"/>
      <c r="Z210" s="35"/>
    </row>
    <row r="211" spans="1:26" s="17" customFormat="1">
      <c r="A211" s="33" t="str">
        <f t="shared" si="6"/>
        <v>Y</v>
      </c>
      <c r="B211" s="34">
        <f>COUNTA($B$1:B210)</f>
        <v>199</v>
      </c>
      <c r="C211" s="35" t="s">
        <v>356</v>
      </c>
      <c r="D211" s="35"/>
      <c r="E211" s="35"/>
      <c r="F211" s="34"/>
      <c r="G211" s="35" t="s">
        <v>133</v>
      </c>
      <c r="H211" s="35"/>
      <c r="I211" s="35" t="s">
        <v>55</v>
      </c>
      <c r="J211" s="35" t="s">
        <v>357</v>
      </c>
      <c r="K211" s="34">
        <v>0</v>
      </c>
      <c r="L211" s="35" t="s">
        <v>98</v>
      </c>
      <c r="M211" s="36"/>
      <c r="N211" s="35" t="s">
        <v>99</v>
      </c>
      <c r="O211" s="35"/>
      <c r="P211" s="35"/>
      <c r="Q211" s="35"/>
      <c r="R211" s="36" t="str">
        <f>TEXT(M106,"mm/dd/yyyy")</f>
        <v>RetDate1</v>
      </c>
      <c r="S211" s="35"/>
      <c r="T211" s="35" t="s">
        <v>2</v>
      </c>
      <c r="U211" s="35"/>
      <c r="V211" s="35"/>
      <c r="W211" s="35"/>
      <c r="X211" s="35"/>
      <c r="Y211" s="35"/>
      <c r="Z211" s="35"/>
    </row>
    <row r="212" spans="1:26" s="17" customFormat="1">
      <c r="A212" s="33" t="str">
        <f t="shared" si="6"/>
        <v>Y</v>
      </c>
      <c r="B212" s="34">
        <f>COUNTA($B$1:B211)</f>
        <v>200</v>
      </c>
      <c r="C212" s="35" t="s">
        <v>479</v>
      </c>
      <c r="D212" s="35"/>
      <c r="E212" s="35"/>
      <c r="F212" s="34"/>
      <c r="G212" s="35" t="s">
        <v>133</v>
      </c>
      <c r="H212" s="35"/>
      <c r="I212" s="35" t="s">
        <v>55</v>
      </c>
      <c r="J212" s="35" t="s">
        <v>833</v>
      </c>
      <c r="K212" s="34">
        <v>0</v>
      </c>
      <c r="L212" s="35" t="s">
        <v>98</v>
      </c>
      <c r="M212" s="36"/>
      <c r="N212" s="35" t="s">
        <v>99</v>
      </c>
      <c r="O212" s="35"/>
      <c r="P212" s="35"/>
      <c r="Q212" s="35"/>
      <c r="R212" s="36" t="s">
        <v>196</v>
      </c>
      <c r="S212" s="52"/>
      <c r="T212" s="35" t="s">
        <v>2</v>
      </c>
      <c r="U212" s="35"/>
      <c r="V212" s="35"/>
      <c r="W212" s="35"/>
      <c r="X212" s="35"/>
      <c r="Y212" s="35"/>
      <c r="Z212" s="35"/>
    </row>
    <row r="213" spans="1:26" s="17" customFormat="1">
      <c r="A213" s="33" t="str">
        <f t="shared" si="6"/>
        <v>Y</v>
      </c>
      <c r="B213" s="34">
        <f>COUNTA($B$1:B212)</f>
        <v>201</v>
      </c>
      <c r="C213" s="35" t="s">
        <v>360</v>
      </c>
      <c r="D213" s="35"/>
      <c r="E213" s="35"/>
      <c r="F213" s="34"/>
      <c r="G213" s="35" t="s">
        <v>133</v>
      </c>
      <c r="H213" s="35"/>
      <c r="I213" s="35" t="s">
        <v>55</v>
      </c>
      <c r="J213" s="35" t="s">
        <v>834</v>
      </c>
      <c r="K213" s="34">
        <v>0</v>
      </c>
      <c r="L213" s="35" t="s">
        <v>98</v>
      </c>
      <c r="M213" s="36"/>
      <c r="N213" s="35" t="s">
        <v>99</v>
      </c>
      <c r="O213" s="35"/>
      <c r="P213" s="35"/>
      <c r="Q213" s="35"/>
      <c r="R213" s="36"/>
      <c r="S213" s="35"/>
      <c r="T213" s="35"/>
      <c r="U213" s="35"/>
      <c r="V213" s="35"/>
      <c r="W213" s="35"/>
      <c r="X213" s="35"/>
      <c r="Y213" s="35"/>
      <c r="Z213" s="35"/>
    </row>
    <row r="214" spans="1:26" s="17" customFormat="1">
      <c r="A214" s="33" t="str">
        <f t="shared" si="6"/>
        <v>Y</v>
      </c>
      <c r="B214" s="34">
        <f>COUNTA($B$1:B213)</f>
        <v>202</v>
      </c>
      <c r="C214" s="35" t="s">
        <v>362</v>
      </c>
      <c r="D214" s="35"/>
      <c r="E214" s="35"/>
      <c r="F214" s="34"/>
      <c r="G214" s="35" t="s">
        <v>133</v>
      </c>
      <c r="H214" s="35"/>
      <c r="I214" s="35" t="s">
        <v>55</v>
      </c>
      <c r="J214" s="35" t="s">
        <v>835</v>
      </c>
      <c r="K214" s="34">
        <v>0</v>
      </c>
      <c r="L214" s="35" t="s">
        <v>98</v>
      </c>
      <c r="M214" s="36"/>
      <c r="N214" s="35" t="s">
        <v>99</v>
      </c>
      <c r="O214" s="35"/>
      <c r="P214" s="35"/>
      <c r="Q214" s="35"/>
      <c r="R214" s="36"/>
      <c r="S214" s="35"/>
      <c r="T214" s="35"/>
      <c r="U214" s="35"/>
      <c r="V214" s="35"/>
      <c r="W214" s="35"/>
      <c r="X214" s="35"/>
      <c r="Y214" s="35"/>
      <c r="Z214" s="35"/>
    </row>
    <row r="215" spans="1:26" s="17" customFormat="1">
      <c r="A215" s="33" t="str">
        <f t="shared" si="6"/>
        <v>Y</v>
      </c>
      <c r="B215" s="34">
        <f>COUNTA($B$1:B214)</f>
        <v>203</v>
      </c>
      <c r="C215" s="35" t="s">
        <v>366</v>
      </c>
      <c r="D215" s="35"/>
      <c r="E215" s="35"/>
      <c r="F215" s="34"/>
      <c r="G215" s="35" t="s">
        <v>133</v>
      </c>
      <c r="H215" s="35"/>
      <c r="I215" s="35" t="s">
        <v>55</v>
      </c>
      <c r="J215" s="35" t="s">
        <v>836</v>
      </c>
      <c r="K215" s="34">
        <v>0</v>
      </c>
      <c r="L215" s="35" t="s">
        <v>98</v>
      </c>
      <c r="M215" s="36"/>
      <c r="N215" s="35" t="s">
        <v>99</v>
      </c>
      <c r="O215" s="35"/>
      <c r="P215" s="35"/>
      <c r="Q215" s="35"/>
      <c r="R215" s="55" t="s">
        <v>483</v>
      </c>
      <c r="S215" s="35"/>
      <c r="T215" s="35" t="s">
        <v>2</v>
      </c>
      <c r="U215" s="35"/>
      <c r="V215" s="35"/>
      <c r="W215" s="35"/>
      <c r="X215" s="35"/>
      <c r="Y215" s="35"/>
      <c r="Z215" s="35"/>
    </row>
    <row r="216" spans="1:26" s="17" customFormat="1">
      <c r="A216" s="33" t="str">
        <f t="shared" si="6"/>
        <v>Y</v>
      </c>
      <c r="B216" s="34">
        <f>COUNTA($B$1:B215)</f>
        <v>204</v>
      </c>
      <c r="C216" s="35" t="s">
        <v>484</v>
      </c>
      <c r="D216" s="35"/>
      <c r="E216" s="35"/>
      <c r="F216" s="34"/>
      <c r="G216" s="35" t="s">
        <v>133</v>
      </c>
      <c r="H216" s="35"/>
      <c r="I216" s="35" t="s">
        <v>55</v>
      </c>
      <c r="J216" s="35" t="s">
        <v>837</v>
      </c>
      <c r="K216" s="34">
        <v>0</v>
      </c>
      <c r="L216" s="35" t="s">
        <v>98</v>
      </c>
      <c r="M216" s="36"/>
      <c r="N216" s="35" t="s">
        <v>99</v>
      </c>
      <c r="O216" s="35"/>
      <c r="P216" s="35"/>
      <c r="Q216" s="35"/>
      <c r="R216" s="36" t="s">
        <v>196</v>
      </c>
      <c r="S216" s="35"/>
      <c r="T216" s="35" t="s">
        <v>2</v>
      </c>
      <c r="U216" s="35"/>
      <c r="V216" s="35"/>
      <c r="W216" s="35"/>
      <c r="X216" s="35"/>
      <c r="Y216" s="35"/>
      <c r="Z216" s="35"/>
    </row>
    <row r="217" spans="1:26" s="17" customFormat="1">
      <c r="A217" s="33" t="str">
        <f t="shared" si="6"/>
        <v>Y</v>
      </c>
      <c r="B217" s="34">
        <f>COUNTA($B$1:B216)</f>
        <v>205</v>
      </c>
      <c r="C217" s="35" t="s">
        <v>486</v>
      </c>
      <c r="D217" s="35"/>
      <c r="E217" s="35"/>
      <c r="F217" s="34"/>
      <c r="G217" s="35" t="s">
        <v>133</v>
      </c>
      <c r="H217" s="35"/>
      <c r="I217" s="35" t="s">
        <v>55</v>
      </c>
      <c r="J217" s="35" t="s">
        <v>838</v>
      </c>
      <c r="K217" s="34">
        <v>0</v>
      </c>
      <c r="L217" s="35" t="s">
        <v>98</v>
      </c>
      <c r="M217" s="36"/>
      <c r="N217" s="35" t="s">
        <v>99</v>
      </c>
      <c r="O217" s="35"/>
      <c r="P217" s="35"/>
      <c r="Q217" s="35"/>
      <c r="R217" s="55"/>
      <c r="S217" s="35"/>
      <c r="T217" s="35"/>
      <c r="U217" s="35"/>
      <c r="V217" s="35"/>
      <c r="W217" s="35"/>
      <c r="X217" s="35"/>
      <c r="Y217" s="35"/>
      <c r="Z217" s="35"/>
    </row>
    <row r="218" spans="1:26" s="17" customFormat="1">
      <c r="A218" s="33" t="str">
        <f t="shared" si="6"/>
        <v>Y</v>
      </c>
      <c r="B218" s="34">
        <f>COUNTA($B$1:B217)</f>
        <v>206</v>
      </c>
      <c r="C218" s="35" t="s">
        <v>383</v>
      </c>
      <c r="D218" s="35"/>
      <c r="E218" s="35"/>
      <c r="F218" s="34"/>
      <c r="G218" s="35" t="s">
        <v>133</v>
      </c>
      <c r="H218" s="35"/>
      <c r="I218" s="35" t="s">
        <v>55</v>
      </c>
      <c r="J218" s="35" t="s">
        <v>574</v>
      </c>
      <c r="K218" s="34">
        <v>0</v>
      </c>
      <c r="L218" s="35" t="s">
        <v>98</v>
      </c>
      <c r="M218" s="36"/>
      <c r="N218" s="35" t="s">
        <v>99</v>
      </c>
      <c r="O218" s="35"/>
      <c r="P218" s="35"/>
      <c r="Q218" s="35"/>
      <c r="R218" s="36">
        <f>S153</f>
        <v>0</v>
      </c>
      <c r="S218" s="35"/>
      <c r="T218" s="35" t="s">
        <v>2</v>
      </c>
      <c r="U218" s="35"/>
      <c r="V218" s="35"/>
      <c r="W218" s="35"/>
      <c r="X218" s="35"/>
      <c r="Y218" s="35"/>
      <c r="Z218" s="35"/>
    </row>
    <row r="219" spans="1:26" s="17" customFormat="1">
      <c r="A219" s="33" t="str">
        <f>IF(OR(Global!B2="QA",Global!B2="UAT"),"bln687042","N")</f>
        <v>bln687042</v>
      </c>
      <c r="B219" s="34">
        <f>COUNTA($B$1:B218)</f>
        <v>207</v>
      </c>
      <c r="C219" s="35" t="s">
        <v>67</v>
      </c>
      <c r="D219" s="35"/>
      <c r="E219" s="35"/>
      <c r="F219" s="34"/>
      <c r="G219" s="35" t="s">
        <v>133</v>
      </c>
      <c r="H219" s="35"/>
      <c r="I219" s="35"/>
      <c r="J219" s="35"/>
      <c r="K219" s="34"/>
      <c r="L219" s="35" t="s">
        <v>67</v>
      </c>
      <c r="M219" s="36">
        <v>5</v>
      </c>
      <c r="N219" s="35"/>
      <c r="O219" s="35"/>
      <c r="P219" s="35"/>
      <c r="Q219" s="35"/>
      <c r="R219" s="52"/>
      <c r="S219" s="35"/>
      <c r="T219" s="35"/>
      <c r="U219" s="35"/>
      <c r="V219" s="35"/>
      <c r="W219" s="35"/>
      <c r="X219" s="35"/>
      <c r="Y219" s="35"/>
      <c r="Z219" s="35"/>
    </row>
    <row r="220" spans="1:26" s="17" customFormat="1">
      <c r="A220" s="33" t="str">
        <f>A219</f>
        <v>bln687042</v>
      </c>
      <c r="B220" s="34">
        <f>COUNTA($B$1:B219)</f>
        <v>208</v>
      </c>
      <c r="C220" s="70" t="s">
        <v>489</v>
      </c>
      <c r="D220" s="70"/>
      <c r="E220" s="70"/>
      <c r="F220" s="70"/>
      <c r="G220" s="35" t="s">
        <v>133</v>
      </c>
      <c r="H220" s="70"/>
      <c r="I220" s="70"/>
      <c r="J220" s="70"/>
      <c r="K220" s="42">
        <v>0</v>
      </c>
      <c r="L220" s="70" t="s">
        <v>388</v>
      </c>
      <c r="M220" s="70" t="s">
        <v>389</v>
      </c>
      <c r="N220" s="35"/>
      <c r="O220" s="35"/>
      <c r="P220" s="35"/>
      <c r="Q220" s="35"/>
      <c r="R220" s="52"/>
      <c r="S220" s="35"/>
      <c r="T220" s="35"/>
      <c r="U220" s="35"/>
      <c r="V220" s="35"/>
      <c r="W220" s="35"/>
      <c r="X220" s="35"/>
      <c r="Y220" s="35"/>
      <c r="Z220" s="35"/>
    </row>
    <row r="221" spans="1:26" s="17" customFormat="1">
      <c r="A221" s="33" t="str">
        <f>A220</f>
        <v>bln687042</v>
      </c>
      <c r="B221" s="34">
        <f>COUNTA($B$1:B220)</f>
        <v>209</v>
      </c>
      <c r="C221" s="70" t="s">
        <v>490</v>
      </c>
      <c r="D221" s="70"/>
      <c r="E221" s="70"/>
      <c r="F221" s="70"/>
      <c r="G221" s="35" t="s">
        <v>133</v>
      </c>
      <c r="H221" s="70"/>
      <c r="I221" s="70"/>
      <c r="J221" s="70"/>
      <c r="K221" s="42"/>
      <c r="L221" s="35" t="s">
        <v>398</v>
      </c>
      <c r="M221" s="35" t="s">
        <v>491</v>
      </c>
      <c r="N221" s="35"/>
      <c r="O221" s="35"/>
      <c r="P221" s="35"/>
      <c r="Q221" s="35"/>
      <c r="R221" s="52"/>
      <c r="S221" s="35"/>
      <c r="T221" s="35"/>
      <c r="U221" s="35"/>
      <c r="V221" s="35"/>
      <c r="W221" s="35"/>
      <c r="X221" s="35"/>
      <c r="Y221" s="35"/>
      <c r="Z221" s="35"/>
    </row>
    <row r="222" spans="1:26" s="17" customFormat="1">
      <c r="A222" s="33" t="s">
        <v>21</v>
      </c>
      <c r="B222" s="34">
        <f>COUNTA($B$1:B221)</f>
        <v>210</v>
      </c>
      <c r="C222" s="35" t="s">
        <v>492</v>
      </c>
      <c r="D222" s="70"/>
      <c r="E222" s="70"/>
      <c r="F222" s="70"/>
      <c r="G222" s="35" t="s">
        <v>133</v>
      </c>
      <c r="H222" s="70"/>
      <c r="I222" s="70"/>
      <c r="J222" s="70"/>
      <c r="K222" s="42"/>
      <c r="L222" s="35" t="s">
        <v>393</v>
      </c>
      <c r="M222" s="70" t="str">
        <f ca="1">Global!B3 &amp; "ConfirmationPage1.png"</f>
        <v>L:\Regression\Test Results\Temp_Results\AEM Regression\Travelex\UAT\Travel EX Migration_AEM Regression_UAT01Sep26101238\ConfirmationPage1.png</v>
      </c>
      <c r="N222" s="35"/>
      <c r="O222" s="35"/>
      <c r="P222" s="35"/>
      <c r="Q222" s="35"/>
      <c r="R222" s="52"/>
      <c r="S222" s="35"/>
      <c r="T222" s="35"/>
      <c r="U222" s="35"/>
      <c r="V222" s="35"/>
      <c r="W222" s="35"/>
      <c r="X222" s="35"/>
      <c r="Y222" s="35"/>
      <c r="Z222" s="35"/>
    </row>
    <row r="223" spans="1:26" s="17" customFormat="1">
      <c r="A223" s="33" t="s">
        <v>21</v>
      </c>
      <c r="B223" s="34">
        <f>COUNTA($B$1:B222)</f>
        <v>211</v>
      </c>
      <c r="C223" s="70" t="s">
        <v>67</v>
      </c>
      <c r="D223" s="70"/>
      <c r="E223" s="70"/>
      <c r="F223" s="70"/>
      <c r="G223" s="35" t="s">
        <v>133</v>
      </c>
      <c r="H223" s="70"/>
      <c r="I223" s="70"/>
      <c r="J223" s="70"/>
      <c r="K223" s="42"/>
      <c r="L223" s="70" t="s">
        <v>67</v>
      </c>
      <c r="M223" s="70">
        <v>8</v>
      </c>
      <c r="N223" s="35"/>
      <c r="O223" s="35"/>
      <c r="P223" s="35"/>
      <c r="Q223" s="35"/>
      <c r="R223" s="52"/>
      <c r="S223" s="35"/>
      <c r="T223" s="35"/>
      <c r="U223" s="35"/>
      <c r="V223" s="35"/>
      <c r="W223" s="35"/>
      <c r="X223" s="35"/>
      <c r="Y223" s="35"/>
      <c r="Z223" s="35"/>
    </row>
    <row r="224" spans="1:26" s="17" customFormat="1">
      <c r="A224" s="33" t="str">
        <f>IF(OR(Global!B2="QA",Global!B2="UAT"),"bln687042","N")</f>
        <v>bln687042</v>
      </c>
      <c r="B224" s="34">
        <f>COUNTA($B$1:B223)</f>
        <v>212</v>
      </c>
      <c r="C224" s="70" t="s">
        <v>493</v>
      </c>
      <c r="D224" s="70"/>
      <c r="E224" s="70"/>
      <c r="F224" s="70"/>
      <c r="G224" s="35" t="s">
        <v>133</v>
      </c>
      <c r="H224" s="70"/>
      <c r="I224" s="70"/>
      <c r="J224" s="70"/>
      <c r="K224" s="42">
        <v>0</v>
      </c>
      <c r="L224" s="70" t="s">
        <v>395</v>
      </c>
      <c r="M224" s="70"/>
      <c r="N224" s="70"/>
      <c r="O224" s="70"/>
      <c r="P224" s="35"/>
      <c r="Q224" s="35"/>
      <c r="R224" s="52"/>
      <c r="S224" s="35"/>
      <c r="T224" s="35"/>
      <c r="U224" s="35"/>
      <c r="V224" s="35"/>
      <c r="W224" s="35"/>
      <c r="X224" s="35"/>
      <c r="Y224" s="35"/>
      <c r="Z224" s="35"/>
    </row>
    <row r="225" spans="1:26" s="17" customFormat="1">
      <c r="A225" s="33" t="str">
        <f>A224</f>
        <v>bln687042</v>
      </c>
      <c r="B225" s="34">
        <f>COUNTA($B$1:B224)</f>
        <v>213</v>
      </c>
      <c r="C225" s="70" t="s">
        <v>494</v>
      </c>
      <c r="D225" s="70"/>
      <c r="E225" s="70"/>
      <c r="F225" s="70"/>
      <c r="G225" s="35" t="s">
        <v>133</v>
      </c>
      <c r="H225" s="70"/>
      <c r="I225" s="70"/>
      <c r="J225" s="70"/>
      <c r="K225" s="42">
        <v>0</v>
      </c>
      <c r="L225" s="70" t="s">
        <v>95</v>
      </c>
      <c r="M225" s="70" t="s">
        <v>138</v>
      </c>
      <c r="N225" s="70"/>
      <c r="O225" s="70"/>
      <c r="P225" s="35"/>
      <c r="Q225" s="35"/>
      <c r="R225" s="52"/>
      <c r="S225" s="35"/>
      <c r="T225" s="35"/>
      <c r="U225" s="35"/>
      <c r="V225" s="35"/>
      <c r="W225" s="35"/>
      <c r="X225" s="35"/>
      <c r="Y225" s="35"/>
      <c r="Z225" s="35"/>
    </row>
    <row r="226" spans="1:26" s="17" customFormat="1">
      <c r="A226" s="33" t="str">
        <f>A225</f>
        <v>bln687042</v>
      </c>
      <c r="B226" s="34">
        <f>COUNTA($B$1:B225)</f>
        <v>214</v>
      </c>
      <c r="C226" s="70" t="s">
        <v>67</v>
      </c>
      <c r="D226" s="70"/>
      <c r="E226" s="70"/>
      <c r="F226" s="70"/>
      <c r="G226" s="35" t="s">
        <v>133</v>
      </c>
      <c r="H226" s="70"/>
      <c r="I226" s="70"/>
      <c r="J226" s="70"/>
      <c r="K226" s="42"/>
      <c r="L226" s="70" t="s">
        <v>67</v>
      </c>
      <c r="M226" s="70">
        <v>10</v>
      </c>
      <c r="N226" s="70"/>
      <c r="O226" s="35"/>
      <c r="P226" s="35"/>
      <c r="Q226" s="35"/>
      <c r="R226" s="36"/>
      <c r="S226" s="52"/>
      <c r="T226" s="35"/>
      <c r="U226" s="35"/>
      <c r="V226" s="35"/>
      <c r="W226" s="35"/>
      <c r="X226" s="35"/>
      <c r="Y226" s="35"/>
      <c r="Z226" s="35"/>
    </row>
    <row r="227" spans="1:26" s="17" customFormat="1">
      <c r="A227" s="33" t="s">
        <v>21</v>
      </c>
      <c r="B227" s="34">
        <f>COUNTA($B$1:B226)</f>
        <v>215</v>
      </c>
      <c r="C227" s="56" t="s">
        <v>327</v>
      </c>
      <c r="D227" s="57"/>
      <c r="E227" s="58" t="s">
        <v>154</v>
      </c>
      <c r="F227" s="59"/>
      <c r="G227" s="56" t="s">
        <v>133</v>
      </c>
      <c r="H227" s="56"/>
      <c r="I227" s="56"/>
      <c r="J227" s="56"/>
      <c r="K227" s="59"/>
      <c r="L227" s="56" t="s">
        <v>396</v>
      </c>
      <c r="M227" s="56" t="s">
        <v>397</v>
      </c>
      <c r="N227" s="56"/>
      <c r="O227" s="56"/>
      <c r="P227" s="56"/>
      <c r="Q227" s="56"/>
      <c r="R227" s="56"/>
      <c r="S227" s="58"/>
      <c r="T227" s="56"/>
      <c r="U227" s="56"/>
      <c r="V227" s="35"/>
      <c r="W227" s="35"/>
      <c r="X227" s="35"/>
      <c r="Y227" s="35"/>
      <c r="Z227" s="35"/>
    </row>
    <row r="228" spans="1:26" s="17" customFormat="1">
      <c r="A228" s="33" t="s">
        <v>21</v>
      </c>
      <c r="B228" s="34">
        <f>COUNTA($B$1:B227)</f>
        <v>216</v>
      </c>
      <c r="C228" s="56" t="s">
        <v>327</v>
      </c>
      <c r="D228" s="57"/>
      <c r="E228" s="58" t="s">
        <v>154</v>
      </c>
      <c r="F228" s="59"/>
      <c r="G228" s="56" t="s">
        <v>133</v>
      </c>
      <c r="H228" s="56"/>
      <c r="I228" s="56"/>
      <c r="J228" s="56"/>
      <c r="K228" s="59"/>
      <c r="L228" s="56" t="s">
        <v>398</v>
      </c>
      <c r="M228" s="56" t="s">
        <v>399</v>
      </c>
      <c r="N228" s="56"/>
      <c r="O228" s="56"/>
      <c r="P228" s="56"/>
      <c r="Q228" s="56"/>
      <c r="R228" s="56"/>
      <c r="S228" s="58"/>
      <c r="T228" s="56"/>
      <c r="U228" s="56"/>
      <c r="V228" s="35"/>
      <c r="W228" s="35"/>
      <c r="X228" s="35"/>
      <c r="Y228" s="35"/>
      <c r="Z228" s="35"/>
    </row>
    <row r="229" spans="1:26" s="17" customFormat="1">
      <c r="A229" s="33" t="s">
        <v>21</v>
      </c>
      <c r="B229" s="34">
        <f>COUNTA($B$1:B228)</f>
        <v>217</v>
      </c>
      <c r="C229" s="56" t="s">
        <v>327</v>
      </c>
      <c r="D229" s="57"/>
      <c r="E229" s="58" t="s">
        <v>154</v>
      </c>
      <c r="F229" s="59"/>
      <c r="G229" s="56" t="s">
        <v>133</v>
      </c>
      <c r="H229" s="56"/>
      <c r="I229" s="56"/>
      <c r="J229" s="56"/>
      <c r="K229" s="59"/>
      <c r="L229" s="56" t="s">
        <v>393</v>
      </c>
      <c r="M229" s="56" t="str">
        <f ca="1">Global!B3 &amp; "ConfirmationPage.png"</f>
        <v>L:\Regression\Test Results\Temp_Results\AEM Regression\Travelex\UAT\Travel EX Migration_AEM Regression_UAT01Sep26101238\ConfirmationPage.png</v>
      </c>
      <c r="N229" s="56"/>
      <c r="O229" s="56"/>
      <c r="P229" s="56"/>
      <c r="Q229" s="56"/>
      <c r="R229" s="56"/>
      <c r="S229" s="58"/>
      <c r="T229" s="56"/>
      <c r="U229" s="56"/>
      <c r="V229" s="35"/>
      <c r="W229" s="35"/>
      <c r="X229" s="35"/>
      <c r="Y229" s="35"/>
      <c r="Z229" s="35"/>
    </row>
    <row r="230" spans="1:26" s="12" customFormat="1" ht="12.75" customHeight="1">
      <c r="A230" s="33" t="s">
        <v>21</v>
      </c>
      <c r="B230" s="34">
        <f>COUNTA($B$1:B229)</f>
        <v>218</v>
      </c>
      <c r="C230" s="56" t="s">
        <v>67</v>
      </c>
      <c r="D230" s="57"/>
      <c r="E230" s="58" t="s">
        <v>154</v>
      </c>
      <c r="F230" s="59"/>
      <c r="G230" s="56" t="s">
        <v>133</v>
      </c>
      <c r="H230" s="56"/>
      <c r="I230" s="56"/>
      <c r="J230" s="56"/>
      <c r="K230" s="59"/>
      <c r="L230" s="56" t="s">
        <v>67</v>
      </c>
      <c r="M230" s="60">
        <v>4</v>
      </c>
      <c r="N230" s="35"/>
      <c r="O230" s="35"/>
      <c r="P230" s="35"/>
      <c r="Q230" s="35"/>
      <c r="R230" s="36"/>
      <c r="S230" s="52"/>
      <c r="T230" s="35"/>
      <c r="U230" s="35"/>
      <c r="V230" s="35"/>
      <c r="W230" s="35"/>
      <c r="X230" s="35"/>
      <c r="Y230" s="35"/>
      <c r="Z230" s="35"/>
    </row>
    <row r="231" spans="1:26">
      <c r="A231" s="33" t="s">
        <v>21</v>
      </c>
      <c r="B231" s="34">
        <f>COUNTA($B$1:B230)</f>
        <v>219</v>
      </c>
      <c r="C231" s="56" t="s">
        <v>402</v>
      </c>
      <c r="D231" s="57"/>
      <c r="E231" s="58" t="s">
        <v>154</v>
      </c>
      <c r="F231" s="59"/>
      <c r="G231" s="56" t="s">
        <v>133</v>
      </c>
      <c r="H231" s="56"/>
      <c r="I231" s="56"/>
      <c r="J231" s="56"/>
      <c r="K231" s="59"/>
      <c r="L231" s="56" t="s">
        <v>398</v>
      </c>
      <c r="M231" s="56" t="s">
        <v>495</v>
      </c>
      <c r="N231" s="56"/>
      <c r="O231" s="56"/>
      <c r="P231" s="56"/>
      <c r="Q231" s="56"/>
      <c r="R231" s="56"/>
      <c r="S231" s="58"/>
      <c r="T231" s="56"/>
      <c r="U231" s="56"/>
      <c r="V231" s="35"/>
      <c r="W231" s="35"/>
      <c r="X231" s="35"/>
      <c r="Y231" s="35"/>
      <c r="Z231" s="35"/>
    </row>
    <row r="232" spans="1:26">
      <c r="A232" s="33" t="s">
        <v>21</v>
      </c>
      <c r="B232" s="34">
        <f>COUNTA($B$1:B231)</f>
        <v>220</v>
      </c>
      <c r="C232" s="56" t="s">
        <v>404</v>
      </c>
      <c r="D232" s="57"/>
      <c r="E232" s="58" t="s">
        <v>154</v>
      </c>
      <c r="F232" s="59"/>
      <c r="G232" s="56" t="s">
        <v>133</v>
      </c>
      <c r="H232" s="56"/>
      <c r="I232" s="56"/>
      <c r="J232" s="56"/>
      <c r="K232" s="59"/>
      <c r="L232" s="56" t="s">
        <v>393</v>
      </c>
      <c r="M232" s="56" t="str">
        <f ca="1">Global!B3 &amp; "ConfirmationMessage1.png"</f>
        <v>L:\Regression\Test Results\Temp_Results\AEM Regression\Travelex\UAT\Travel EX Migration_AEM Regression_UAT01Sep26101238\ConfirmationMessage1.png</v>
      </c>
      <c r="N232" s="56"/>
      <c r="O232" s="56"/>
      <c r="P232" s="56"/>
      <c r="Q232" s="56"/>
      <c r="R232" s="56"/>
      <c r="S232" s="58"/>
      <c r="T232" s="56"/>
      <c r="U232" s="56"/>
      <c r="V232" s="35"/>
      <c r="W232" s="35"/>
      <c r="X232" s="35"/>
      <c r="Y232" s="35"/>
      <c r="Z232" s="35"/>
    </row>
    <row r="233" spans="1:26">
      <c r="A233" s="33" t="s">
        <v>21</v>
      </c>
      <c r="B233" s="34">
        <f>COUNTA($B$1:B232)</f>
        <v>221</v>
      </c>
      <c r="C233" s="56" t="s">
        <v>67</v>
      </c>
      <c r="D233" s="57"/>
      <c r="E233" s="58" t="s">
        <v>154</v>
      </c>
      <c r="F233" s="59"/>
      <c r="G233" s="56" t="s">
        <v>133</v>
      </c>
      <c r="H233" s="56"/>
      <c r="I233" s="56"/>
      <c r="J233" s="56"/>
      <c r="K233" s="59"/>
      <c r="L233" s="56" t="s">
        <v>67</v>
      </c>
      <c r="M233" s="60">
        <v>5</v>
      </c>
      <c r="N233" s="56"/>
      <c r="O233" s="56"/>
      <c r="P233" s="56"/>
      <c r="Q233" s="56"/>
      <c r="R233" s="60"/>
      <c r="S233" s="58"/>
      <c r="T233" s="56"/>
      <c r="U233" s="56"/>
      <c r="V233" s="35"/>
      <c r="W233" s="35"/>
      <c r="X233" s="35"/>
      <c r="Y233" s="35"/>
      <c r="Z233" s="35"/>
    </row>
    <row r="234" spans="1:26">
      <c r="A234" s="33" t="s">
        <v>21</v>
      </c>
      <c r="B234" s="34">
        <f>COUNTA($B$1:B233)</f>
        <v>222</v>
      </c>
      <c r="C234" s="56" t="s">
        <v>405</v>
      </c>
      <c r="D234" s="57"/>
      <c r="E234" s="58" t="s">
        <v>154</v>
      </c>
      <c r="F234" s="59"/>
      <c r="G234" s="56" t="s">
        <v>133</v>
      </c>
      <c r="H234" s="56"/>
      <c r="I234" s="56"/>
      <c r="J234" s="56"/>
      <c r="K234" s="59"/>
      <c r="L234" s="56" t="s">
        <v>398</v>
      </c>
      <c r="M234" s="56" t="s">
        <v>406</v>
      </c>
      <c r="N234" s="56"/>
      <c r="O234" s="56"/>
      <c r="P234" s="56"/>
      <c r="Q234" s="56"/>
      <c r="R234" s="56"/>
      <c r="S234" s="58"/>
      <c r="T234" s="56"/>
      <c r="U234" s="56"/>
      <c r="V234" s="35"/>
      <c r="W234" s="35"/>
      <c r="X234" s="35"/>
      <c r="Y234" s="35"/>
      <c r="Z234" s="35"/>
    </row>
    <row r="235" spans="1:26" s="12" customFormat="1" ht="12.75" customHeight="1">
      <c r="A235" s="33" t="s">
        <v>21</v>
      </c>
      <c r="B235" s="34">
        <f>COUNTA($B$1:B234)</f>
        <v>223</v>
      </c>
      <c r="C235" s="56" t="s">
        <v>407</v>
      </c>
      <c r="D235" s="57"/>
      <c r="E235" s="58" t="s">
        <v>154</v>
      </c>
      <c r="F235" s="59"/>
      <c r="G235" s="56" t="s">
        <v>133</v>
      </c>
      <c r="H235" s="56"/>
      <c r="I235" s="56"/>
      <c r="J235" s="56"/>
      <c r="K235" s="59"/>
      <c r="L235" s="56" t="s">
        <v>393</v>
      </c>
      <c r="M235" s="56" t="str">
        <f ca="1">Global!B3 &amp; "ConfirmationMessage2.png"</f>
        <v>L:\Regression\Test Results\Temp_Results\AEM Regression\Travelex\UAT\Travel EX Migration_AEM Regression_UAT01Sep26101238\ConfirmationMessage2.png</v>
      </c>
      <c r="N235" s="56"/>
      <c r="O235" s="56"/>
      <c r="P235" s="56"/>
      <c r="Q235" s="56"/>
      <c r="R235" s="56"/>
      <c r="S235" s="58"/>
      <c r="T235" s="56"/>
      <c r="U235" s="56"/>
      <c r="V235" s="35"/>
      <c r="W235" s="35"/>
      <c r="X235" s="35"/>
      <c r="Y235" s="35"/>
      <c r="Z235" s="35"/>
    </row>
    <row r="236" spans="1:26">
      <c r="A236" s="33" t="s">
        <v>21</v>
      </c>
      <c r="B236" s="34">
        <f>COUNTA($B$1:B235)</f>
        <v>224</v>
      </c>
      <c r="C236" s="56" t="s">
        <v>67</v>
      </c>
      <c r="D236" s="57"/>
      <c r="E236" s="58" t="s">
        <v>154</v>
      </c>
      <c r="F236" s="59"/>
      <c r="G236" s="56" t="s">
        <v>133</v>
      </c>
      <c r="H236" s="56"/>
      <c r="I236" s="56"/>
      <c r="J236" s="56"/>
      <c r="K236" s="59"/>
      <c r="L236" s="56" t="s">
        <v>67</v>
      </c>
      <c r="M236" s="60">
        <v>5</v>
      </c>
      <c r="N236" s="56"/>
      <c r="O236" s="56"/>
      <c r="P236" s="56"/>
      <c r="Q236" s="56"/>
      <c r="R236" s="60"/>
      <c r="S236" s="58"/>
      <c r="T236" s="56"/>
      <c r="U236" s="56"/>
      <c r="V236" s="35"/>
      <c r="W236" s="35"/>
      <c r="X236" s="35"/>
      <c r="Y236" s="35"/>
      <c r="Z236" s="35"/>
    </row>
    <row r="237" spans="1:26" s="17" customFormat="1">
      <c r="A237" s="33" t="s">
        <v>21</v>
      </c>
      <c r="B237" s="34">
        <f>COUNTA($B$1:B236)</f>
        <v>225</v>
      </c>
      <c r="C237" s="56" t="s">
        <v>405</v>
      </c>
      <c r="D237" s="57"/>
      <c r="E237" s="58" t="s">
        <v>154</v>
      </c>
      <c r="F237" s="59"/>
      <c r="G237" s="56" t="s">
        <v>133</v>
      </c>
      <c r="H237" s="56"/>
      <c r="I237" s="56"/>
      <c r="J237" s="56"/>
      <c r="K237" s="59"/>
      <c r="L237" s="56" t="s">
        <v>398</v>
      </c>
      <c r="M237" s="56" t="s">
        <v>406</v>
      </c>
      <c r="N237" s="56"/>
      <c r="O237" s="56"/>
      <c r="P237" s="56"/>
      <c r="Q237" s="56"/>
      <c r="R237" s="56"/>
      <c r="S237" s="58"/>
      <c r="T237" s="56"/>
      <c r="U237" s="56"/>
      <c r="V237" s="35"/>
      <c r="W237" s="35"/>
      <c r="X237" s="35"/>
      <c r="Y237" s="35"/>
      <c r="Z237" s="35"/>
    </row>
    <row r="238" spans="1:26">
      <c r="A238" s="33" t="s">
        <v>21</v>
      </c>
      <c r="B238" s="34">
        <f>COUNTA($B$1:B237)</f>
        <v>226</v>
      </c>
      <c r="C238" s="56" t="s">
        <v>408</v>
      </c>
      <c r="D238" s="57"/>
      <c r="E238" s="58" t="s">
        <v>154</v>
      </c>
      <c r="F238" s="59"/>
      <c r="G238" s="56" t="s">
        <v>133</v>
      </c>
      <c r="H238" s="56"/>
      <c r="I238" s="56"/>
      <c r="J238" s="56"/>
      <c r="K238" s="59"/>
      <c r="L238" s="56" t="s">
        <v>393</v>
      </c>
      <c r="M238" s="56" t="str">
        <f ca="1">Global!B3 &amp; "ConfirmationMessage3.png"</f>
        <v>L:\Regression\Test Results\Temp_Results\AEM Regression\Travelex\UAT\Travel EX Migration_AEM Regression_UAT01Sep26101238\ConfirmationMessage3.png</v>
      </c>
      <c r="N238" s="56"/>
      <c r="O238" s="56"/>
      <c r="P238" s="56"/>
      <c r="Q238" s="56"/>
      <c r="R238" s="56"/>
      <c r="S238" s="58"/>
      <c r="T238" s="56"/>
      <c r="U238" s="56"/>
      <c r="V238" s="35"/>
      <c r="W238" s="35"/>
      <c r="X238" s="35"/>
      <c r="Y238" s="35"/>
      <c r="Z238" s="35"/>
    </row>
    <row r="239" spans="1:26" s="17" customFormat="1">
      <c r="A239" s="33" t="s">
        <v>21</v>
      </c>
      <c r="B239" s="34">
        <f>COUNTA($B$1:B238)</f>
        <v>227</v>
      </c>
      <c r="C239" s="56" t="s">
        <v>67</v>
      </c>
      <c r="D239" s="57"/>
      <c r="E239" s="58" t="s">
        <v>154</v>
      </c>
      <c r="F239" s="59"/>
      <c r="G239" s="56" t="s">
        <v>133</v>
      </c>
      <c r="H239" s="56"/>
      <c r="I239" s="56"/>
      <c r="J239" s="56"/>
      <c r="K239" s="59"/>
      <c r="L239" s="56" t="s">
        <v>67</v>
      </c>
      <c r="M239" s="60">
        <v>5</v>
      </c>
      <c r="N239" s="56"/>
      <c r="O239" s="56"/>
      <c r="P239" s="56"/>
      <c r="Q239" s="56"/>
      <c r="R239" s="60"/>
      <c r="S239" s="58"/>
      <c r="T239" s="56"/>
      <c r="U239" s="56"/>
      <c r="V239" s="35"/>
      <c r="W239" s="35"/>
      <c r="X239" s="35"/>
      <c r="Y239" s="35"/>
      <c r="Z239" s="35"/>
    </row>
    <row r="240" spans="1:26">
      <c r="A240" s="33" t="s">
        <v>21</v>
      </c>
      <c r="B240" s="34">
        <f>COUNTA($B$1:B239)</f>
        <v>228</v>
      </c>
      <c r="C240" s="56" t="s">
        <v>405</v>
      </c>
      <c r="D240" s="57"/>
      <c r="E240" s="58" t="s">
        <v>154</v>
      </c>
      <c r="F240" s="59"/>
      <c r="G240" s="56" t="s">
        <v>133</v>
      </c>
      <c r="H240" s="56"/>
      <c r="I240" s="56"/>
      <c r="J240" s="56"/>
      <c r="K240" s="59"/>
      <c r="L240" s="56" t="s">
        <v>398</v>
      </c>
      <c r="M240" s="56" t="s">
        <v>409</v>
      </c>
      <c r="N240" s="56"/>
      <c r="O240" s="56"/>
      <c r="P240" s="56"/>
      <c r="Q240" s="56"/>
      <c r="R240" s="56"/>
      <c r="S240" s="58"/>
      <c r="T240" s="56"/>
      <c r="U240" s="56"/>
      <c r="V240" s="35"/>
      <c r="W240" s="35"/>
      <c r="X240" s="35"/>
      <c r="Y240" s="35"/>
      <c r="Z240" s="35"/>
    </row>
    <row r="241" spans="1:26">
      <c r="A241" s="33" t="s">
        <v>21</v>
      </c>
      <c r="B241" s="34">
        <f>COUNTA($B$1:B240)</f>
        <v>229</v>
      </c>
      <c r="C241" s="56" t="s">
        <v>410</v>
      </c>
      <c r="D241" s="57"/>
      <c r="E241" s="58" t="s">
        <v>154</v>
      </c>
      <c r="F241" s="59"/>
      <c r="G241" s="56" t="s">
        <v>133</v>
      </c>
      <c r="H241" s="56"/>
      <c r="I241" s="56"/>
      <c r="J241" s="56"/>
      <c r="K241" s="59"/>
      <c r="L241" s="56" t="s">
        <v>393</v>
      </c>
      <c r="M241" s="56" t="str">
        <f ca="1">Global!B3 &amp; "ConfirmationMessage4.png"</f>
        <v>L:\Regression\Test Results\Temp_Results\AEM Regression\Travelex\UAT\Travel EX Migration_AEM Regression_UAT01Sep26101238\ConfirmationMessage4.png</v>
      </c>
      <c r="N241" s="56"/>
      <c r="O241" s="56"/>
      <c r="P241" s="56"/>
      <c r="Q241" s="56"/>
      <c r="R241" s="56"/>
      <c r="S241" s="58"/>
      <c r="T241" s="56"/>
      <c r="U241" s="56"/>
      <c r="V241" s="35"/>
      <c r="W241" s="35"/>
      <c r="X241" s="35"/>
      <c r="Y241" s="35"/>
      <c r="Z241" s="35"/>
    </row>
    <row r="242" spans="1:26">
      <c r="A242" s="33" t="s">
        <v>21</v>
      </c>
      <c r="B242" s="34">
        <f>COUNTA($B$1:B241)</f>
        <v>230</v>
      </c>
      <c r="C242" s="70" t="s">
        <v>67</v>
      </c>
      <c r="D242" s="70"/>
      <c r="E242" s="70"/>
      <c r="F242" s="70"/>
      <c r="G242" s="35" t="s">
        <v>133</v>
      </c>
      <c r="H242" s="70"/>
      <c r="I242" s="70"/>
      <c r="J242" s="70"/>
      <c r="K242" s="42"/>
      <c r="L242" s="70" t="s">
        <v>67</v>
      </c>
      <c r="M242" s="70">
        <v>5</v>
      </c>
      <c r="N242" s="35"/>
      <c r="O242" s="35"/>
      <c r="P242" s="35"/>
      <c r="Q242" s="35"/>
      <c r="R242" s="36"/>
      <c r="S242" s="35"/>
      <c r="T242" s="35"/>
      <c r="U242" s="35"/>
      <c r="V242" s="35"/>
      <c r="W242" s="35"/>
      <c r="X242" s="35"/>
      <c r="Y242" s="35"/>
      <c r="Z242" s="35"/>
    </row>
    <row r="243" spans="1:26">
      <c r="A243" s="30" t="s">
        <v>411</v>
      </c>
      <c r="B243" s="31"/>
      <c r="C243" s="31"/>
      <c r="D243" s="32"/>
      <c r="E243" s="32"/>
      <c r="F243" s="31"/>
      <c r="G243" s="32"/>
      <c r="H243" s="32"/>
      <c r="I243" s="32"/>
      <c r="J243" s="32"/>
      <c r="K243" s="31"/>
      <c r="L243" s="32"/>
      <c r="M243" s="32"/>
      <c r="N243" s="32"/>
      <c r="O243" s="32"/>
      <c r="P243" s="32"/>
      <c r="Q243" s="32"/>
      <c r="R243" s="32"/>
      <c r="S243" s="32"/>
      <c r="T243" s="32"/>
      <c r="U243" s="32"/>
      <c r="V243" s="32"/>
      <c r="W243" s="32"/>
      <c r="X243" s="32"/>
      <c r="Y243" s="32"/>
      <c r="Z243" s="32"/>
    </row>
    <row r="244" spans="1:26">
      <c r="A244" s="33" t="s">
        <v>419</v>
      </c>
      <c r="B244" s="34">
        <f>COUNTA($B$1:B243)</f>
        <v>231</v>
      </c>
      <c r="C244" s="61" t="s">
        <v>97</v>
      </c>
      <c r="D244" s="61"/>
      <c r="E244" s="61"/>
      <c r="F244" s="62"/>
      <c r="G244" s="61" t="s">
        <v>133</v>
      </c>
      <c r="H244" s="61"/>
      <c r="I244" s="61"/>
      <c r="J244" s="61"/>
      <c r="K244" s="62"/>
      <c r="L244" s="61" t="s">
        <v>97</v>
      </c>
      <c r="M244" s="63"/>
      <c r="N244" s="61"/>
      <c r="O244" s="61"/>
      <c r="P244" s="61"/>
      <c r="Q244" s="61"/>
      <c r="R244" s="61"/>
      <c r="S244" s="61"/>
      <c r="T244" s="61"/>
      <c r="U244" s="35"/>
      <c r="V244" s="35"/>
      <c r="W244" s="35"/>
      <c r="X244" s="35"/>
      <c r="Y244" s="35"/>
      <c r="Z244" s="35"/>
    </row>
  </sheetData>
  <phoneticPr fontId="18" type="noConversion"/>
  <pageMargins left="0.7" right="0.7" top="0.75" bottom="0.75" header="0.3" footer="0.3"/>
  <pageSetup orientation="portrait" r:id="rId1"/>
  <headerFooter>
    <oddFooter>&amp;L_x000D_&amp;1#&amp;"Aptos"&amp;10&amp;K000000 INTERNAL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3588A-3AB6-43DD-B0AA-83A01EBB00DE}">
  <sheetPr>
    <tabColor theme="6"/>
  </sheetPr>
  <dimension ref="A1:IL2"/>
  <sheetViews>
    <sheetView showGridLines="0" zoomScale="92" zoomScaleNormal="92" workbookViewId="0">
      <pane xSplit="2" ySplit="1" topLeftCell="C2" activePane="bottomRight" state="frozen"/>
      <selection pane="topRight" activeCell="C1" sqref="C1"/>
      <selection pane="bottomLeft" activeCell="A2" sqref="A2"/>
      <selection pane="bottomRight" activeCell="H3" sqref="H3"/>
    </sheetView>
  </sheetViews>
  <sheetFormatPr defaultColWidth="9.140625" defaultRowHeight="12.75"/>
  <cols>
    <col min="1" max="1" width="23.42578125" style="15" bestFit="1" customWidth="1"/>
    <col min="2" max="2" width="12" style="15" bestFit="1" customWidth="1"/>
    <col min="3" max="3" width="11.140625" style="15" customWidth="1"/>
    <col min="4" max="4" width="8.140625" style="15" bestFit="1" customWidth="1"/>
    <col min="5" max="5" width="15.5703125" style="15" bestFit="1" customWidth="1"/>
    <col min="6" max="7" width="18.42578125" style="15" customWidth="1"/>
    <col min="8" max="8" width="42.5703125" style="15" bestFit="1" customWidth="1"/>
    <col min="9" max="9" width="13.85546875" style="15" bestFit="1" customWidth="1"/>
    <col min="10" max="10" width="7.42578125" style="15" bestFit="1" customWidth="1"/>
    <col min="11" max="11" width="13.5703125" style="15" bestFit="1" customWidth="1"/>
    <col min="12" max="12" width="41.42578125" style="15" bestFit="1" customWidth="1"/>
    <col min="13" max="23" width="17.85546875" style="15" bestFit="1" customWidth="1"/>
    <col min="24" max="24" width="11.7109375" style="15" customWidth="1"/>
    <col min="25" max="25" width="13.85546875" style="15" bestFit="1" customWidth="1"/>
    <col min="26" max="26" width="10.140625" style="15" bestFit="1" customWidth="1"/>
    <col min="27" max="35" width="17.85546875" style="15" bestFit="1" customWidth="1"/>
    <col min="36" max="39" width="22.85546875" style="15" bestFit="1" customWidth="1"/>
    <col min="40" max="40" width="11.42578125" style="15" bestFit="1" customWidth="1"/>
    <col min="41" max="41" width="9.85546875" style="15" bestFit="1" customWidth="1"/>
    <col min="42" max="42" width="28.5703125" style="15" bestFit="1" customWidth="1"/>
    <col min="43" max="43" width="27.28515625" style="15" bestFit="1" customWidth="1"/>
    <col min="44" max="46" width="18.42578125" style="15" customWidth="1"/>
    <col min="47" max="47" width="18.42578125" style="15" bestFit="1" customWidth="1"/>
    <col min="48" max="48" width="16.140625" style="15" bestFit="1" customWidth="1"/>
    <col min="49" max="76" width="9.140625" style="15"/>
    <col min="77" max="77" width="9.5703125" style="15" bestFit="1" customWidth="1"/>
    <col min="78" max="79" width="9.140625" style="15"/>
    <col min="80" max="80" width="12.5703125" style="15" bestFit="1" customWidth="1"/>
    <col min="81" max="83" width="9.140625" style="15"/>
    <col min="84" max="84" width="28.5703125" style="15" bestFit="1" customWidth="1"/>
    <col min="85" max="85" width="27.28515625" style="15" bestFit="1" customWidth="1"/>
    <col min="86" max="89" width="9.140625" style="15"/>
    <col min="90" max="90" width="16.140625" style="15" bestFit="1" customWidth="1"/>
    <col min="91" max="16384" width="9.140625" style="15"/>
  </cols>
  <sheetData>
    <row r="1" spans="1:246" s="146" customFormat="1" ht="12.95" customHeight="1">
      <c r="A1" s="141" t="s">
        <v>78</v>
      </c>
      <c r="B1" s="142" t="s">
        <v>5</v>
      </c>
      <c r="C1" s="143" t="s">
        <v>84</v>
      </c>
      <c r="D1" s="143" t="s">
        <v>76</v>
      </c>
      <c r="E1" s="142" t="s">
        <v>419</v>
      </c>
      <c r="F1" s="142" t="s">
        <v>134</v>
      </c>
      <c r="G1" s="142" t="s">
        <v>11</v>
      </c>
      <c r="H1" s="142" t="s">
        <v>57</v>
      </c>
      <c r="I1" s="142" t="s">
        <v>604</v>
      </c>
      <c r="J1" s="142" t="s">
        <v>329</v>
      </c>
      <c r="K1" s="142" t="s">
        <v>139</v>
      </c>
      <c r="L1" s="142" t="s">
        <v>605</v>
      </c>
      <c r="M1" s="142" t="s">
        <v>152</v>
      </c>
      <c r="N1" s="142" t="s">
        <v>606</v>
      </c>
      <c r="O1" s="142" t="s">
        <v>274</v>
      </c>
      <c r="P1" s="142" t="s">
        <v>607</v>
      </c>
      <c r="Q1" s="142" t="s">
        <v>608</v>
      </c>
      <c r="R1" s="142" t="s">
        <v>609</v>
      </c>
      <c r="S1" s="142" t="s">
        <v>610</v>
      </c>
      <c r="T1" s="142" t="s">
        <v>611</v>
      </c>
      <c r="U1" s="142" t="s">
        <v>612</v>
      </c>
      <c r="V1" s="142" t="s">
        <v>613</v>
      </c>
      <c r="W1" s="142" t="s">
        <v>614</v>
      </c>
      <c r="X1" s="142" t="s">
        <v>615</v>
      </c>
      <c r="Y1" s="142" t="s">
        <v>616</v>
      </c>
      <c r="Z1" s="142" t="s">
        <v>617</v>
      </c>
      <c r="AA1" s="142" t="s">
        <v>618</v>
      </c>
      <c r="AB1" s="142" t="s">
        <v>619</v>
      </c>
      <c r="AC1" s="142" t="s">
        <v>620</v>
      </c>
      <c r="AD1" s="142" t="s">
        <v>621</v>
      </c>
      <c r="AE1" s="142" t="s">
        <v>622</v>
      </c>
      <c r="AF1" s="142" t="s">
        <v>623</v>
      </c>
      <c r="AG1" s="142" t="s">
        <v>624</v>
      </c>
      <c r="AH1" s="142" t="s">
        <v>625</v>
      </c>
      <c r="AI1" s="142" t="s">
        <v>626</v>
      </c>
      <c r="AJ1" s="142" t="s">
        <v>627</v>
      </c>
      <c r="AK1" s="142" t="s">
        <v>628</v>
      </c>
      <c r="AL1" s="142" t="s">
        <v>629</v>
      </c>
      <c r="AM1" s="142" t="s">
        <v>630</v>
      </c>
      <c r="AN1" s="142" t="s">
        <v>631</v>
      </c>
      <c r="AO1" s="142" t="s">
        <v>632</v>
      </c>
      <c r="AP1" s="142" t="s">
        <v>633</v>
      </c>
      <c r="AQ1" s="142" t="s">
        <v>634</v>
      </c>
      <c r="AR1" s="142" t="s">
        <v>635</v>
      </c>
      <c r="AS1" s="142" t="s">
        <v>636</v>
      </c>
      <c r="AT1" s="142" t="s">
        <v>637</v>
      </c>
      <c r="AU1" s="142" t="s">
        <v>638</v>
      </c>
      <c r="AV1" s="142" t="s">
        <v>155</v>
      </c>
      <c r="AW1" s="142" t="s">
        <v>440</v>
      </c>
      <c r="AX1" s="142" t="s">
        <v>275</v>
      </c>
      <c r="AY1" s="142" t="s">
        <v>157</v>
      </c>
      <c r="AZ1" s="142" t="s">
        <v>441</v>
      </c>
      <c r="BA1" s="142" t="s">
        <v>276</v>
      </c>
      <c r="BB1" s="142" t="s">
        <v>160</v>
      </c>
      <c r="BC1" s="142" t="s">
        <v>639</v>
      </c>
      <c r="BD1" s="142" t="s">
        <v>640</v>
      </c>
      <c r="BE1" s="142" t="s">
        <v>641</v>
      </c>
      <c r="BF1" s="142" t="s">
        <v>642</v>
      </c>
      <c r="BG1" s="142" t="s">
        <v>643</v>
      </c>
      <c r="BH1" s="142" t="s">
        <v>644</v>
      </c>
      <c r="BI1" s="142" t="s">
        <v>164</v>
      </c>
      <c r="BJ1" s="142" t="s">
        <v>278</v>
      </c>
      <c r="BK1" s="142" t="s">
        <v>645</v>
      </c>
      <c r="BL1" s="142" t="s">
        <v>646</v>
      </c>
      <c r="BM1" s="142" t="s">
        <v>647</v>
      </c>
      <c r="BN1" s="142" t="s">
        <v>648</v>
      </c>
      <c r="BO1" s="142" t="s">
        <v>649</v>
      </c>
      <c r="BP1" s="142" t="s">
        <v>650</v>
      </c>
      <c r="BQ1" s="142" t="s">
        <v>651</v>
      </c>
      <c r="BR1" s="142" t="s">
        <v>652</v>
      </c>
      <c r="BS1" s="142" t="s">
        <v>653</v>
      </c>
      <c r="BT1" s="142" t="s">
        <v>654</v>
      </c>
      <c r="BU1" s="142" t="s">
        <v>655</v>
      </c>
      <c r="BV1" s="142" t="s">
        <v>656</v>
      </c>
      <c r="BW1" s="142" t="s">
        <v>657</v>
      </c>
      <c r="BX1" s="142" t="s">
        <v>658</v>
      </c>
      <c r="BY1" s="142" t="s">
        <v>659</v>
      </c>
      <c r="BZ1" s="142" t="s">
        <v>660</v>
      </c>
      <c r="CA1" s="142" t="s">
        <v>661</v>
      </c>
      <c r="CB1" s="142" t="s">
        <v>662</v>
      </c>
      <c r="CC1" s="142" t="s">
        <v>663</v>
      </c>
      <c r="CD1" s="142" t="s">
        <v>664</v>
      </c>
      <c r="CE1" s="142" t="s">
        <v>665</v>
      </c>
      <c r="CF1" s="142" t="s">
        <v>666</v>
      </c>
      <c r="CG1" s="142" t="s">
        <v>667</v>
      </c>
      <c r="CH1" s="142" t="s">
        <v>668</v>
      </c>
      <c r="CI1" s="142" t="s">
        <v>669</v>
      </c>
      <c r="CJ1" s="142" t="s">
        <v>670</v>
      </c>
      <c r="CK1" s="142" t="s">
        <v>671</v>
      </c>
      <c r="CL1" s="142" t="s">
        <v>672</v>
      </c>
      <c r="CM1" s="142" t="s">
        <v>673</v>
      </c>
      <c r="CN1" s="142" t="s">
        <v>674</v>
      </c>
      <c r="CO1" s="142" t="s">
        <v>675</v>
      </c>
      <c r="CP1" s="142" t="s">
        <v>676</v>
      </c>
      <c r="CQ1" s="142" t="s">
        <v>677</v>
      </c>
      <c r="CR1" s="142" t="s">
        <v>678</v>
      </c>
      <c r="CS1" s="142" t="s">
        <v>679</v>
      </c>
      <c r="CT1" s="142" t="s">
        <v>680</v>
      </c>
      <c r="CU1" s="142" t="s">
        <v>681</v>
      </c>
      <c r="CV1" s="142" t="s">
        <v>682</v>
      </c>
      <c r="CW1" s="142" t="s">
        <v>683</v>
      </c>
      <c r="CX1" s="142" t="s">
        <v>684</v>
      </c>
      <c r="CY1" s="142" t="s">
        <v>685</v>
      </c>
      <c r="CZ1" s="142" t="s">
        <v>686</v>
      </c>
      <c r="DA1" s="142" t="s">
        <v>687</v>
      </c>
      <c r="DB1" s="142" t="s">
        <v>688</v>
      </c>
      <c r="DC1" s="142" t="s">
        <v>689</v>
      </c>
      <c r="DD1" s="142" t="s">
        <v>690</v>
      </c>
      <c r="DE1" s="142" t="s">
        <v>691</v>
      </c>
      <c r="DF1" s="142" t="s">
        <v>692</v>
      </c>
      <c r="DG1" s="142" t="s">
        <v>693</v>
      </c>
      <c r="DH1" s="142" t="s">
        <v>694</v>
      </c>
      <c r="DI1" s="142" t="s">
        <v>695</v>
      </c>
      <c r="DJ1" s="142" t="s">
        <v>696</v>
      </c>
      <c r="DK1" s="142" t="s">
        <v>167</v>
      </c>
      <c r="DL1" s="142" t="s">
        <v>170</v>
      </c>
      <c r="DM1" s="142" t="s">
        <v>697</v>
      </c>
      <c r="DN1" s="142" t="s">
        <v>174</v>
      </c>
      <c r="DO1" s="142" t="s">
        <v>177</v>
      </c>
      <c r="DP1" s="142" t="s">
        <v>288</v>
      </c>
      <c r="DQ1" s="142" t="s">
        <v>291</v>
      </c>
      <c r="DR1" s="142" t="s">
        <v>698</v>
      </c>
      <c r="DS1" s="142" t="s">
        <v>180</v>
      </c>
      <c r="DT1" s="142" t="s">
        <v>183</v>
      </c>
      <c r="DU1" s="142" t="s">
        <v>245</v>
      </c>
      <c r="DV1" s="142" t="s">
        <v>248</v>
      </c>
      <c r="DW1" s="142" t="s">
        <v>251</v>
      </c>
      <c r="DX1" s="142" t="s">
        <v>186</v>
      </c>
      <c r="DY1" s="142" t="s">
        <v>189</v>
      </c>
      <c r="DZ1" s="142" t="s">
        <v>254</v>
      </c>
      <c r="EA1" s="142" t="s">
        <v>257</v>
      </c>
      <c r="EB1" s="142" t="s">
        <v>260</v>
      </c>
      <c r="EC1" s="142" t="s">
        <v>699</v>
      </c>
      <c r="ED1" s="142" t="s">
        <v>700</v>
      </c>
      <c r="EE1" s="142" t="s">
        <v>701</v>
      </c>
      <c r="EF1" s="142" t="s">
        <v>702</v>
      </c>
      <c r="EG1" s="142" t="s">
        <v>703</v>
      </c>
      <c r="EH1" s="142" t="s">
        <v>704</v>
      </c>
      <c r="EI1" s="142" t="s">
        <v>705</v>
      </c>
      <c r="EJ1" s="142" t="s">
        <v>706</v>
      </c>
      <c r="EK1" s="142" t="s">
        <v>707</v>
      </c>
      <c r="EL1" s="142" t="s">
        <v>708</v>
      </c>
      <c r="EM1" s="142" t="s">
        <v>709</v>
      </c>
      <c r="EN1" s="142" t="s">
        <v>710</v>
      </c>
      <c r="EO1" s="142" t="s">
        <v>711</v>
      </c>
      <c r="EP1" s="142" t="s">
        <v>712</v>
      </c>
      <c r="EQ1" s="142" t="s">
        <v>713</v>
      </c>
      <c r="ER1" s="142" t="s">
        <v>714</v>
      </c>
      <c r="ES1" s="142" t="s">
        <v>715</v>
      </c>
      <c r="ET1" s="142" t="s">
        <v>716</v>
      </c>
      <c r="EU1" s="142" t="s">
        <v>717</v>
      </c>
      <c r="EV1" s="142" t="s">
        <v>718</v>
      </c>
      <c r="EW1" s="142" t="s">
        <v>719</v>
      </c>
      <c r="EX1" s="142" t="s">
        <v>720</v>
      </c>
      <c r="EY1" s="142" t="s">
        <v>721</v>
      </c>
      <c r="EZ1" s="142" t="s">
        <v>722</v>
      </c>
      <c r="FA1" s="142" t="s">
        <v>723</v>
      </c>
      <c r="FB1" s="142" t="s">
        <v>724</v>
      </c>
      <c r="FC1" s="142" t="s">
        <v>725</v>
      </c>
      <c r="FD1" s="142" t="s">
        <v>726</v>
      </c>
      <c r="FE1" s="142" t="s">
        <v>727</v>
      </c>
      <c r="FF1" s="142" t="s">
        <v>728</v>
      </c>
      <c r="FG1" s="142" t="s">
        <v>203</v>
      </c>
      <c r="FH1" s="142" t="s">
        <v>206</v>
      </c>
      <c r="FI1" s="142" t="s">
        <v>211</v>
      </c>
      <c r="FJ1" s="142" t="s">
        <v>212</v>
      </c>
      <c r="FK1" s="142" t="s">
        <v>214</v>
      </c>
      <c r="FL1" s="142" t="s">
        <v>215</v>
      </c>
      <c r="FM1" s="142" t="s">
        <v>527</v>
      </c>
      <c r="FN1" s="142" t="s">
        <v>528</v>
      </c>
      <c r="FO1" s="142" t="s">
        <v>529</v>
      </c>
      <c r="FP1" s="142" t="s">
        <v>530</v>
      </c>
      <c r="FQ1" s="142" t="s">
        <v>222</v>
      </c>
      <c r="FR1" s="142" t="s">
        <v>223</v>
      </c>
      <c r="FS1" s="142" t="s">
        <v>225</v>
      </c>
      <c r="FT1" s="142" t="s">
        <v>729</v>
      </c>
      <c r="FU1" s="142" t="s">
        <v>294</v>
      </c>
      <c r="FV1" s="142" t="s">
        <v>230</v>
      </c>
      <c r="FW1" s="142" t="s">
        <v>104</v>
      </c>
      <c r="FX1" s="142" t="s">
        <v>234</v>
      </c>
      <c r="FY1" s="142" t="s">
        <v>818</v>
      </c>
      <c r="FZ1" s="142" t="s">
        <v>816</v>
      </c>
      <c r="GA1" s="142" t="s">
        <v>281</v>
      </c>
      <c r="GB1" s="142" t="s">
        <v>237</v>
      </c>
      <c r="GC1" s="142" t="s">
        <v>282</v>
      </c>
      <c r="GD1" s="142" t="s">
        <v>239</v>
      </c>
      <c r="GE1" s="142" t="s">
        <v>283</v>
      </c>
      <c r="GF1" s="142" t="s">
        <v>242</v>
      </c>
      <c r="GG1" s="142" t="s">
        <v>261</v>
      </c>
      <c r="GH1" s="142" t="s">
        <v>264</v>
      </c>
      <c r="GI1" s="142" t="s">
        <v>730</v>
      </c>
      <c r="GJ1" s="142" t="s">
        <v>266</v>
      </c>
      <c r="GK1" s="142" t="s">
        <v>268</v>
      </c>
      <c r="GL1" s="144" t="s">
        <v>731</v>
      </c>
      <c r="GM1" s="144" t="s">
        <v>732</v>
      </c>
      <c r="GN1" s="144" t="s">
        <v>733</v>
      </c>
      <c r="GO1" s="144" t="s">
        <v>734</v>
      </c>
      <c r="GP1" s="144" t="s">
        <v>605</v>
      </c>
      <c r="GQ1" s="144" t="s">
        <v>735</v>
      </c>
      <c r="GR1" s="144" t="s">
        <v>736</v>
      </c>
      <c r="GS1" s="144" t="s">
        <v>737</v>
      </c>
      <c r="GT1" s="144" t="s">
        <v>738</v>
      </c>
      <c r="GU1" s="144" t="s">
        <v>736</v>
      </c>
      <c r="GV1" s="144" t="s">
        <v>739</v>
      </c>
      <c r="GW1" s="144" t="s">
        <v>740</v>
      </c>
      <c r="GX1" s="144" t="s">
        <v>736</v>
      </c>
      <c r="GY1" s="144" t="s">
        <v>741</v>
      </c>
      <c r="GZ1" s="144" t="s">
        <v>742</v>
      </c>
      <c r="HA1" s="144" t="s">
        <v>743</v>
      </c>
      <c r="HB1" s="144" t="s">
        <v>744</v>
      </c>
      <c r="HC1" s="144" t="s">
        <v>745</v>
      </c>
      <c r="HD1" s="144" t="s">
        <v>743</v>
      </c>
      <c r="HE1" s="144" t="s">
        <v>746</v>
      </c>
      <c r="HF1" s="144" t="s">
        <v>747</v>
      </c>
      <c r="HG1" s="144" t="s">
        <v>743</v>
      </c>
      <c r="HH1" s="144" t="s">
        <v>748</v>
      </c>
      <c r="HI1" s="144" t="s">
        <v>749</v>
      </c>
      <c r="HJ1" s="144" t="s">
        <v>743</v>
      </c>
      <c r="HK1" s="144" t="s">
        <v>750</v>
      </c>
      <c r="HL1" s="144" t="s">
        <v>751</v>
      </c>
      <c r="HM1" s="144" t="s">
        <v>752</v>
      </c>
      <c r="HN1" s="144" t="s">
        <v>753</v>
      </c>
      <c r="HO1" s="144" t="s">
        <v>754</v>
      </c>
      <c r="HP1" s="144" t="s">
        <v>755</v>
      </c>
      <c r="HQ1" s="144" t="s">
        <v>756</v>
      </c>
      <c r="HR1" s="144" t="s">
        <v>757</v>
      </c>
      <c r="HS1" s="144" t="s">
        <v>758</v>
      </c>
      <c r="HT1" s="144" t="s">
        <v>759</v>
      </c>
      <c r="HU1" s="144" t="s">
        <v>760</v>
      </c>
      <c r="HV1" s="144" t="s">
        <v>761</v>
      </c>
      <c r="HW1" s="144" t="s">
        <v>762</v>
      </c>
      <c r="HX1" s="144" t="s">
        <v>763</v>
      </c>
      <c r="HY1" s="144" t="s">
        <v>764</v>
      </c>
      <c r="HZ1" s="144" t="s">
        <v>765</v>
      </c>
      <c r="IA1" s="144" t="s">
        <v>766</v>
      </c>
      <c r="IB1" s="144" t="s">
        <v>767</v>
      </c>
      <c r="IC1" s="144" t="s">
        <v>768</v>
      </c>
      <c r="ID1" s="144" t="s">
        <v>769</v>
      </c>
      <c r="IE1" s="144" t="s">
        <v>770</v>
      </c>
      <c r="IF1" s="144" t="s">
        <v>771</v>
      </c>
      <c r="IG1" s="144" t="s">
        <v>772</v>
      </c>
      <c r="IH1" s="144" t="s">
        <v>773</v>
      </c>
      <c r="II1" s="145" t="s">
        <v>774</v>
      </c>
      <c r="IJ1" s="145" t="s">
        <v>775</v>
      </c>
      <c r="IK1" s="145" t="s">
        <v>776</v>
      </c>
      <c r="IL1" s="145" t="s">
        <v>777</v>
      </c>
    </row>
    <row r="2" spans="1:246" s="171" customFormat="1" ht="12.75" customHeight="1">
      <c r="A2" s="142" t="s">
        <v>419</v>
      </c>
      <c r="B2" s="142" t="s">
        <v>2</v>
      </c>
      <c r="C2" s="142" t="s">
        <v>2</v>
      </c>
      <c r="D2" s="142" t="s">
        <v>2</v>
      </c>
      <c r="E2" s="163" t="s">
        <v>2</v>
      </c>
      <c r="F2" s="163" t="s">
        <v>778</v>
      </c>
      <c r="G2" s="164" t="s">
        <v>800</v>
      </c>
      <c r="H2" s="186" t="str" cm="1">
        <f t="array" ref="H2">_xlfn.IFS(Global!B2="QA","https://owneradvantage.qa.insurancebytravelex.com/",Global!B2="UAT","https://owneradvantage.uat.insurancebytravelex.com/",Global!B2="PROD","https://owneradvantage.insurancebytravelex.com/")</f>
        <v>https://owneradvantage.uat.insurancebytravelex.com/</v>
      </c>
      <c r="I2" s="165">
        <f t="shared" ref="I2" ca="1" si="0">TODAY()</f>
        <v>46266</v>
      </c>
      <c r="J2" s="165"/>
      <c r="K2" s="166" t="s">
        <v>194</v>
      </c>
      <c r="L2" s="166" t="s">
        <v>196</v>
      </c>
      <c r="M2" s="166" t="s">
        <v>781</v>
      </c>
      <c r="N2" s="166"/>
      <c r="O2" s="166" t="s">
        <v>782</v>
      </c>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6"/>
      <c r="AV2" s="152" t="str">
        <f t="shared" ref="AV2" ca="1" si="1">TEXT(I2+1,"mm/dd/yyyy")</f>
        <v>09/02/2026</v>
      </c>
      <c r="AW2" s="152" t="str">
        <f t="shared" ref="AW2" ca="1" si="2">TEXT(I2+7,"mm/dd/yyyy")</f>
        <v>09/08/2026</v>
      </c>
      <c r="AX2" s="167" t="str">
        <f t="shared" ref="AX2" ca="1" si="3">TEXT(I2+7,"mm/dd/yyyy")</f>
        <v>09/08/2026</v>
      </c>
      <c r="AY2" s="168" t="str">
        <f t="shared" ref="AY2" ca="1" si="4">TEXT(AV2+89,"mm/dd/yyyy")</f>
        <v>11/30/2026</v>
      </c>
      <c r="AZ2" s="152" t="str">
        <f t="shared" ref="AZ2" ca="1" si="5">TEXT(AW2+14,"mm/dd/yyyy")</f>
        <v>09/22/2026</v>
      </c>
      <c r="BA2" s="167" t="str">
        <f t="shared" ref="BA2" ca="1" si="6">TEXT(AV2+14,"mm/dd/yyyy")</f>
        <v>09/16/2026</v>
      </c>
      <c r="BB2" s="155" t="str">
        <f t="shared" ref="BB2" ca="1" si="7">TEXT(I2-1,"mm/dd/yyyy")</f>
        <v>08/31/2026</v>
      </c>
      <c r="BC2" s="169"/>
      <c r="BD2" s="169"/>
      <c r="BE2" s="169"/>
      <c r="BF2" s="169"/>
      <c r="BG2" s="169"/>
      <c r="BH2" s="169"/>
      <c r="BI2" s="157" t="s">
        <v>783</v>
      </c>
      <c r="BJ2" s="163" t="s">
        <v>784</v>
      </c>
      <c r="BK2" s="147" t="s">
        <v>785</v>
      </c>
      <c r="BL2" s="157"/>
      <c r="BM2" s="163"/>
      <c r="BN2" s="163"/>
      <c r="BO2" s="157"/>
      <c r="BP2" s="163"/>
      <c r="BQ2" s="163"/>
      <c r="BR2" s="157"/>
      <c r="BS2" s="163"/>
      <c r="BT2" s="163"/>
      <c r="BU2" s="157"/>
      <c r="BV2" s="163"/>
      <c r="BW2" s="163"/>
      <c r="BX2" s="157"/>
      <c r="BY2" s="163"/>
      <c r="BZ2" s="163"/>
      <c r="CA2" s="157"/>
      <c r="CB2" s="163"/>
      <c r="CC2" s="163"/>
      <c r="CD2" s="157"/>
      <c r="CE2" s="163"/>
      <c r="CF2" s="163"/>
      <c r="CG2" s="157"/>
      <c r="CH2" s="163"/>
      <c r="CI2" s="163"/>
      <c r="CJ2" s="157"/>
      <c r="CK2" s="163"/>
      <c r="CL2" s="163"/>
      <c r="CM2" s="157"/>
      <c r="CN2" s="163"/>
      <c r="CO2" s="163"/>
      <c r="CP2" s="157"/>
      <c r="CQ2" s="163"/>
      <c r="CR2" s="163"/>
      <c r="CS2" s="157"/>
      <c r="CT2" s="163"/>
      <c r="CU2" s="163"/>
      <c r="CV2" s="157"/>
      <c r="CW2" s="163"/>
      <c r="CX2" s="163"/>
      <c r="CY2" s="157"/>
      <c r="CZ2" s="163"/>
      <c r="DA2" s="163"/>
      <c r="DB2" s="157"/>
      <c r="DC2" s="163"/>
      <c r="DD2" s="163"/>
      <c r="DE2" s="157"/>
      <c r="DF2" s="163"/>
      <c r="DG2" s="163"/>
      <c r="DH2" s="157"/>
      <c r="DI2" s="163"/>
      <c r="DJ2" s="163"/>
      <c r="DK2" s="156" t="s">
        <v>786</v>
      </c>
      <c r="DL2" s="156" t="s">
        <v>787</v>
      </c>
      <c r="DM2" s="157" t="s">
        <v>88</v>
      </c>
      <c r="DN2" s="156" t="s">
        <v>86</v>
      </c>
      <c r="DO2" s="156" t="s">
        <v>788</v>
      </c>
      <c r="DP2" s="157" t="str">
        <f t="shared" ref="DP2" ca="1" si="8">"QAFIRSTNAME"&amp;CHAR(RANDBETWEEN(65,90))&amp;CHAR(RANDBETWEEN(65,90))</f>
        <v>QAFIRSTNAMETY</v>
      </c>
      <c r="DQ2" s="157" t="str">
        <f t="shared" ref="DQ2" ca="1" si="9">"QALASTNAME"&amp;CHAR(RANDBETWEEN(65,90))&amp;CHAR(RANDBETWEEN(65,90))</f>
        <v>QALASTNAMEUX</v>
      </c>
      <c r="DR2" s="156" t="str">
        <f t="shared" ref="DR2" ca="1" si="10">TEXT(DATE(YEAR(TODAY())-DS2,MONTH(TODAY()),DAY(TODAY())),"MM/DD/YYYY")</f>
        <v>09/01/2026</v>
      </c>
      <c r="DS2" s="157"/>
      <c r="DT2" s="157"/>
      <c r="DU2" s="157"/>
      <c r="DV2" s="157"/>
      <c r="DW2" s="157"/>
      <c r="DX2" s="157"/>
      <c r="DY2" s="157"/>
      <c r="DZ2" s="157"/>
      <c r="EA2" s="157"/>
      <c r="EB2" s="157"/>
      <c r="EC2" s="157"/>
      <c r="ED2" s="157"/>
      <c r="EE2" s="157"/>
      <c r="EF2" s="157"/>
      <c r="EG2" s="157"/>
      <c r="EH2" s="157"/>
      <c r="EI2" s="157"/>
      <c r="EJ2" s="157"/>
      <c r="EK2" s="157"/>
      <c r="EL2" s="157"/>
      <c r="EM2" s="157"/>
      <c r="EN2" s="157"/>
      <c r="EO2" s="157"/>
      <c r="EP2" s="157"/>
      <c r="EQ2" s="157"/>
      <c r="ER2" s="157"/>
      <c r="ES2" s="157"/>
      <c r="ET2" s="157"/>
      <c r="EU2" s="157"/>
      <c r="EV2" s="157"/>
      <c r="EW2" s="157"/>
      <c r="EX2" s="157"/>
      <c r="EY2" s="157"/>
      <c r="EZ2" s="157"/>
      <c r="FA2" s="157"/>
      <c r="FB2" s="157"/>
      <c r="FC2" s="157"/>
      <c r="FD2" s="157"/>
      <c r="FE2" s="157"/>
      <c r="FF2" s="157"/>
      <c r="FG2" s="163" t="str">
        <f ca="1">TEXT(AX2,"mm/dd/yyyy")</f>
        <v>09/08/2026</v>
      </c>
      <c r="FH2" s="163" t="str">
        <f ca="1">TEXT(AX2+1,"mm/dd/yyyy")</f>
        <v>09/09/2026</v>
      </c>
      <c r="FI2" s="163" t="str">
        <f ca="1">TEXT(FH2+1,"mm/dd/yyyy")</f>
        <v>09/10/2026</v>
      </c>
      <c r="FJ2" s="163" t="str">
        <f t="shared" ref="FJ2:FL2" ca="1" si="11">TEXT(FI2+1,"mm/dd/yyyy")</f>
        <v>09/11/2026</v>
      </c>
      <c r="FK2" s="163" t="str">
        <f t="shared" ca="1" si="11"/>
        <v>09/12/2026</v>
      </c>
      <c r="FL2" s="163" t="str">
        <f t="shared" ca="1" si="11"/>
        <v>09/13/2026</v>
      </c>
      <c r="FM2" s="147" t="str">
        <f t="shared" ref="FM2" ca="1" si="12">TEXT(FL2+7,"mm/dd/yyyy")</f>
        <v>09/20/2026</v>
      </c>
      <c r="FN2" s="163" t="str">
        <f t="shared" ref="FN2:FP2" ca="1" si="13">TEXT(FM2+1,"mm/dd/yyyy")</f>
        <v>09/21/2026</v>
      </c>
      <c r="FO2" s="163" t="str">
        <f t="shared" ca="1" si="13"/>
        <v>09/22/2026</v>
      </c>
      <c r="FP2" s="163" t="str">
        <f t="shared" ca="1" si="13"/>
        <v>09/23/2026</v>
      </c>
      <c r="FQ2" s="157" t="str">
        <f t="shared" ref="FQ2" ca="1" si="14">"QAFIRSTNAME"&amp;CHAR(RANDBETWEEN(65,90))&amp;CHAR(RANDBETWEEN(65,90))</f>
        <v>QAFIRSTNAMEKA</v>
      </c>
      <c r="FR2" s="163" t="str">
        <f t="shared" ref="FR2" ca="1" si="15">"QALASTNAME"&amp;CHAR(RANDBETWEEN(65,90))&amp;CHAR(RANDBETWEEN(65,90))</f>
        <v>QALASTNAMEBG</v>
      </c>
      <c r="FS2" s="147" t="str">
        <f t="shared" ref="FS2" ca="1" si="16">TEXT(DATE(YEAR(TODAY())-DK2,MONTH(TODAY()),DAY(TODAY())),"MM/DD/YYYY")</f>
        <v>09/01/1916</v>
      </c>
      <c r="FT2" s="163"/>
      <c r="FU2" s="147" t="str">
        <f t="shared" ref="FU2" ca="1" si="17">TEXT(DATE(YEAR(TODAY())-DN2,MONTH(TODAY()),DAY(TODAY())),"MM/DD/YYYY")</f>
        <v>09/01/2008</v>
      </c>
      <c r="FV2" s="157" t="s">
        <v>791</v>
      </c>
      <c r="FW2" s="157" t="s">
        <v>815</v>
      </c>
      <c r="FX2" s="157" t="s">
        <v>814</v>
      </c>
      <c r="FY2" s="157" t="s">
        <v>819</v>
      </c>
      <c r="FZ2" s="157" t="s">
        <v>817</v>
      </c>
      <c r="GA2" s="157" t="s">
        <v>792</v>
      </c>
      <c r="GB2" s="157" t="s">
        <v>483</v>
      </c>
      <c r="GC2" s="156" t="s">
        <v>793</v>
      </c>
      <c r="GD2" s="158" t="s">
        <v>794</v>
      </c>
      <c r="GE2" s="158" t="s">
        <v>101</v>
      </c>
      <c r="GF2" s="157" t="s">
        <v>795</v>
      </c>
      <c r="GG2" s="147" t="s">
        <v>796</v>
      </c>
      <c r="GH2" s="157" t="s">
        <v>797</v>
      </c>
      <c r="GI2" s="157"/>
      <c r="GJ2" s="157" t="s">
        <v>106</v>
      </c>
      <c r="GK2" s="157" t="s">
        <v>798</v>
      </c>
      <c r="GL2" s="170"/>
      <c r="GM2" s="170"/>
      <c r="GN2" s="170"/>
      <c r="GO2" s="170"/>
      <c r="GP2" s="170"/>
      <c r="GQ2" s="170"/>
      <c r="GR2" s="170"/>
      <c r="GS2" s="170"/>
      <c r="GT2" s="170"/>
      <c r="GU2" s="170"/>
      <c r="GV2" s="170"/>
      <c r="GW2" s="170"/>
      <c r="GX2" s="170"/>
      <c r="GY2" s="170"/>
      <c r="GZ2" s="170"/>
      <c r="HA2" s="170"/>
      <c r="HB2" s="170"/>
      <c r="HC2" s="170"/>
      <c r="HD2" s="170"/>
      <c r="HE2" s="170"/>
      <c r="HF2" s="170"/>
      <c r="HG2" s="170"/>
      <c r="HH2" s="170"/>
      <c r="HI2" s="170"/>
      <c r="HJ2" s="170"/>
      <c r="HK2" s="170"/>
      <c r="HL2" s="170"/>
      <c r="HM2" s="170"/>
      <c r="HN2" s="170"/>
      <c r="HO2" s="170"/>
      <c r="HP2" s="170"/>
      <c r="HQ2" s="170"/>
      <c r="HR2" s="170"/>
      <c r="HS2" s="170"/>
      <c r="HT2" s="170"/>
      <c r="HU2" s="170"/>
      <c r="HV2" s="170"/>
      <c r="HW2" s="170"/>
      <c r="HX2" s="170"/>
      <c r="HY2" s="170"/>
      <c r="HZ2" s="170"/>
      <c r="IA2" s="170"/>
      <c r="IB2" s="170"/>
      <c r="IC2" s="170"/>
      <c r="ID2" s="170"/>
      <c r="IE2" s="170"/>
      <c r="IF2" s="170"/>
      <c r="IG2" s="170"/>
      <c r="IH2" s="170"/>
      <c r="II2" s="163"/>
      <c r="IJ2" s="163"/>
      <c r="IK2" s="163"/>
      <c r="IL2" s="163"/>
    </row>
  </sheetData>
  <conditionalFormatting sqref="A2:E2">
    <cfRule type="cellIs" dxfId="45" priority="7" stopIfTrue="1" operator="equal">
      <formula>"N"</formula>
    </cfRule>
    <cfRule type="cellIs" dxfId="44" priority="8" stopIfTrue="1" operator="equal">
      <formula>"Y"</formula>
    </cfRule>
  </conditionalFormatting>
  <conditionalFormatting sqref="E1">
    <cfRule type="cellIs" dxfId="43" priority="23" stopIfTrue="1" operator="equal">
      <formula>"N"</formula>
    </cfRule>
    <cfRule type="cellIs" dxfId="42" priority="24" stopIfTrue="1" operator="equal">
      <formula>"Y"</formula>
    </cfRule>
  </conditionalFormatting>
  <hyperlinks>
    <hyperlink ref="AV2" r:id="rId1" display="qa@travelguard.com" xr:uid="{FE6631F4-BAFE-4FCF-B786-DF56F16DC39A}"/>
    <hyperlink ref="AX2" r:id="rId2" display="qa@travelguard.com" xr:uid="{5BFF7914-D5A1-4252-8C41-7B7049A854D3}"/>
    <hyperlink ref="BA2" r:id="rId3" display="qa@travelguard.com" xr:uid="{0D606F1D-4DCA-47AD-9915-4244DED31C7D}"/>
    <hyperlink ref="GD2" r:id="rId4" display="qa@travelex.com" xr:uid="{70D0FC39-D832-464D-A9C4-5AFBA14A4DB7}"/>
    <hyperlink ref="GE2" r:id="rId5" display="qa@travelex.com" xr:uid="{E8CDD7ED-EE97-408C-BA4C-88E7F4B02F58}"/>
  </hyperlinks>
  <pageMargins left="0.7" right="0.7" top="0.75" bottom="0.75" header="0.3" footer="0.3"/>
  <pageSetup orientation="portrait" r:id="rId6"/>
  <headerFooter>
    <oddFooter>&amp;L_x000D_&amp;1#&amp;"Aptos"&amp;10&amp;K000000 INTERNAL USE ONLY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13E6-A258-4D25-B5C2-5E8B9A03D278}">
  <sheetPr>
    <tabColor theme="7"/>
    <outlinePr summaryBelow="0"/>
  </sheetPr>
  <dimension ref="A1:Z245"/>
  <sheetViews>
    <sheetView showGridLines="0" zoomScale="85" zoomScaleNormal="85" workbookViewId="0">
      <pane ySplit="1" topLeftCell="A194" activePane="bottomLeft" state="frozen"/>
      <selection activeCell="E20" sqref="E20"/>
      <selection pane="bottomLeft" activeCell="C191" sqref="C191"/>
    </sheetView>
  </sheetViews>
  <sheetFormatPr defaultColWidth="9.140625" defaultRowHeight="12.75" outlineLevelRow="1"/>
  <cols>
    <col min="1" max="1" width="27.42578125" style="13" customWidth="1"/>
    <col min="2" max="2" width="12.42578125" style="14" bestFit="1" customWidth="1"/>
    <col min="3" max="3" width="23.140625" style="13" customWidth="1"/>
    <col min="4" max="4" width="8.5703125" style="13" customWidth="1"/>
    <col min="5" max="5" width="10.85546875" style="13" customWidth="1"/>
    <col min="6" max="6" width="10.42578125" style="13" customWidth="1"/>
    <col min="7" max="7" width="22.140625" style="13" bestFit="1" customWidth="1"/>
    <col min="8" max="9" width="9.140625" style="13"/>
    <col min="10" max="10" width="62.5703125" style="13" bestFit="1" customWidth="1"/>
    <col min="11" max="11" width="9.140625" style="13"/>
    <col min="12" max="12" width="14.140625" style="13" bestFit="1" customWidth="1"/>
    <col min="13" max="13" width="19" style="13" customWidth="1"/>
    <col min="14" max="14" width="15.5703125" style="13" bestFit="1" customWidth="1"/>
    <col min="15" max="15" width="7.85546875" style="13" customWidth="1"/>
    <col min="16" max="16" width="9.5703125" style="13" bestFit="1" customWidth="1"/>
    <col min="17" max="17" width="9.85546875" style="13" bestFit="1" customWidth="1"/>
    <col min="18" max="18" width="20.140625" style="13" customWidth="1"/>
    <col min="19" max="19" width="22.85546875" style="13" bestFit="1" customWidth="1"/>
    <col min="20" max="20" width="12" style="13" bestFit="1" customWidth="1"/>
    <col min="21" max="21" width="8.42578125" style="13" bestFit="1" customWidth="1"/>
    <col min="22" max="22" width="5.85546875" style="13" bestFit="1" customWidth="1"/>
    <col min="23" max="23" width="9" style="13" bestFit="1" customWidth="1"/>
    <col min="24" max="24" width="8.42578125" style="13" bestFit="1" customWidth="1"/>
    <col min="25" max="25" width="7.85546875" style="13" bestFit="1" customWidth="1"/>
    <col min="26" max="16384" width="9.140625" style="9"/>
  </cols>
  <sheetData>
    <row r="1" spans="1:26">
      <c r="A1" s="29" t="s">
        <v>5</v>
      </c>
      <c r="B1" s="7" t="s">
        <v>28</v>
      </c>
      <c r="C1" s="7" t="s">
        <v>29</v>
      </c>
      <c r="D1" s="7" t="s">
        <v>1</v>
      </c>
      <c r="E1" s="7" t="s">
        <v>26</v>
      </c>
      <c r="F1" s="8" t="s">
        <v>53</v>
      </c>
      <c r="G1" s="7" t="s">
        <v>27</v>
      </c>
      <c r="H1" s="7" t="s">
        <v>47</v>
      </c>
      <c r="I1" s="7" t="s">
        <v>42</v>
      </c>
      <c r="J1" s="7" t="s">
        <v>43</v>
      </c>
      <c r="K1" s="7" t="s">
        <v>30</v>
      </c>
      <c r="L1" s="7" t="s">
        <v>31</v>
      </c>
      <c r="M1" s="7" t="s">
        <v>7</v>
      </c>
      <c r="N1" s="7" t="s">
        <v>44</v>
      </c>
      <c r="O1" s="7" t="s">
        <v>46</v>
      </c>
      <c r="P1" s="7" t="s">
        <v>52</v>
      </c>
      <c r="Q1" s="7" t="s">
        <v>51</v>
      </c>
      <c r="R1" s="7" t="s">
        <v>45</v>
      </c>
      <c r="S1" s="7" t="s">
        <v>32</v>
      </c>
      <c r="T1" s="7" t="s">
        <v>48</v>
      </c>
      <c r="U1" s="7" t="s">
        <v>41</v>
      </c>
      <c r="V1" s="7" t="s">
        <v>129</v>
      </c>
      <c r="W1" s="7" t="s">
        <v>11</v>
      </c>
      <c r="X1" s="7" t="s">
        <v>49</v>
      </c>
      <c r="Y1" s="7" t="s">
        <v>50</v>
      </c>
      <c r="Z1" s="7" t="s">
        <v>3</v>
      </c>
    </row>
    <row r="2" spans="1:26" ht="12.75" customHeight="1">
      <c r="A2" s="30" t="s">
        <v>496</v>
      </c>
      <c r="B2" s="31"/>
      <c r="C2" s="31"/>
      <c r="D2" s="32"/>
      <c r="E2" s="32"/>
      <c r="F2" s="31"/>
      <c r="G2" s="32"/>
      <c r="H2" s="32"/>
      <c r="I2" s="32"/>
      <c r="J2" s="32"/>
      <c r="K2" s="31"/>
      <c r="L2" s="32"/>
      <c r="M2" s="32"/>
      <c r="N2" s="32"/>
      <c r="O2" s="32"/>
      <c r="P2" s="32"/>
      <c r="Q2" s="32"/>
      <c r="R2" s="32"/>
      <c r="S2" s="32"/>
      <c r="T2" s="32"/>
      <c r="U2" s="32"/>
      <c r="V2" s="32"/>
      <c r="W2" s="32"/>
      <c r="X2" s="32"/>
      <c r="Y2" s="32"/>
      <c r="Z2" s="32"/>
    </row>
    <row r="3" spans="1:26" outlineLevel="1">
      <c r="A3" s="53" t="str">
        <f>IF(OR(Global!B25="N"),"N","bln680922")</f>
        <v>N</v>
      </c>
      <c r="B3" s="198">
        <f>COUNTA($B$1:B2)</f>
        <v>1</v>
      </c>
      <c r="C3" s="35" t="s">
        <v>132</v>
      </c>
      <c r="D3" s="35"/>
      <c r="E3" s="35"/>
      <c r="F3" s="34"/>
      <c r="G3" s="35" t="s">
        <v>498</v>
      </c>
      <c r="H3" s="35"/>
      <c r="I3" s="35"/>
      <c r="J3" s="35"/>
      <c r="K3" s="69"/>
      <c r="L3" s="35" t="s">
        <v>67</v>
      </c>
      <c r="M3" s="36">
        <v>1</v>
      </c>
      <c r="N3" s="35"/>
      <c r="O3" s="35" t="s">
        <v>2</v>
      </c>
      <c r="P3" s="35"/>
      <c r="Q3" s="35"/>
      <c r="R3" s="35" t="s">
        <v>57</v>
      </c>
      <c r="S3" s="35"/>
      <c r="T3" s="35"/>
      <c r="U3" s="35"/>
      <c r="V3" s="35"/>
      <c r="W3" s="35"/>
      <c r="X3" s="35"/>
      <c r="Y3" s="35"/>
      <c r="Z3" s="35"/>
    </row>
    <row r="4" spans="1:26" outlineLevel="1">
      <c r="A4" s="53" t="str">
        <f>IF(OR(Global!B25="N"),"N","bln680922")</f>
        <v>N</v>
      </c>
      <c r="B4" s="198">
        <f>COUNTA($B$1:B3)</f>
        <v>2</v>
      </c>
      <c r="C4" s="35" t="s">
        <v>947</v>
      </c>
      <c r="D4" s="35"/>
      <c r="E4" s="35"/>
      <c r="F4" s="34"/>
      <c r="G4" s="35" t="s">
        <v>498</v>
      </c>
      <c r="H4" s="35" t="s">
        <v>134</v>
      </c>
      <c r="I4" s="35"/>
      <c r="J4" s="35"/>
      <c r="K4" s="69"/>
      <c r="L4" s="35" t="s">
        <v>33</v>
      </c>
      <c r="M4" s="36" t="str">
        <f>"URL:="&amp;R3&amp;";;HEADLESS:=TRUE"</f>
        <v>URL:=DT_URL;;HEADLESS:=TRUE</v>
      </c>
      <c r="N4" s="35"/>
      <c r="O4" s="35"/>
      <c r="P4" s="35"/>
      <c r="Q4" s="35">
        <v>60</v>
      </c>
      <c r="R4" s="35"/>
      <c r="S4" s="35"/>
      <c r="T4" s="35"/>
      <c r="U4" s="35"/>
      <c r="V4" s="35"/>
      <c r="W4" s="35"/>
      <c r="X4" s="35"/>
      <c r="Y4" s="35"/>
      <c r="Z4" s="35"/>
    </row>
    <row r="5" spans="1:26">
      <c r="A5" s="71" t="str">
        <f>IF(OR(Global!B25="Y"),"N","bln680922")</f>
        <v>bln680922</v>
      </c>
      <c r="B5" s="198">
        <f>COUNTA($B$1:B4)</f>
        <v>3</v>
      </c>
      <c r="C5" s="73" t="s">
        <v>132</v>
      </c>
      <c r="D5" s="73"/>
      <c r="E5" s="73"/>
      <c r="F5" s="72"/>
      <c r="G5" s="73" t="s">
        <v>498</v>
      </c>
      <c r="H5" s="73" t="s">
        <v>134</v>
      </c>
      <c r="I5" s="73"/>
      <c r="J5" s="73"/>
      <c r="K5" s="72"/>
      <c r="L5" s="73" t="s">
        <v>33</v>
      </c>
      <c r="M5" s="74" t="s">
        <v>57</v>
      </c>
      <c r="N5" s="73"/>
      <c r="O5" s="73"/>
      <c r="P5" s="73"/>
      <c r="Q5" s="73">
        <v>60</v>
      </c>
      <c r="R5" s="73"/>
      <c r="S5" s="73"/>
      <c r="T5" s="73"/>
      <c r="U5" s="73"/>
      <c r="V5" s="73"/>
      <c r="W5" s="73"/>
      <c r="X5" s="73"/>
      <c r="Y5" s="73"/>
      <c r="Z5" s="73"/>
    </row>
    <row r="6" spans="1:26">
      <c r="A6" s="75" t="s">
        <v>21</v>
      </c>
      <c r="B6" s="72">
        <f>COUNTA($B$1:B5)</f>
        <v>4</v>
      </c>
      <c r="C6" s="75" t="s">
        <v>67</v>
      </c>
      <c r="D6" s="75"/>
      <c r="E6" s="75"/>
      <c r="F6" s="75"/>
      <c r="G6" s="73" t="s">
        <v>498</v>
      </c>
      <c r="H6" s="75"/>
      <c r="I6" s="75"/>
      <c r="J6" s="75"/>
      <c r="K6" s="76"/>
      <c r="L6" s="75" t="s">
        <v>67</v>
      </c>
      <c r="M6" s="75">
        <v>5</v>
      </c>
      <c r="N6" s="75"/>
      <c r="O6" s="75"/>
      <c r="P6" s="75"/>
      <c r="Q6" s="75"/>
      <c r="R6" s="77"/>
      <c r="S6" s="75"/>
      <c r="T6" s="75"/>
      <c r="U6" s="75"/>
      <c r="V6" s="75"/>
      <c r="W6" s="75"/>
      <c r="X6" s="75"/>
      <c r="Y6" s="75"/>
      <c r="Z6" s="73"/>
    </row>
    <row r="7" spans="1:26">
      <c r="A7" s="75" t="s">
        <v>21</v>
      </c>
      <c r="B7" s="72">
        <f>COUNTA($B$1:B6)</f>
        <v>5</v>
      </c>
      <c r="C7" s="75" t="s">
        <v>68</v>
      </c>
      <c r="D7" s="75"/>
      <c r="E7" s="75"/>
      <c r="F7" s="75"/>
      <c r="G7" s="73" t="s">
        <v>498</v>
      </c>
      <c r="H7" s="75"/>
      <c r="I7" s="75" t="s">
        <v>55</v>
      </c>
      <c r="J7" s="75" t="s">
        <v>71</v>
      </c>
      <c r="K7" s="76">
        <v>0</v>
      </c>
      <c r="L7" s="75" t="s">
        <v>0</v>
      </c>
      <c r="M7" s="75" t="s">
        <v>74</v>
      </c>
      <c r="N7" s="75"/>
      <c r="O7" s="75" t="s">
        <v>2</v>
      </c>
      <c r="P7" s="75"/>
      <c r="Q7" s="78">
        <v>5</v>
      </c>
      <c r="R7" s="77"/>
      <c r="S7" s="75"/>
      <c r="T7" s="75"/>
      <c r="U7" s="75"/>
      <c r="V7" s="75"/>
      <c r="W7" s="75"/>
      <c r="X7" s="75"/>
      <c r="Y7" s="75"/>
      <c r="Z7" s="73"/>
    </row>
    <row r="8" spans="1:26">
      <c r="A8" s="75" t="s">
        <v>21</v>
      </c>
      <c r="B8" s="72">
        <f>COUNTA($B$1:B7)</f>
        <v>6</v>
      </c>
      <c r="C8" s="75" t="s">
        <v>69</v>
      </c>
      <c r="D8" s="75"/>
      <c r="E8" s="75"/>
      <c r="F8" s="75"/>
      <c r="G8" s="73" t="s">
        <v>498</v>
      </c>
      <c r="H8" s="75"/>
      <c r="I8" s="75" t="s">
        <v>55</v>
      </c>
      <c r="J8" s="75" t="s">
        <v>72</v>
      </c>
      <c r="K8" s="76">
        <v>0</v>
      </c>
      <c r="L8" s="75" t="s">
        <v>0</v>
      </c>
      <c r="M8" s="75" t="s">
        <v>75</v>
      </c>
      <c r="N8" s="75"/>
      <c r="O8" s="75" t="s">
        <v>2</v>
      </c>
      <c r="P8" s="75"/>
      <c r="Q8" s="75"/>
      <c r="R8" s="77"/>
      <c r="S8" s="75"/>
      <c r="T8" s="75"/>
      <c r="U8" s="75"/>
      <c r="V8" s="75"/>
      <c r="W8" s="75"/>
      <c r="X8" s="75"/>
      <c r="Y8" s="75"/>
      <c r="Z8" s="73"/>
    </row>
    <row r="9" spans="1:26">
      <c r="A9" s="75" t="s">
        <v>21</v>
      </c>
      <c r="B9" s="72">
        <f>COUNTA($B$1:B8)</f>
        <v>7</v>
      </c>
      <c r="C9" s="75" t="s">
        <v>70</v>
      </c>
      <c r="D9" s="75"/>
      <c r="E9" s="75"/>
      <c r="F9" s="75"/>
      <c r="G9" s="73" t="s">
        <v>498</v>
      </c>
      <c r="H9" s="75"/>
      <c r="I9" s="75" t="s">
        <v>55</v>
      </c>
      <c r="J9" s="75" t="s">
        <v>73</v>
      </c>
      <c r="K9" s="76">
        <v>0</v>
      </c>
      <c r="L9" s="75" t="s">
        <v>34</v>
      </c>
      <c r="M9" s="75"/>
      <c r="N9" s="75"/>
      <c r="O9" s="75" t="s">
        <v>2</v>
      </c>
      <c r="P9" s="75"/>
      <c r="Q9" s="75"/>
      <c r="R9" s="77"/>
      <c r="S9" s="75"/>
      <c r="T9" s="75"/>
      <c r="U9" s="75"/>
      <c r="V9" s="75"/>
      <c r="W9" s="75"/>
      <c r="X9" s="75"/>
      <c r="Y9" s="75"/>
      <c r="Z9" s="73"/>
    </row>
    <row r="10" spans="1:26">
      <c r="A10" s="75" t="s">
        <v>21</v>
      </c>
      <c r="B10" s="72">
        <f>COUNTA($B$1:B9)</f>
        <v>8</v>
      </c>
      <c r="C10" s="75" t="s">
        <v>67</v>
      </c>
      <c r="D10" s="75"/>
      <c r="E10" s="75"/>
      <c r="F10" s="75"/>
      <c r="G10" s="73" t="s">
        <v>498</v>
      </c>
      <c r="H10" s="75"/>
      <c r="I10" s="75"/>
      <c r="J10" s="75"/>
      <c r="K10" s="76"/>
      <c r="L10" s="75" t="s">
        <v>67</v>
      </c>
      <c r="M10" s="75">
        <v>5</v>
      </c>
      <c r="N10" s="75"/>
      <c r="O10" s="75"/>
      <c r="P10" s="75"/>
      <c r="Q10" s="75"/>
      <c r="R10" s="77"/>
      <c r="S10" s="75"/>
      <c r="T10" s="75"/>
      <c r="U10" s="75"/>
      <c r="V10" s="75"/>
      <c r="W10" s="75"/>
      <c r="X10" s="75"/>
      <c r="Y10" s="75"/>
      <c r="Z10" s="73"/>
    </row>
    <row r="11" spans="1:26" ht="12.75" customHeight="1">
      <c r="A11" s="30" t="s">
        <v>135</v>
      </c>
      <c r="B11" s="31"/>
      <c r="C11" s="31"/>
      <c r="D11" s="32"/>
      <c r="E11" s="32"/>
      <c r="F11" s="31"/>
      <c r="G11" s="32"/>
      <c r="H11" s="32"/>
      <c r="I11" s="32"/>
      <c r="J11" s="32"/>
      <c r="K11" s="31"/>
      <c r="L11" s="32"/>
      <c r="M11" s="32"/>
      <c r="N11" s="32"/>
      <c r="O11" s="32"/>
      <c r="P11" s="32"/>
      <c r="Q11" s="32"/>
      <c r="R11" s="32"/>
      <c r="S11" s="32"/>
      <c r="T11" s="32"/>
      <c r="U11" s="32"/>
      <c r="V11" s="32"/>
      <c r="W11" s="32"/>
      <c r="X11" s="32"/>
      <c r="Y11" s="32"/>
      <c r="Z11" s="32"/>
    </row>
    <row r="12" spans="1:26">
      <c r="A12" s="71" t="s">
        <v>497</v>
      </c>
      <c r="B12" s="72">
        <f>COUNTA($B$1:B11)</f>
        <v>9</v>
      </c>
      <c r="C12" s="79" t="s">
        <v>136</v>
      </c>
      <c r="D12" s="79"/>
      <c r="E12" s="79"/>
      <c r="F12" s="80"/>
      <c r="G12" s="73" t="s">
        <v>498</v>
      </c>
      <c r="H12" s="79"/>
      <c r="I12" s="79"/>
      <c r="J12" s="79"/>
      <c r="K12" s="80"/>
      <c r="L12" s="81" t="s">
        <v>137</v>
      </c>
      <c r="M12" s="75" t="s">
        <v>138</v>
      </c>
      <c r="N12" s="79"/>
      <c r="O12" s="79"/>
      <c r="P12" s="79"/>
      <c r="Q12" s="80"/>
      <c r="R12" s="79"/>
      <c r="S12" s="79"/>
      <c r="T12" s="79"/>
      <c r="U12" s="79"/>
      <c r="V12" s="79"/>
      <c r="W12" s="79"/>
      <c r="X12" s="79"/>
      <c r="Y12" s="79"/>
      <c r="Z12" s="79"/>
    </row>
    <row r="13" spans="1:26">
      <c r="A13" s="45" t="s">
        <v>497</v>
      </c>
      <c r="B13" s="72">
        <f>COUNTA($B$1:B12)</f>
        <v>10</v>
      </c>
      <c r="C13" s="46" t="s">
        <v>140</v>
      </c>
      <c r="D13" s="46"/>
      <c r="E13" s="46"/>
      <c r="F13" s="47"/>
      <c r="G13" s="46" t="s">
        <v>498</v>
      </c>
      <c r="H13" s="46"/>
      <c r="I13" s="46" t="s">
        <v>55</v>
      </c>
      <c r="J13" s="46" t="s">
        <v>141</v>
      </c>
      <c r="K13" s="47"/>
      <c r="L13" s="46" t="s">
        <v>142</v>
      </c>
      <c r="M13" s="48"/>
      <c r="N13" s="46"/>
      <c r="O13" s="46" t="s">
        <v>2</v>
      </c>
      <c r="P13" s="46"/>
      <c r="Q13" s="46"/>
      <c r="R13" s="49"/>
      <c r="S13" s="46"/>
      <c r="T13" s="46"/>
      <c r="U13" s="46"/>
      <c r="V13" s="46"/>
      <c r="W13" s="46"/>
      <c r="X13" s="46"/>
      <c r="Y13" s="46"/>
      <c r="Z13" s="46"/>
    </row>
    <row r="14" spans="1:26" s="19" customFormat="1" outlineLevel="1">
      <c r="A14" s="45" t="str">
        <f>IF($D$13="PASSED","bln680922","N")</f>
        <v>N</v>
      </c>
      <c r="B14" s="72">
        <f>COUNTA($B$1:B13)</f>
        <v>11</v>
      </c>
      <c r="C14" s="46" t="s">
        <v>143</v>
      </c>
      <c r="D14" s="46"/>
      <c r="E14" s="46"/>
      <c r="F14" s="47"/>
      <c r="G14" s="46" t="s">
        <v>498</v>
      </c>
      <c r="H14" s="46"/>
      <c r="I14" s="46" t="s">
        <v>55</v>
      </c>
      <c r="J14" s="46" t="s">
        <v>141</v>
      </c>
      <c r="K14" s="47"/>
      <c r="L14" s="46" t="s">
        <v>98</v>
      </c>
      <c r="M14" s="48"/>
      <c r="N14" s="46" t="s">
        <v>99</v>
      </c>
      <c r="O14" s="46" t="s">
        <v>2</v>
      </c>
      <c r="P14" s="46"/>
      <c r="Q14" s="46"/>
      <c r="R14" s="49" t="s">
        <v>144</v>
      </c>
      <c r="S14" s="46"/>
      <c r="T14" s="46"/>
      <c r="U14" s="46"/>
      <c r="V14" s="46"/>
      <c r="W14" s="46"/>
      <c r="X14" s="46"/>
      <c r="Y14" s="46"/>
      <c r="Z14" s="46"/>
    </row>
    <row r="15" spans="1:26" s="19" customFormat="1" outlineLevel="1">
      <c r="A15" s="45" t="str">
        <f>A14</f>
        <v>N</v>
      </c>
      <c r="B15" s="72">
        <f>COUNTA($B$1:B14)</f>
        <v>12</v>
      </c>
      <c r="C15" s="46" t="s">
        <v>145</v>
      </c>
      <c r="D15" s="46"/>
      <c r="E15" s="46"/>
      <c r="F15" s="47"/>
      <c r="G15" s="46" t="s">
        <v>498</v>
      </c>
      <c r="H15" s="46"/>
      <c r="I15" s="46" t="s">
        <v>55</v>
      </c>
      <c r="J15" s="46" t="s">
        <v>146</v>
      </c>
      <c r="K15" s="47"/>
      <c r="L15" s="46" t="s">
        <v>147</v>
      </c>
      <c r="M15" s="48"/>
      <c r="N15" s="46"/>
      <c r="O15" s="46" t="s">
        <v>2</v>
      </c>
      <c r="P15" s="46"/>
      <c r="Q15" s="46"/>
      <c r="R15" s="48"/>
      <c r="S15" s="46"/>
      <c r="T15" s="46"/>
      <c r="U15" s="46"/>
      <c r="V15" s="46"/>
      <c r="W15" s="46"/>
      <c r="X15" s="46"/>
      <c r="Y15" s="46"/>
      <c r="Z15" s="46"/>
    </row>
    <row r="16" spans="1:26" s="19" customFormat="1" outlineLevel="1">
      <c r="A16" s="71" t="s">
        <v>497</v>
      </c>
      <c r="B16" s="72">
        <f>COUNTA($B$1:B15)</f>
        <v>13</v>
      </c>
      <c r="C16" s="73" t="s">
        <v>148</v>
      </c>
      <c r="D16" s="73"/>
      <c r="E16" s="73"/>
      <c r="F16" s="72"/>
      <c r="G16" s="73" t="s">
        <v>498</v>
      </c>
      <c r="H16" s="73"/>
      <c r="I16" s="73" t="s">
        <v>55</v>
      </c>
      <c r="J16" s="73" t="s">
        <v>149</v>
      </c>
      <c r="K16" s="72">
        <v>0</v>
      </c>
      <c r="L16" s="73" t="s">
        <v>34</v>
      </c>
      <c r="M16" s="73"/>
      <c r="N16" s="73"/>
      <c r="O16" s="73"/>
      <c r="P16" s="73"/>
      <c r="Q16" s="73"/>
      <c r="R16" s="73"/>
      <c r="S16" s="73"/>
      <c r="T16" s="73"/>
      <c r="U16" s="73"/>
      <c r="V16" s="73"/>
      <c r="W16" s="73"/>
      <c r="X16" s="73"/>
      <c r="Y16" s="73"/>
      <c r="Z16" s="73"/>
    </row>
    <row r="17" spans="1:26" s="19" customFormat="1" outlineLevel="1">
      <c r="A17" s="71" t="s">
        <v>497</v>
      </c>
      <c r="B17" s="72">
        <f>COUNTA($B$1:B16)</f>
        <v>14</v>
      </c>
      <c r="C17" s="73" t="s">
        <v>67</v>
      </c>
      <c r="D17" s="73"/>
      <c r="E17" s="73"/>
      <c r="F17" s="72"/>
      <c r="G17" s="73" t="s">
        <v>498</v>
      </c>
      <c r="H17" s="73"/>
      <c r="I17" s="73"/>
      <c r="J17" s="73"/>
      <c r="K17" s="72"/>
      <c r="L17" s="73" t="s">
        <v>67</v>
      </c>
      <c r="M17" s="74">
        <v>2</v>
      </c>
      <c r="N17" s="73"/>
      <c r="O17" s="73"/>
      <c r="P17" s="73"/>
      <c r="Q17" s="73"/>
      <c r="R17" s="73"/>
      <c r="S17" s="73"/>
      <c r="T17" s="73"/>
      <c r="U17" s="73"/>
      <c r="V17" s="73"/>
      <c r="W17" s="73"/>
      <c r="X17" s="73"/>
      <c r="Y17" s="73"/>
      <c r="Z17" s="73"/>
    </row>
    <row r="18" spans="1:26" s="19" customFormat="1" outlineLevel="1">
      <c r="A18" s="71" t="s">
        <v>497</v>
      </c>
      <c r="B18" s="72">
        <f>COUNTA($B$1:B17)</f>
        <v>15</v>
      </c>
      <c r="C18" s="73" t="s">
        <v>150</v>
      </c>
      <c r="D18" s="73"/>
      <c r="E18" s="73"/>
      <c r="F18" s="72"/>
      <c r="G18" s="73" t="s">
        <v>498</v>
      </c>
      <c r="H18" s="73"/>
      <c r="I18" s="73" t="s">
        <v>55</v>
      </c>
      <c r="J18" s="73" t="s">
        <v>149</v>
      </c>
      <c r="K18" s="72">
        <v>0</v>
      </c>
      <c r="L18" s="73" t="s">
        <v>151</v>
      </c>
      <c r="M18" s="82" t="s">
        <v>152</v>
      </c>
      <c r="N18" s="73"/>
      <c r="O18" s="73"/>
      <c r="P18" s="73"/>
      <c r="Q18" s="73"/>
      <c r="R18" s="73"/>
      <c r="S18" s="73"/>
      <c r="T18" s="73"/>
      <c r="U18" s="73"/>
      <c r="V18" s="73"/>
      <c r="W18" s="73"/>
      <c r="X18" s="73"/>
      <c r="Y18" s="73"/>
      <c r="Z18" s="73"/>
    </row>
    <row r="19" spans="1:26" s="19" customFormat="1" outlineLevel="1">
      <c r="A19" s="71" t="s">
        <v>497</v>
      </c>
      <c r="B19" s="72">
        <f>COUNTA($B$1:B18)</f>
        <v>16</v>
      </c>
      <c r="C19" s="73" t="s">
        <v>67</v>
      </c>
      <c r="D19" s="73"/>
      <c r="E19" s="73"/>
      <c r="F19" s="72"/>
      <c r="G19" s="73" t="s">
        <v>498</v>
      </c>
      <c r="H19" s="73"/>
      <c r="I19" s="73"/>
      <c r="J19" s="73"/>
      <c r="K19" s="72"/>
      <c r="L19" s="73" t="s">
        <v>67</v>
      </c>
      <c r="M19" s="74">
        <v>2</v>
      </c>
      <c r="N19" s="73"/>
      <c r="O19" s="73"/>
      <c r="P19" s="73"/>
      <c r="Q19" s="73"/>
      <c r="R19" s="73"/>
      <c r="S19" s="73"/>
      <c r="T19" s="73"/>
      <c r="U19" s="73"/>
      <c r="V19" s="73"/>
      <c r="W19" s="73"/>
      <c r="X19" s="73"/>
      <c r="Y19" s="73"/>
      <c r="Z19" s="73"/>
    </row>
    <row r="20" spans="1:26" s="19" customFormat="1" outlineLevel="1">
      <c r="A20" s="71" t="s">
        <v>497</v>
      </c>
      <c r="B20" s="72">
        <f>COUNTA($B$1:B19)</f>
        <v>17</v>
      </c>
      <c r="C20" s="73" t="s">
        <v>148</v>
      </c>
      <c r="D20" s="73"/>
      <c r="E20" s="73"/>
      <c r="F20" s="80"/>
      <c r="G20" s="73" t="s">
        <v>498</v>
      </c>
      <c r="H20" s="73"/>
      <c r="I20" s="73" t="s">
        <v>55</v>
      </c>
      <c r="J20" s="73" t="str">
        <f>"//a[contains(.,'"&amp;M18&amp;"')]"</f>
        <v>//a[contains(.,'Destination')]</v>
      </c>
      <c r="K20" s="72">
        <v>0</v>
      </c>
      <c r="L20" s="73" t="s">
        <v>147</v>
      </c>
      <c r="M20" s="73"/>
      <c r="N20" s="73"/>
      <c r="O20" s="73"/>
      <c r="P20" s="73"/>
      <c r="Q20" s="73"/>
      <c r="R20" s="73"/>
      <c r="S20" s="73"/>
      <c r="T20" s="73"/>
      <c r="U20" s="73"/>
      <c r="V20" s="73"/>
      <c r="W20" s="73"/>
      <c r="X20" s="73"/>
      <c r="Y20" s="73"/>
      <c r="Z20" s="73"/>
    </row>
    <row r="21" spans="1:26" s="19" customFormat="1" outlineLevel="1">
      <c r="A21" s="71" t="s">
        <v>497</v>
      </c>
      <c r="B21" s="72">
        <f>COUNTA($B$1:B20)</f>
        <v>18</v>
      </c>
      <c r="C21" s="73" t="s">
        <v>153</v>
      </c>
      <c r="D21" s="83"/>
      <c r="E21" s="84" t="s">
        <v>154</v>
      </c>
      <c r="F21" s="76"/>
      <c r="G21" s="73" t="s">
        <v>498</v>
      </c>
      <c r="H21" s="73"/>
      <c r="I21" s="73" t="s">
        <v>55</v>
      </c>
      <c r="J21" s="73" t="s">
        <v>81</v>
      </c>
      <c r="K21" s="72">
        <v>0</v>
      </c>
      <c r="L21" s="73" t="s">
        <v>0</v>
      </c>
      <c r="M21" s="82" t="s">
        <v>155</v>
      </c>
      <c r="N21" s="73"/>
      <c r="O21" s="73"/>
      <c r="P21" s="73"/>
      <c r="Q21" s="73"/>
      <c r="R21" s="73"/>
      <c r="S21" s="84"/>
      <c r="T21" s="73"/>
      <c r="U21" s="73"/>
      <c r="V21" s="73"/>
      <c r="W21" s="73"/>
      <c r="X21" s="84"/>
      <c r="Y21" s="84"/>
      <c r="Z21" s="84"/>
    </row>
    <row r="22" spans="1:26" s="19" customFormat="1" outlineLevel="1">
      <c r="A22" s="71" t="s">
        <v>497</v>
      </c>
      <c r="B22" s="72">
        <f>COUNTA($B$1:B21)</f>
        <v>19</v>
      </c>
      <c r="C22" s="73" t="s">
        <v>156</v>
      </c>
      <c r="D22" s="83"/>
      <c r="E22" s="84" t="s">
        <v>154</v>
      </c>
      <c r="F22" s="76"/>
      <c r="G22" s="73" t="s">
        <v>498</v>
      </c>
      <c r="H22" s="73"/>
      <c r="I22" s="73" t="s">
        <v>55</v>
      </c>
      <c r="J22" s="73" t="s">
        <v>82</v>
      </c>
      <c r="K22" s="72">
        <v>0</v>
      </c>
      <c r="L22" s="73" t="s">
        <v>0</v>
      </c>
      <c r="M22" s="82" t="s">
        <v>157</v>
      </c>
      <c r="N22" s="73"/>
      <c r="O22" s="73"/>
      <c r="P22" s="73"/>
      <c r="Q22" s="73"/>
      <c r="R22" s="73"/>
      <c r="S22" s="84"/>
      <c r="T22" s="73"/>
      <c r="U22" s="73"/>
      <c r="V22" s="73"/>
      <c r="W22" s="73"/>
      <c r="X22" s="84"/>
      <c r="Y22" s="84"/>
      <c r="Z22" s="84"/>
    </row>
    <row r="23" spans="1:26" s="19" customFormat="1" outlineLevel="1">
      <c r="A23" s="71" t="s">
        <v>497</v>
      </c>
      <c r="B23" s="72">
        <f>COUNTA($B$1:B22)</f>
        <v>20</v>
      </c>
      <c r="C23" s="73" t="s">
        <v>161</v>
      </c>
      <c r="D23" s="73"/>
      <c r="E23" s="73"/>
      <c r="F23" s="72"/>
      <c r="G23" s="73" t="s">
        <v>498</v>
      </c>
      <c r="H23" s="73"/>
      <c r="I23" s="73" t="s">
        <v>55</v>
      </c>
      <c r="J23" s="73" t="s">
        <v>162</v>
      </c>
      <c r="K23" s="72">
        <v>0</v>
      </c>
      <c r="L23" s="73" t="s">
        <v>34</v>
      </c>
      <c r="M23" s="73"/>
      <c r="N23" s="73"/>
      <c r="O23" s="73"/>
      <c r="P23" s="73"/>
      <c r="Q23" s="73"/>
      <c r="R23" s="73"/>
      <c r="S23" s="73"/>
      <c r="T23" s="73"/>
      <c r="U23" s="73"/>
      <c r="V23" s="73"/>
      <c r="W23" s="73"/>
      <c r="X23" s="73"/>
      <c r="Y23" s="73"/>
      <c r="Z23" s="73"/>
    </row>
    <row r="24" spans="1:26" s="19" customFormat="1" outlineLevel="1">
      <c r="A24" s="71" t="s">
        <v>497</v>
      </c>
      <c r="B24" s="72">
        <f>COUNTA($B$1:B23)</f>
        <v>21</v>
      </c>
      <c r="C24" s="73" t="s">
        <v>67</v>
      </c>
      <c r="D24" s="73"/>
      <c r="E24" s="73"/>
      <c r="F24" s="72"/>
      <c r="G24" s="73" t="s">
        <v>498</v>
      </c>
      <c r="H24" s="73"/>
      <c r="I24" s="73"/>
      <c r="J24" s="73"/>
      <c r="K24" s="72"/>
      <c r="L24" s="73" t="s">
        <v>67</v>
      </c>
      <c r="M24" s="74">
        <v>2</v>
      </c>
      <c r="N24" s="73"/>
      <c r="O24" s="73"/>
      <c r="P24" s="73"/>
      <c r="Q24" s="73"/>
      <c r="R24" s="73"/>
      <c r="S24" s="73"/>
      <c r="T24" s="73"/>
      <c r="U24" s="73"/>
      <c r="V24" s="73"/>
      <c r="W24" s="73"/>
      <c r="X24" s="73"/>
      <c r="Y24" s="73"/>
      <c r="Z24" s="73"/>
    </row>
    <row r="25" spans="1:26" s="19" customFormat="1" outlineLevel="1">
      <c r="A25" s="71" t="s">
        <v>497</v>
      </c>
      <c r="B25" s="72">
        <f>COUNTA($B$1:B24)</f>
        <v>22</v>
      </c>
      <c r="C25" s="73" t="s">
        <v>163</v>
      </c>
      <c r="D25" s="73"/>
      <c r="E25" s="73"/>
      <c r="F25" s="72"/>
      <c r="G25" s="73" t="s">
        <v>498</v>
      </c>
      <c r="H25" s="73"/>
      <c r="I25" s="73" t="s">
        <v>55</v>
      </c>
      <c r="J25" s="73" t="s">
        <v>162</v>
      </c>
      <c r="K25" s="72">
        <v>0</v>
      </c>
      <c r="L25" s="73" t="s">
        <v>151</v>
      </c>
      <c r="M25" s="82" t="s">
        <v>164</v>
      </c>
      <c r="N25" s="73"/>
      <c r="O25" s="73"/>
      <c r="P25" s="73"/>
      <c r="Q25" s="73"/>
      <c r="R25" s="73"/>
      <c r="S25" s="73"/>
      <c r="T25" s="73"/>
      <c r="U25" s="73"/>
      <c r="V25" s="73"/>
      <c r="W25" s="73"/>
      <c r="X25" s="73"/>
      <c r="Y25" s="73"/>
      <c r="Z25" s="73"/>
    </row>
    <row r="26" spans="1:26" s="19" customFormat="1" outlineLevel="1">
      <c r="A26" s="71" t="s">
        <v>497</v>
      </c>
      <c r="B26" s="72">
        <f>COUNTA($B$1:B25)</f>
        <v>23</v>
      </c>
      <c r="C26" s="73" t="s">
        <v>67</v>
      </c>
      <c r="D26" s="73"/>
      <c r="E26" s="73"/>
      <c r="F26" s="72"/>
      <c r="G26" s="73" t="s">
        <v>498</v>
      </c>
      <c r="H26" s="73"/>
      <c r="I26" s="73"/>
      <c r="J26" s="73"/>
      <c r="K26" s="72"/>
      <c r="L26" s="73" t="s">
        <v>67</v>
      </c>
      <c r="M26" s="74">
        <v>2</v>
      </c>
      <c r="N26" s="73"/>
      <c r="O26" s="73"/>
      <c r="P26" s="73"/>
      <c r="Q26" s="73"/>
      <c r="R26" s="73"/>
      <c r="S26" s="73"/>
      <c r="T26" s="73"/>
      <c r="U26" s="73"/>
      <c r="V26" s="73"/>
      <c r="W26" s="73"/>
      <c r="X26" s="73"/>
      <c r="Y26" s="73"/>
      <c r="Z26" s="73"/>
    </row>
    <row r="27" spans="1:26" s="19" customFormat="1" outlineLevel="1">
      <c r="A27" s="71" t="s">
        <v>497</v>
      </c>
      <c r="B27" s="72">
        <f>COUNTA($B$1:B26)</f>
        <v>24</v>
      </c>
      <c r="C27" s="73" t="s">
        <v>148</v>
      </c>
      <c r="D27" s="73"/>
      <c r="E27" s="73"/>
      <c r="F27" s="80"/>
      <c r="G27" s="73" t="s">
        <v>498</v>
      </c>
      <c r="H27" s="73"/>
      <c r="I27" s="73" t="s">
        <v>55</v>
      </c>
      <c r="J27" s="73" t="str">
        <f>"//a[contains(.,'"&amp;M25&amp;"')]"</f>
        <v>//a[contains(.,'Residence')]</v>
      </c>
      <c r="K27" s="72">
        <v>0</v>
      </c>
      <c r="L27" s="73" t="s">
        <v>147</v>
      </c>
      <c r="M27" s="73"/>
      <c r="N27" s="73"/>
      <c r="O27" s="73"/>
      <c r="P27" s="73"/>
      <c r="Q27" s="73"/>
      <c r="R27" s="73"/>
      <c r="S27" s="73"/>
      <c r="T27" s="73"/>
      <c r="U27" s="73"/>
      <c r="V27" s="73"/>
      <c r="W27" s="73"/>
      <c r="X27" s="73"/>
      <c r="Y27" s="73"/>
      <c r="Z27" s="73"/>
    </row>
    <row r="28" spans="1:26" s="19" customFormat="1" outlineLevel="1">
      <c r="A28" s="71" t="s">
        <v>497</v>
      </c>
      <c r="B28" s="72">
        <f>COUNTA($B$1:B27)</f>
        <v>25</v>
      </c>
      <c r="C28" s="73" t="s">
        <v>165</v>
      </c>
      <c r="D28" s="83"/>
      <c r="E28" s="84" t="s">
        <v>154</v>
      </c>
      <c r="F28" s="76"/>
      <c r="G28" s="73" t="s">
        <v>498</v>
      </c>
      <c r="H28" s="73"/>
      <c r="I28" s="73" t="s">
        <v>55</v>
      </c>
      <c r="J28" s="73" t="s">
        <v>166</v>
      </c>
      <c r="K28" s="72">
        <v>0</v>
      </c>
      <c r="L28" s="73" t="s">
        <v>0</v>
      </c>
      <c r="M28" s="82" t="s">
        <v>167</v>
      </c>
      <c r="N28" s="73"/>
      <c r="O28" s="73"/>
      <c r="P28" s="73"/>
      <c r="Q28" s="73"/>
      <c r="R28" s="73"/>
      <c r="S28" s="84"/>
      <c r="T28" s="73"/>
      <c r="U28" s="73"/>
      <c r="V28" s="73"/>
      <c r="W28" s="73"/>
      <c r="X28" s="84"/>
      <c r="Y28" s="84"/>
      <c r="Z28" s="84"/>
    </row>
    <row r="29" spans="1:26" s="19" customFormat="1" outlineLevel="1">
      <c r="A29" s="71" t="s">
        <v>497</v>
      </c>
      <c r="B29" s="72">
        <f>COUNTA($B$1:B28)</f>
        <v>26</v>
      </c>
      <c r="C29" s="73" t="s">
        <v>190</v>
      </c>
      <c r="D29" s="73"/>
      <c r="E29" s="73"/>
      <c r="F29" s="72"/>
      <c r="G29" s="73" t="s">
        <v>498</v>
      </c>
      <c r="H29" s="73"/>
      <c r="I29" s="73" t="s">
        <v>55</v>
      </c>
      <c r="J29" s="73" t="s">
        <v>87</v>
      </c>
      <c r="K29" s="72">
        <v>0</v>
      </c>
      <c r="L29" s="73" t="s">
        <v>147</v>
      </c>
      <c r="M29" s="74"/>
      <c r="N29" s="73"/>
      <c r="O29" s="73"/>
      <c r="P29" s="73"/>
      <c r="Q29" s="73"/>
      <c r="R29" s="73"/>
      <c r="S29" s="73"/>
      <c r="T29" s="73"/>
      <c r="U29" s="73"/>
      <c r="V29" s="73"/>
      <c r="W29" s="73"/>
      <c r="X29" s="73"/>
      <c r="Y29" s="73"/>
      <c r="Z29" s="73"/>
    </row>
    <row r="30" spans="1:26" s="19" customFormat="1" outlineLevel="1">
      <c r="A30" s="71" t="s">
        <v>497</v>
      </c>
      <c r="B30" s="72">
        <f>COUNTA($B$1:B29)</f>
        <v>27</v>
      </c>
      <c r="C30" s="73" t="s">
        <v>67</v>
      </c>
      <c r="D30" s="73"/>
      <c r="E30" s="73"/>
      <c r="F30" s="72"/>
      <c r="G30" s="73" t="s">
        <v>498</v>
      </c>
      <c r="H30" s="73"/>
      <c r="I30" s="73"/>
      <c r="J30" s="73"/>
      <c r="K30" s="72"/>
      <c r="L30" s="73" t="s">
        <v>67</v>
      </c>
      <c r="M30" s="74">
        <v>10</v>
      </c>
      <c r="N30" s="73"/>
      <c r="O30" s="73"/>
      <c r="P30" s="73"/>
      <c r="Q30" s="73"/>
      <c r="R30" s="74"/>
      <c r="S30" s="73"/>
      <c r="T30" s="73"/>
      <c r="U30" s="73"/>
      <c r="V30" s="73"/>
      <c r="W30" s="73"/>
      <c r="X30" s="73"/>
      <c r="Y30" s="73"/>
      <c r="Z30" s="73"/>
    </row>
    <row r="31" spans="1:26" s="19" customFormat="1" outlineLevel="1">
      <c r="A31" s="30" t="s">
        <v>191</v>
      </c>
      <c r="B31" s="31"/>
      <c r="C31" s="31"/>
      <c r="D31" s="32"/>
      <c r="E31" s="32"/>
      <c r="F31" s="31"/>
      <c r="G31" s="32"/>
      <c r="H31" s="32"/>
      <c r="I31" s="32"/>
      <c r="J31" s="32"/>
      <c r="K31" s="31"/>
      <c r="L31" s="32"/>
      <c r="M31" s="32"/>
      <c r="N31" s="32"/>
      <c r="O31" s="32"/>
      <c r="P31" s="32"/>
      <c r="Q31" s="32"/>
      <c r="R31" s="32"/>
      <c r="S31" s="32"/>
      <c r="T31" s="32"/>
      <c r="U31" s="32"/>
      <c r="V31" s="32"/>
      <c r="W31" s="32"/>
      <c r="X31" s="32"/>
      <c r="Y31" s="32"/>
      <c r="Z31" s="32"/>
    </row>
    <row r="32" spans="1:26" s="17" customFormat="1">
      <c r="A32" s="45" t="s">
        <v>497</v>
      </c>
      <c r="B32" s="72">
        <f>COUNTA($B$1:B31)</f>
        <v>28</v>
      </c>
      <c r="C32" s="46" t="s">
        <v>140</v>
      </c>
      <c r="D32" s="46"/>
      <c r="E32" s="46"/>
      <c r="F32" s="47"/>
      <c r="G32" s="46" t="s">
        <v>498</v>
      </c>
      <c r="H32" s="46"/>
      <c r="I32" s="46" t="s">
        <v>55</v>
      </c>
      <c r="J32" s="46" t="s">
        <v>141</v>
      </c>
      <c r="K32" s="47"/>
      <c r="L32" s="46" t="s">
        <v>142</v>
      </c>
      <c r="M32" s="48"/>
      <c r="N32" s="46"/>
      <c r="O32" s="46" t="s">
        <v>2</v>
      </c>
      <c r="P32" s="46"/>
      <c r="Q32" s="46"/>
      <c r="R32" s="49"/>
      <c r="S32" s="46"/>
      <c r="T32" s="46"/>
      <c r="U32" s="46"/>
      <c r="V32" s="46"/>
      <c r="W32" s="46"/>
      <c r="X32" s="46"/>
      <c r="Y32" s="46"/>
      <c r="Z32" s="46"/>
    </row>
    <row r="33" spans="1:26" s="19" customFormat="1" outlineLevel="1">
      <c r="A33" s="45" t="str">
        <f>IF($D$32="PASSED","bln680922","N")</f>
        <v>N</v>
      </c>
      <c r="B33" s="72">
        <f>COUNTA($B$1:B32)</f>
        <v>29</v>
      </c>
      <c r="C33" s="46" t="s">
        <v>143</v>
      </c>
      <c r="D33" s="46"/>
      <c r="E33" s="46"/>
      <c r="F33" s="47"/>
      <c r="G33" s="46" t="s">
        <v>498</v>
      </c>
      <c r="H33" s="46"/>
      <c r="I33" s="46" t="s">
        <v>55</v>
      </c>
      <c r="J33" s="46" t="s">
        <v>141</v>
      </c>
      <c r="K33" s="47"/>
      <c r="L33" s="46" t="s">
        <v>98</v>
      </c>
      <c r="M33" s="48"/>
      <c r="N33" s="46" t="s">
        <v>99</v>
      </c>
      <c r="O33" s="46" t="s">
        <v>2</v>
      </c>
      <c r="P33" s="46"/>
      <c r="Q33" s="46"/>
      <c r="R33" s="49" t="s">
        <v>144</v>
      </c>
      <c r="S33" s="46"/>
      <c r="T33" s="46"/>
      <c r="U33" s="46"/>
      <c r="V33" s="46"/>
      <c r="W33" s="46"/>
      <c r="X33" s="46"/>
      <c r="Y33" s="46"/>
      <c r="Z33" s="46"/>
    </row>
    <row r="34" spans="1:26" s="17" customFormat="1">
      <c r="A34" s="45" t="str">
        <f>A33</f>
        <v>N</v>
      </c>
      <c r="B34" s="72">
        <f>COUNTA($B$1:B33)</f>
        <v>30</v>
      </c>
      <c r="C34" s="46" t="s">
        <v>145</v>
      </c>
      <c r="D34" s="46"/>
      <c r="E34" s="46"/>
      <c r="F34" s="47"/>
      <c r="G34" s="46" t="s">
        <v>498</v>
      </c>
      <c r="H34" s="46"/>
      <c r="I34" s="46" t="s">
        <v>55</v>
      </c>
      <c r="J34" s="46" t="s">
        <v>146</v>
      </c>
      <c r="K34" s="47"/>
      <c r="L34" s="46" t="s">
        <v>147</v>
      </c>
      <c r="M34" s="48"/>
      <c r="N34" s="46"/>
      <c r="O34" s="46" t="s">
        <v>2</v>
      </c>
      <c r="P34" s="46"/>
      <c r="Q34" s="46"/>
      <c r="R34" s="48"/>
      <c r="S34" s="46"/>
      <c r="T34" s="46"/>
      <c r="U34" s="46"/>
      <c r="V34" s="46"/>
      <c r="W34" s="46"/>
      <c r="X34" s="46"/>
      <c r="Y34" s="46"/>
      <c r="Z34" s="46"/>
    </row>
    <row r="35" spans="1:26">
      <c r="A35" s="85" t="s">
        <v>497</v>
      </c>
      <c r="B35" s="72">
        <f>COUNTA($B$1:B34)</f>
        <v>31</v>
      </c>
      <c r="C35" s="85" t="s">
        <v>499</v>
      </c>
      <c r="D35" s="73"/>
      <c r="E35" s="73"/>
      <c r="F35" s="72"/>
      <c r="G35" s="73" t="s">
        <v>498</v>
      </c>
      <c r="H35" s="73"/>
      <c r="I35" s="73" t="s">
        <v>55</v>
      </c>
      <c r="J35" s="73" t="s">
        <v>500</v>
      </c>
      <c r="K35" s="72">
        <v>0</v>
      </c>
      <c r="L35" s="73" t="s">
        <v>147</v>
      </c>
      <c r="M35" s="74"/>
      <c r="N35" s="73"/>
      <c r="O35" s="73"/>
      <c r="P35" s="73"/>
      <c r="Q35" s="73"/>
      <c r="R35" s="73"/>
      <c r="S35" s="73"/>
      <c r="T35" s="73"/>
      <c r="U35" s="73"/>
      <c r="V35" s="73"/>
      <c r="W35" s="73"/>
      <c r="X35" s="73"/>
      <c r="Y35" s="73"/>
      <c r="Z35" s="73"/>
    </row>
    <row r="36" spans="1:26">
      <c r="A36" s="85" t="s">
        <v>497</v>
      </c>
      <c r="B36" s="72">
        <f>COUNTA($B$1:B35)</f>
        <v>32</v>
      </c>
      <c r="C36" s="73" t="s">
        <v>67</v>
      </c>
      <c r="D36" s="73"/>
      <c r="E36" s="73"/>
      <c r="F36" s="72"/>
      <c r="G36" s="73" t="s">
        <v>498</v>
      </c>
      <c r="H36" s="73"/>
      <c r="I36" s="73"/>
      <c r="J36" s="73"/>
      <c r="K36" s="72"/>
      <c r="L36" s="73" t="s">
        <v>67</v>
      </c>
      <c r="M36" s="74">
        <v>2</v>
      </c>
      <c r="N36" s="73"/>
      <c r="O36" s="73"/>
      <c r="P36" s="73"/>
      <c r="Q36" s="73"/>
      <c r="R36" s="73"/>
      <c r="S36" s="73"/>
      <c r="T36" s="73"/>
      <c r="U36" s="73"/>
      <c r="V36" s="73"/>
      <c r="W36" s="73"/>
      <c r="X36" s="73"/>
      <c r="Y36" s="73"/>
      <c r="Z36" s="73"/>
    </row>
    <row r="37" spans="1:26" s="17" customFormat="1">
      <c r="A37" s="85" t="s">
        <v>497</v>
      </c>
      <c r="B37" s="72">
        <f>COUNTA($B$1:B36)</f>
        <v>33</v>
      </c>
      <c r="C37" s="73" t="s">
        <v>501</v>
      </c>
      <c r="D37" s="83"/>
      <c r="E37" s="84" t="s">
        <v>154</v>
      </c>
      <c r="F37" s="76"/>
      <c r="G37" s="73" t="s">
        <v>498</v>
      </c>
      <c r="H37" s="73"/>
      <c r="I37" s="73" t="s">
        <v>55</v>
      </c>
      <c r="J37" s="73" t="s">
        <v>502</v>
      </c>
      <c r="K37" s="72">
        <v>0</v>
      </c>
      <c r="L37" s="73" t="s">
        <v>147</v>
      </c>
      <c r="M37" s="74"/>
      <c r="N37" s="73"/>
      <c r="O37" s="73"/>
      <c r="P37" s="73"/>
      <c r="Q37" s="73"/>
      <c r="R37" s="73"/>
      <c r="S37" s="84"/>
      <c r="T37" s="73"/>
      <c r="U37" s="73"/>
      <c r="V37" s="73"/>
      <c r="W37" s="73"/>
      <c r="X37" s="84"/>
      <c r="Y37" s="84"/>
      <c r="Z37" s="84"/>
    </row>
    <row r="38" spans="1:26" ht="12.6" customHeight="1">
      <c r="A38" s="85" t="s">
        <v>497</v>
      </c>
      <c r="B38" s="72">
        <f>COUNTA($B$1:B37)</f>
        <v>34</v>
      </c>
      <c r="C38" s="73" t="s">
        <v>190</v>
      </c>
      <c r="D38" s="73"/>
      <c r="E38" s="73"/>
      <c r="F38" s="72"/>
      <c r="G38" s="73" t="s">
        <v>498</v>
      </c>
      <c r="H38" s="73"/>
      <c r="I38" s="73" t="s">
        <v>55</v>
      </c>
      <c r="J38" s="73" t="s">
        <v>87</v>
      </c>
      <c r="K38" s="72">
        <v>0</v>
      </c>
      <c r="L38" s="73" t="s">
        <v>147</v>
      </c>
      <c r="M38" s="74"/>
      <c r="N38" s="73"/>
      <c r="O38" s="73"/>
      <c r="P38" s="73"/>
      <c r="Q38" s="73"/>
      <c r="R38" s="73"/>
      <c r="S38" s="73"/>
      <c r="T38" s="73"/>
      <c r="U38" s="73"/>
      <c r="V38" s="73"/>
      <c r="W38" s="73"/>
      <c r="X38" s="73"/>
      <c r="Y38" s="73"/>
      <c r="Z38" s="73"/>
    </row>
    <row r="39" spans="1:26" s="17" customFormat="1">
      <c r="A39" s="85" t="s">
        <v>497</v>
      </c>
      <c r="B39" s="72">
        <f>COUNTA($B$1:B38)</f>
        <v>35</v>
      </c>
      <c r="C39" s="73" t="s">
        <v>67</v>
      </c>
      <c r="D39" s="73"/>
      <c r="E39" s="73"/>
      <c r="F39" s="72"/>
      <c r="G39" s="73" t="s">
        <v>498</v>
      </c>
      <c r="H39" s="73"/>
      <c r="I39" s="73"/>
      <c r="J39" s="73"/>
      <c r="K39" s="72"/>
      <c r="L39" s="73" t="s">
        <v>67</v>
      </c>
      <c r="M39" s="74">
        <v>10</v>
      </c>
      <c r="N39" s="73"/>
      <c r="O39" s="73"/>
      <c r="P39" s="73"/>
      <c r="Q39" s="73"/>
      <c r="R39" s="74"/>
      <c r="S39" s="73"/>
      <c r="T39" s="73"/>
      <c r="U39" s="73"/>
      <c r="V39" s="73"/>
      <c r="W39" s="73"/>
      <c r="X39" s="73"/>
      <c r="Y39" s="73"/>
      <c r="Z39" s="73"/>
    </row>
    <row r="40" spans="1:26" s="19" customFormat="1" outlineLevel="1">
      <c r="A40" s="30" t="s">
        <v>219</v>
      </c>
      <c r="B40" s="31"/>
      <c r="C40" s="31"/>
      <c r="D40" s="32"/>
      <c r="E40" s="32"/>
      <c r="F40" s="31"/>
      <c r="G40" s="32"/>
      <c r="H40" s="32"/>
      <c r="I40" s="32"/>
      <c r="J40" s="32"/>
      <c r="K40" s="31"/>
      <c r="L40" s="32"/>
      <c r="M40" s="32"/>
      <c r="N40" s="32"/>
      <c r="O40" s="32"/>
      <c r="P40" s="32"/>
      <c r="Q40" s="32"/>
      <c r="R40" s="32"/>
      <c r="S40" s="32"/>
      <c r="T40" s="32"/>
      <c r="U40" s="32"/>
      <c r="V40" s="32"/>
      <c r="W40" s="32"/>
      <c r="X40" s="32"/>
      <c r="Y40" s="32"/>
      <c r="Z40" s="32"/>
    </row>
    <row r="41" spans="1:26" s="17" customFormat="1">
      <c r="A41" s="45" t="s">
        <v>497</v>
      </c>
      <c r="B41" s="72">
        <f>COUNTA($B$1:B40)</f>
        <v>36</v>
      </c>
      <c r="C41" s="46" t="s">
        <v>140</v>
      </c>
      <c r="D41" s="46"/>
      <c r="E41" s="46"/>
      <c r="F41" s="47"/>
      <c r="G41" s="46" t="s">
        <v>498</v>
      </c>
      <c r="H41" s="46"/>
      <c r="I41" s="46" t="s">
        <v>55</v>
      </c>
      <c r="J41" s="46" t="s">
        <v>141</v>
      </c>
      <c r="K41" s="47"/>
      <c r="L41" s="46" t="s">
        <v>142</v>
      </c>
      <c r="M41" s="48"/>
      <c r="N41" s="46"/>
      <c r="O41" s="46" t="s">
        <v>2</v>
      </c>
      <c r="P41" s="46"/>
      <c r="Q41" s="46"/>
      <c r="R41" s="49"/>
      <c r="S41" s="46"/>
      <c r="T41" s="46"/>
      <c r="U41" s="46"/>
      <c r="V41" s="46"/>
      <c r="W41" s="46"/>
      <c r="X41" s="46"/>
      <c r="Y41" s="46"/>
      <c r="Z41" s="46"/>
    </row>
    <row r="42" spans="1:26" s="17" customFormat="1">
      <c r="A42" s="45" t="str">
        <f>IF($D$41="PASSED","bln680922","N")</f>
        <v>N</v>
      </c>
      <c r="B42" s="72">
        <f>COUNTA($B$1:B41)</f>
        <v>37</v>
      </c>
      <c r="C42" s="46" t="s">
        <v>143</v>
      </c>
      <c r="D42" s="46"/>
      <c r="E42" s="46"/>
      <c r="F42" s="47"/>
      <c r="G42" s="46" t="s">
        <v>498</v>
      </c>
      <c r="H42" s="46"/>
      <c r="I42" s="46" t="s">
        <v>55</v>
      </c>
      <c r="J42" s="46" t="s">
        <v>141</v>
      </c>
      <c r="K42" s="47"/>
      <c r="L42" s="46" t="s">
        <v>98</v>
      </c>
      <c r="M42" s="48"/>
      <c r="N42" s="46" t="s">
        <v>99</v>
      </c>
      <c r="O42" s="46" t="s">
        <v>2</v>
      </c>
      <c r="P42" s="46"/>
      <c r="Q42" s="46"/>
      <c r="R42" s="49" t="s">
        <v>144</v>
      </c>
      <c r="S42" s="46"/>
      <c r="T42" s="46"/>
      <c r="U42" s="46"/>
      <c r="V42" s="46"/>
      <c r="W42" s="46"/>
      <c r="X42" s="46"/>
      <c r="Y42" s="46"/>
      <c r="Z42" s="46"/>
    </row>
    <row r="43" spans="1:26" s="19" customFormat="1" outlineLevel="1">
      <c r="A43" s="45" t="str">
        <f>A42</f>
        <v>N</v>
      </c>
      <c r="B43" s="72">
        <f>COUNTA($B$1:B42)</f>
        <v>38</v>
      </c>
      <c r="C43" s="46" t="s">
        <v>145</v>
      </c>
      <c r="D43" s="46"/>
      <c r="E43" s="46"/>
      <c r="F43" s="47"/>
      <c r="G43" s="46" t="s">
        <v>498</v>
      </c>
      <c r="H43" s="46"/>
      <c r="I43" s="46" t="s">
        <v>55</v>
      </c>
      <c r="J43" s="46" t="s">
        <v>146</v>
      </c>
      <c r="K43" s="47"/>
      <c r="L43" s="46" t="s">
        <v>147</v>
      </c>
      <c r="M43" s="48"/>
      <c r="N43" s="46"/>
      <c r="O43" s="46" t="s">
        <v>2</v>
      </c>
      <c r="P43" s="46"/>
      <c r="Q43" s="46"/>
      <c r="R43" s="48"/>
      <c r="S43" s="46"/>
      <c r="T43" s="46"/>
      <c r="U43" s="46"/>
      <c r="V43" s="46"/>
      <c r="W43" s="46"/>
      <c r="X43" s="46"/>
      <c r="Y43" s="46"/>
      <c r="Z43" s="46"/>
    </row>
    <row r="44" spans="1:26" s="17" customFormat="1">
      <c r="A44" s="85" t="s">
        <v>497</v>
      </c>
      <c r="B44" s="72">
        <f>COUNTA($B$1:B43)</f>
        <v>39</v>
      </c>
      <c r="C44" s="73" t="s">
        <v>220</v>
      </c>
      <c r="D44" s="73"/>
      <c r="E44" s="73"/>
      <c r="F44" s="72"/>
      <c r="G44" s="73" t="s">
        <v>498</v>
      </c>
      <c r="H44" s="73"/>
      <c r="I44" s="73" t="s">
        <v>55</v>
      </c>
      <c r="J44" s="73" t="s">
        <v>221</v>
      </c>
      <c r="K44" s="72">
        <v>0</v>
      </c>
      <c r="L44" s="73" t="s">
        <v>0</v>
      </c>
      <c r="M44" s="82" t="s">
        <v>222</v>
      </c>
      <c r="N44" s="73"/>
      <c r="O44" s="73"/>
      <c r="P44" s="73"/>
      <c r="Q44" s="73"/>
      <c r="R44" s="84"/>
      <c r="S44" s="73"/>
      <c r="T44" s="73"/>
      <c r="U44" s="73"/>
      <c r="V44" s="73"/>
      <c r="W44" s="73"/>
      <c r="X44" s="73"/>
      <c r="Y44" s="73"/>
      <c r="Z44" s="73"/>
    </row>
    <row r="45" spans="1:26" s="19" customFormat="1" outlineLevel="1">
      <c r="A45" s="85" t="s">
        <v>497</v>
      </c>
      <c r="B45" s="72">
        <f>COUNTA($B$1:B44)</f>
        <v>40</v>
      </c>
      <c r="C45" s="73" t="s">
        <v>103</v>
      </c>
      <c r="D45" s="73"/>
      <c r="E45" s="73"/>
      <c r="F45" s="72"/>
      <c r="G45" s="73" t="s">
        <v>498</v>
      </c>
      <c r="H45" s="73"/>
      <c r="I45" s="73" t="s">
        <v>55</v>
      </c>
      <c r="J45" s="73" t="s">
        <v>105</v>
      </c>
      <c r="K45" s="72">
        <v>0</v>
      </c>
      <c r="L45" s="73" t="s">
        <v>0</v>
      </c>
      <c r="M45" s="82" t="s">
        <v>223</v>
      </c>
      <c r="N45" s="73"/>
      <c r="O45" s="73"/>
      <c r="P45" s="73"/>
      <c r="Q45" s="73"/>
      <c r="R45" s="84"/>
      <c r="S45" s="73"/>
      <c r="T45" s="73"/>
      <c r="U45" s="73"/>
      <c r="V45" s="73"/>
      <c r="W45" s="73"/>
      <c r="X45" s="73"/>
      <c r="Y45" s="73"/>
      <c r="Z45" s="73"/>
    </row>
    <row r="46" spans="1:26" s="17" customFormat="1">
      <c r="A46" s="85" t="s">
        <v>497</v>
      </c>
      <c r="B46" s="72">
        <f>COUNTA($B$1:B45)</f>
        <v>41</v>
      </c>
      <c r="C46" s="73" t="s">
        <v>224</v>
      </c>
      <c r="D46" s="73"/>
      <c r="E46" s="73"/>
      <c r="F46" s="72"/>
      <c r="G46" s="73" t="s">
        <v>498</v>
      </c>
      <c r="H46" s="73"/>
      <c r="I46" s="73" t="s">
        <v>55</v>
      </c>
      <c r="J46" s="73" t="s">
        <v>83</v>
      </c>
      <c r="K46" s="72">
        <v>0</v>
      </c>
      <c r="L46" s="73" t="s">
        <v>0</v>
      </c>
      <c r="M46" s="82" t="s">
        <v>225</v>
      </c>
      <c r="N46" s="73"/>
      <c r="O46" s="73"/>
      <c r="P46" s="73"/>
      <c r="Q46" s="73"/>
      <c r="R46" s="84"/>
      <c r="S46" s="73"/>
      <c r="T46" s="73"/>
      <c r="U46" s="73"/>
      <c r="V46" s="73"/>
      <c r="W46" s="73"/>
      <c r="X46" s="73"/>
      <c r="Y46" s="73"/>
      <c r="Z46" s="73"/>
    </row>
    <row r="47" spans="1:26" s="19" customFormat="1" outlineLevel="1">
      <c r="A47" s="85" t="s">
        <v>497</v>
      </c>
      <c r="B47" s="72">
        <f>COUNTA($B$1:B46)</f>
        <v>42</v>
      </c>
      <c r="C47" s="73" t="s">
        <v>226</v>
      </c>
      <c r="D47" s="83"/>
      <c r="E47" s="84"/>
      <c r="F47" s="72"/>
      <c r="G47" s="73" t="s">
        <v>498</v>
      </c>
      <c r="H47" s="73"/>
      <c r="I47" s="73"/>
      <c r="J47" s="73"/>
      <c r="K47" s="72"/>
      <c r="L47" s="73" t="s">
        <v>227</v>
      </c>
      <c r="M47" s="74" t="s">
        <v>79</v>
      </c>
      <c r="N47" s="73"/>
      <c r="O47" s="73"/>
      <c r="P47" s="73"/>
      <c r="Q47" s="73"/>
      <c r="R47" s="73"/>
      <c r="S47" s="84"/>
      <c r="T47" s="73"/>
      <c r="U47" s="73"/>
      <c r="V47" s="73"/>
      <c r="W47" s="73"/>
      <c r="X47" s="84"/>
      <c r="Y47" s="84"/>
      <c r="Z47" s="84"/>
    </row>
    <row r="48" spans="1:26" s="19" customFormat="1" outlineLevel="1">
      <c r="A48" s="85" t="s">
        <v>497</v>
      </c>
      <c r="B48" s="72">
        <f>COUNTA($B$1:B47)</f>
        <v>43</v>
      </c>
      <c r="C48" s="73" t="s">
        <v>67</v>
      </c>
      <c r="D48" s="73"/>
      <c r="E48" s="73"/>
      <c r="F48" s="72"/>
      <c r="G48" s="73" t="s">
        <v>498</v>
      </c>
      <c r="H48" s="73"/>
      <c r="I48" s="73"/>
      <c r="J48" s="73"/>
      <c r="K48" s="72"/>
      <c r="L48" s="73" t="s">
        <v>67</v>
      </c>
      <c r="M48" s="74">
        <v>2</v>
      </c>
      <c r="N48" s="73"/>
      <c r="O48" s="73"/>
      <c r="P48" s="73"/>
      <c r="Q48" s="73"/>
      <c r="R48" s="74"/>
      <c r="S48" s="73"/>
      <c r="T48" s="73"/>
      <c r="U48" s="73"/>
      <c r="V48" s="73"/>
      <c r="W48" s="73"/>
      <c r="X48" s="73"/>
      <c r="Y48" s="73"/>
      <c r="Z48" s="73"/>
    </row>
    <row r="49" spans="1:26" s="19" customFormat="1" outlineLevel="1">
      <c r="A49" s="85" t="s">
        <v>497</v>
      </c>
      <c r="B49" s="72">
        <f>COUNTA($B$1:B48)</f>
        <v>44</v>
      </c>
      <c r="C49" s="73" t="s">
        <v>228</v>
      </c>
      <c r="D49" s="73"/>
      <c r="E49" s="73"/>
      <c r="F49" s="72"/>
      <c r="G49" s="73" t="s">
        <v>498</v>
      </c>
      <c r="H49" s="73"/>
      <c r="I49" s="73" t="s">
        <v>55</v>
      </c>
      <c r="J49" s="73" t="s">
        <v>229</v>
      </c>
      <c r="K49" s="72">
        <v>0</v>
      </c>
      <c r="L49" s="73" t="s">
        <v>0</v>
      </c>
      <c r="M49" s="82" t="s">
        <v>230</v>
      </c>
      <c r="N49" s="73"/>
      <c r="O49" s="73"/>
      <c r="P49" s="73"/>
      <c r="Q49" s="73"/>
      <c r="R49" s="84"/>
      <c r="S49" s="73"/>
      <c r="T49" s="73"/>
      <c r="U49" s="73"/>
      <c r="V49" s="73"/>
      <c r="W49" s="73"/>
      <c r="X49" s="73"/>
      <c r="Y49" s="73"/>
      <c r="Z49" s="73"/>
    </row>
    <row r="50" spans="1:26" s="17" customFormat="1">
      <c r="A50" s="85" t="s">
        <v>497</v>
      </c>
      <c r="B50" s="72">
        <f>COUNTA($B$1:B49)</f>
        <v>45</v>
      </c>
      <c r="C50" s="73" t="s">
        <v>89</v>
      </c>
      <c r="D50" s="73"/>
      <c r="E50" s="73"/>
      <c r="F50" s="72"/>
      <c r="G50" s="73" t="s">
        <v>498</v>
      </c>
      <c r="H50" s="73"/>
      <c r="I50" s="73" t="s">
        <v>55</v>
      </c>
      <c r="J50" s="73" t="s">
        <v>231</v>
      </c>
      <c r="K50" s="72">
        <v>0</v>
      </c>
      <c r="L50" s="73" t="s">
        <v>0</v>
      </c>
      <c r="M50" s="82" t="s">
        <v>104</v>
      </c>
      <c r="N50" s="73"/>
      <c r="O50" s="73"/>
      <c r="P50" s="73"/>
      <c r="Q50" s="73"/>
      <c r="R50" s="84"/>
      <c r="S50" s="73"/>
      <c r="T50" s="73"/>
      <c r="U50" s="73"/>
      <c r="V50" s="73"/>
      <c r="W50" s="73"/>
      <c r="X50" s="73"/>
      <c r="Y50" s="73"/>
      <c r="Z50" s="73"/>
    </row>
    <row r="51" spans="1:26" s="16" customFormat="1">
      <c r="A51" s="85" t="s">
        <v>497</v>
      </c>
      <c r="B51" s="72">
        <f>COUNTA($B$1:B50)</f>
        <v>46</v>
      </c>
      <c r="C51" s="73" t="s">
        <v>232</v>
      </c>
      <c r="D51" s="73"/>
      <c r="E51" s="73"/>
      <c r="F51" s="72"/>
      <c r="G51" s="73" t="s">
        <v>498</v>
      </c>
      <c r="H51" s="73"/>
      <c r="I51" s="73" t="s">
        <v>55</v>
      </c>
      <c r="J51" s="73" t="s">
        <v>233</v>
      </c>
      <c r="K51" s="72">
        <v>0</v>
      </c>
      <c r="L51" s="73" t="s">
        <v>0</v>
      </c>
      <c r="M51" s="82" t="s">
        <v>234</v>
      </c>
      <c r="N51" s="73"/>
      <c r="O51" s="73"/>
      <c r="P51" s="73"/>
      <c r="Q51" s="73"/>
      <c r="R51" s="84"/>
      <c r="S51" s="73"/>
      <c r="T51" s="73"/>
      <c r="U51" s="73"/>
      <c r="V51" s="73"/>
      <c r="W51" s="73"/>
      <c r="X51" s="73"/>
      <c r="Y51" s="73"/>
      <c r="Z51" s="73"/>
    </row>
    <row r="52" spans="1:26" s="16" customFormat="1">
      <c r="A52" s="85" t="s">
        <v>497</v>
      </c>
      <c r="B52" s="72">
        <f>COUNTA($B$1:B51)</f>
        <v>47</v>
      </c>
      <c r="C52" s="73" t="s">
        <v>235</v>
      </c>
      <c r="D52" s="73"/>
      <c r="E52" s="73"/>
      <c r="F52" s="72"/>
      <c r="G52" s="73" t="s">
        <v>498</v>
      </c>
      <c r="H52" s="73"/>
      <c r="I52" s="73" t="s">
        <v>55</v>
      </c>
      <c r="J52" s="73" t="s">
        <v>236</v>
      </c>
      <c r="K52" s="72">
        <v>0</v>
      </c>
      <c r="L52" s="73" t="s">
        <v>0</v>
      </c>
      <c r="M52" s="82" t="s">
        <v>237</v>
      </c>
      <c r="N52" s="73"/>
      <c r="O52" s="73"/>
      <c r="P52" s="73"/>
      <c r="Q52" s="73"/>
      <c r="R52" s="84"/>
      <c r="S52" s="73"/>
      <c r="T52" s="73"/>
      <c r="U52" s="73"/>
      <c r="V52" s="73"/>
      <c r="W52" s="73"/>
      <c r="X52" s="73"/>
      <c r="Y52" s="73"/>
      <c r="Z52" s="73"/>
    </row>
    <row r="53" spans="1:26" s="17" customFormat="1">
      <c r="A53" s="85" t="s">
        <v>497</v>
      </c>
      <c r="B53" s="72">
        <f>COUNTA($B$1:B52)</f>
        <v>48</v>
      </c>
      <c r="C53" s="73" t="s">
        <v>238</v>
      </c>
      <c r="D53" s="73"/>
      <c r="E53" s="73"/>
      <c r="F53" s="72"/>
      <c r="G53" s="73" t="s">
        <v>498</v>
      </c>
      <c r="H53" s="73"/>
      <c r="I53" s="73" t="s">
        <v>55</v>
      </c>
      <c r="J53" s="73" t="s">
        <v>90</v>
      </c>
      <c r="K53" s="72">
        <v>0</v>
      </c>
      <c r="L53" s="73" t="s">
        <v>0</v>
      </c>
      <c r="M53" s="82" t="s">
        <v>239</v>
      </c>
      <c r="N53" s="73"/>
      <c r="O53" s="73"/>
      <c r="P53" s="73"/>
      <c r="Q53" s="73"/>
      <c r="R53" s="84"/>
      <c r="S53" s="73"/>
      <c r="T53" s="73"/>
      <c r="U53" s="73"/>
      <c r="V53" s="73"/>
      <c r="W53" s="73"/>
      <c r="X53" s="73"/>
      <c r="Y53" s="73"/>
      <c r="Z53" s="73"/>
    </row>
    <row r="54" spans="1:26" s="19" customFormat="1" outlineLevel="1">
      <c r="A54" s="85" t="s">
        <v>497</v>
      </c>
      <c r="B54" s="72">
        <f>COUNTA($B$1:B53)</f>
        <v>49</v>
      </c>
      <c r="C54" s="73" t="s">
        <v>240</v>
      </c>
      <c r="D54" s="73"/>
      <c r="E54" s="73"/>
      <c r="F54" s="72"/>
      <c r="G54" s="73" t="s">
        <v>498</v>
      </c>
      <c r="H54" s="73"/>
      <c r="I54" s="73" t="s">
        <v>55</v>
      </c>
      <c r="J54" s="73" t="s">
        <v>241</v>
      </c>
      <c r="K54" s="72">
        <v>0</v>
      </c>
      <c r="L54" s="73" t="s">
        <v>0</v>
      </c>
      <c r="M54" s="82" t="s">
        <v>242</v>
      </c>
      <c r="N54" s="73"/>
      <c r="O54" s="73"/>
      <c r="P54" s="73"/>
      <c r="Q54" s="73"/>
      <c r="R54" s="84"/>
      <c r="S54" s="73"/>
      <c r="T54" s="73"/>
      <c r="U54" s="73"/>
      <c r="V54" s="73"/>
      <c r="W54" s="73"/>
      <c r="X54" s="73"/>
      <c r="Y54" s="73"/>
      <c r="Z54" s="73"/>
    </row>
    <row r="55" spans="1:26" s="19" customFormat="1" outlineLevel="1">
      <c r="A55" s="85" t="s">
        <v>497</v>
      </c>
      <c r="B55" s="72">
        <f>COUNTA($B$1:B54)</f>
        <v>50</v>
      </c>
      <c r="C55" s="73" t="s">
        <v>190</v>
      </c>
      <c r="D55" s="73"/>
      <c r="E55" s="73"/>
      <c r="F55" s="72"/>
      <c r="G55" s="73" t="s">
        <v>498</v>
      </c>
      <c r="H55" s="73"/>
      <c r="I55" s="73" t="s">
        <v>55</v>
      </c>
      <c r="J55" s="73" t="s">
        <v>87</v>
      </c>
      <c r="K55" s="72">
        <v>0</v>
      </c>
      <c r="L55" s="73" t="s">
        <v>147</v>
      </c>
      <c r="M55" s="74"/>
      <c r="N55" s="73"/>
      <c r="O55" s="73"/>
      <c r="P55" s="73"/>
      <c r="Q55" s="73"/>
      <c r="R55" s="73"/>
      <c r="S55" s="73"/>
      <c r="T55" s="73"/>
      <c r="U55" s="73"/>
      <c r="V55" s="73"/>
      <c r="W55" s="73"/>
      <c r="X55" s="73"/>
      <c r="Y55" s="73"/>
      <c r="Z55" s="73"/>
    </row>
    <row r="56" spans="1:26" s="19" customFormat="1" outlineLevel="1">
      <c r="A56" s="85" t="s">
        <v>497</v>
      </c>
      <c r="B56" s="72">
        <f>COUNTA($B$1:B55)</f>
        <v>51</v>
      </c>
      <c r="C56" s="73" t="s">
        <v>67</v>
      </c>
      <c r="D56" s="73"/>
      <c r="E56" s="73"/>
      <c r="F56" s="72"/>
      <c r="G56" s="73" t="s">
        <v>498</v>
      </c>
      <c r="H56" s="73"/>
      <c r="I56" s="73"/>
      <c r="J56" s="73"/>
      <c r="K56" s="72"/>
      <c r="L56" s="73" t="s">
        <v>67</v>
      </c>
      <c r="M56" s="74">
        <v>10</v>
      </c>
      <c r="N56" s="73"/>
      <c r="O56" s="73"/>
      <c r="P56" s="73"/>
      <c r="Q56" s="73"/>
      <c r="R56" s="74"/>
      <c r="S56" s="73"/>
      <c r="T56" s="73"/>
      <c r="U56" s="73"/>
      <c r="V56" s="73"/>
      <c r="W56" s="73"/>
      <c r="X56" s="73"/>
      <c r="Y56" s="73"/>
      <c r="Z56" s="73"/>
    </row>
    <row r="57" spans="1:26" s="17" customFormat="1">
      <c r="A57" s="30" t="s">
        <v>91</v>
      </c>
      <c r="B57" s="31"/>
      <c r="C57" s="31"/>
      <c r="D57" s="32"/>
      <c r="E57" s="32"/>
      <c r="F57" s="31"/>
      <c r="G57" s="32"/>
      <c r="H57" s="32"/>
      <c r="I57" s="32"/>
      <c r="J57" s="32"/>
      <c r="K57" s="31"/>
      <c r="L57" s="32"/>
      <c r="M57" s="32"/>
      <c r="N57" s="32"/>
      <c r="O57" s="32"/>
      <c r="P57" s="32"/>
      <c r="Q57" s="32"/>
      <c r="R57" s="32"/>
      <c r="S57" s="32"/>
      <c r="T57" s="32"/>
      <c r="U57" s="32"/>
      <c r="V57" s="32"/>
      <c r="W57" s="32"/>
      <c r="X57" s="32"/>
      <c r="Y57" s="32"/>
      <c r="Z57" s="32"/>
    </row>
    <row r="58" spans="1:26" s="19" customFormat="1" outlineLevel="1">
      <c r="A58" s="85" t="s">
        <v>497</v>
      </c>
      <c r="B58" s="72">
        <f>COUNTA($B$1:B57)</f>
        <v>52</v>
      </c>
      <c r="C58" s="73" t="s">
        <v>93</v>
      </c>
      <c r="D58" s="73"/>
      <c r="E58" s="73"/>
      <c r="F58" s="72"/>
      <c r="G58" s="73" t="s">
        <v>498</v>
      </c>
      <c r="H58" s="73"/>
      <c r="I58" s="73" t="s">
        <v>55</v>
      </c>
      <c r="J58" s="73" t="s">
        <v>92</v>
      </c>
      <c r="K58" s="72">
        <v>0</v>
      </c>
      <c r="L58" s="73" t="s">
        <v>0</v>
      </c>
      <c r="M58" s="82" t="s">
        <v>261</v>
      </c>
      <c r="N58" s="73"/>
      <c r="O58" s="73"/>
      <c r="P58" s="73"/>
      <c r="Q58" s="73"/>
      <c r="R58" s="84"/>
      <c r="S58" s="73"/>
      <c r="T58" s="73"/>
      <c r="U58" s="73"/>
      <c r="V58" s="73"/>
      <c r="W58" s="73"/>
      <c r="X58" s="73"/>
      <c r="Y58" s="73"/>
      <c r="Z58" s="73"/>
    </row>
    <row r="59" spans="1:26" s="19" customFormat="1" outlineLevel="1">
      <c r="A59" s="85" t="s">
        <v>497</v>
      </c>
      <c r="B59" s="72">
        <f>COUNTA($B$1:B58)</f>
        <v>53</v>
      </c>
      <c r="C59" s="73" t="s">
        <v>262</v>
      </c>
      <c r="D59" s="73"/>
      <c r="E59" s="73"/>
      <c r="F59" s="72"/>
      <c r="G59" s="73" t="s">
        <v>498</v>
      </c>
      <c r="H59" s="73"/>
      <c r="I59" s="73"/>
      <c r="J59" s="73"/>
      <c r="K59" s="72">
        <v>2</v>
      </c>
      <c r="L59" s="73" t="s">
        <v>95</v>
      </c>
      <c r="M59" s="73"/>
      <c r="N59" s="73"/>
      <c r="O59" s="73"/>
      <c r="P59" s="73"/>
      <c r="Q59" s="73"/>
      <c r="R59" s="84"/>
      <c r="S59" s="73"/>
      <c r="T59" s="73"/>
      <c r="U59" s="73"/>
      <c r="V59" s="73"/>
      <c r="W59" s="73"/>
      <c r="X59" s="73"/>
      <c r="Y59" s="73"/>
      <c r="Z59" s="73"/>
    </row>
    <row r="60" spans="1:26" s="17" customFormat="1">
      <c r="A60" s="85" t="s">
        <v>497</v>
      </c>
      <c r="B60" s="72">
        <f>COUNTA($B$1:B59)</f>
        <v>54</v>
      </c>
      <c r="C60" s="73" t="s">
        <v>94</v>
      </c>
      <c r="D60" s="73"/>
      <c r="E60" s="73"/>
      <c r="F60" s="72"/>
      <c r="G60" s="73" t="s">
        <v>498</v>
      </c>
      <c r="H60" s="73"/>
      <c r="I60" s="73" t="s">
        <v>55</v>
      </c>
      <c r="J60" s="73" t="s">
        <v>263</v>
      </c>
      <c r="K60" s="72">
        <v>0</v>
      </c>
      <c r="L60" s="73" t="s">
        <v>0</v>
      </c>
      <c r="M60" s="82" t="s">
        <v>264</v>
      </c>
      <c r="N60" s="73"/>
      <c r="O60" s="73"/>
      <c r="P60" s="73"/>
      <c r="Q60" s="73"/>
      <c r="R60" s="84"/>
      <c r="S60" s="73"/>
      <c r="T60" s="73"/>
      <c r="U60" s="73"/>
      <c r="V60" s="73"/>
      <c r="W60" s="73"/>
      <c r="X60" s="73"/>
      <c r="Y60" s="73"/>
      <c r="Z60" s="73"/>
    </row>
    <row r="61" spans="1:26" s="19" customFormat="1" outlineLevel="1">
      <c r="A61" s="85" t="s">
        <v>497</v>
      </c>
      <c r="B61" s="72">
        <f>COUNTA($B$1:B60)</f>
        <v>55</v>
      </c>
      <c r="C61" s="73" t="s">
        <v>262</v>
      </c>
      <c r="D61" s="73"/>
      <c r="E61" s="73"/>
      <c r="F61" s="72"/>
      <c r="G61" s="73" t="s">
        <v>498</v>
      </c>
      <c r="H61" s="73"/>
      <c r="I61" s="73"/>
      <c r="J61" s="73"/>
      <c r="K61" s="72">
        <v>0</v>
      </c>
      <c r="L61" s="73" t="s">
        <v>96</v>
      </c>
      <c r="M61" s="73"/>
      <c r="N61" s="73"/>
      <c r="O61" s="73"/>
      <c r="P61" s="73"/>
      <c r="Q61" s="73"/>
      <c r="R61" s="84"/>
      <c r="S61" s="73"/>
      <c r="T61" s="73"/>
      <c r="U61" s="73"/>
      <c r="V61" s="73"/>
      <c r="W61" s="73"/>
      <c r="X61" s="73"/>
      <c r="Y61" s="73"/>
      <c r="Z61" s="73"/>
    </row>
    <row r="62" spans="1:26" s="19" customFormat="1" outlineLevel="1">
      <c r="A62" s="85" t="s">
        <v>497</v>
      </c>
      <c r="B62" s="72">
        <f>COUNTA($B$1:B61)</f>
        <v>56</v>
      </c>
      <c r="C62" s="73" t="s">
        <v>262</v>
      </c>
      <c r="D62" s="73"/>
      <c r="E62" s="73"/>
      <c r="F62" s="72"/>
      <c r="G62" s="73" t="s">
        <v>498</v>
      </c>
      <c r="H62" s="73"/>
      <c r="I62" s="73"/>
      <c r="J62" s="73"/>
      <c r="K62" s="72">
        <v>2</v>
      </c>
      <c r="L62" s="73" t="s">
        <v>95</v>
      </c>
      <c r="M62" s="73"/>
      <c r="N62" s="73"/>
      <c r="O62" s="73"/>
      <c r="P62" s="73"/>
      <c r="Q62" s="73"/>
      <c r="R62" s="84"/>
      <c r="S62" s="73"/>
      <c r="T62" s="73"/>
      <c r="U62" s="73"/>
      <c r="V62" s="73"/>
      <c r="W62" s="73"/>
      <c r="X62" s="73"/>
      <c r="Y62" s="73"/>
      <c r="Z62" s="73"/>
    </row>
    <row r="63" spans="1:26" s="17" customFormat="1">
      <c r="A63" s="234" t="s">
        <v>21</v>
      </c>
      <c r="B63" s="235">
        <f>COUNTA($B$1:B62)</f>
        <v>57</v>
      </c>
      <c r="C63" s="236" t="s">
        <v>226</v>
      </c>
      <c r="D63" s="83"/>
      <c r="E63" s="84"/>
      <c r="F63" s="72"/>
      <c r="G63" s="73" t="s">
        <v>498</v>
      </c>
      <c r="H63" s="73"/>
      <c r="I63" s="73"/>
      <c r="J63" s="73"/>
      <c r="K63" s="72"/>
      <c r="L63" s="73" t="s">
        <v>227</v>
      </c>
      <c r="M63" s="74" t="s">
        <v>79</v>
      </c>
      <c r="N63" s="73"/>
      <c r="O63" s="73"/>
      <c r="P63" s="73"/>
      <c r="Q63" s="73"/>
      <c r="R63" s="73"/>
      <c r="S63" s="84"/>
      <c r="T63" s="73"/>
      <c r="U63" s="73"/>
      <c r="V63" s="73"/>
      <c r="W63" s="73"/>
      <c r="X63" s="84"/>
      <c r="Y63" s="84"/>
      <c r="Z63" s="84"/>
    </row>
    <row r="64" spans="1:26" s="19" customFormat="1" outlineLevel="1">
      <c r="A64" s="234" t="s">
        <v>21</v>
      </c>
      <c r="B64" s="235">
        <f>COUNTA($B$1:B63)</f>
        <v>58</v>
      </c>
      <c r="C64" s="236" t="s">
        <v>265</v>
      </c>
      <c r="D64" s="73"/>
      <c r="E64" s="73"/>
      <c r="F64" s="72"/>
      <c r="G64" s="73" t="s">
        <v>498</v>
      </c>
      <c r="H64" s="73"/>
      <c r="I64" s="73"/>
      <c r="J64" s="73"/>
      <c r="K64" s="72"/>
      <c r="L64" s="73" t="s">
        <v>227</v>
      </c>
      <c r="M64" s="82" t="s">
        <v>266</v>
      </c>
      <c r="N64" s="73"/>
      <c r="O64" s="73"/>
      <c r="P64" s="73"/>
      <c r="Q64" s="73"/>
      <c r="R64" s="84"/>
      <c r="S64" s="73"/>
      <c r="T64" s="73"/>
      <c r="U64" s="73"/>
      <c r="V64" s="73"/>
      <c r="W64" s="73"/>
      <c r="X64" s="73"/>
      <c r="Y64" s="73"/>
      <c r="Z64" s="73"/>
    </row>
    <row r="65" spans="1:26" s="19" customFormat="1" outlineLevel="1">
      <c r="A65" s="234" t="s">
        <v>21</v>
      </c>
      <c r="B65" s="235">
        <f>COUNTA($B$1:B64)</f>
        <v>59</v>
      </c>
      <c r="C65" s="236" t="s">
        <v>267</v>
      </c>
      <c r="D65" s="73"/>
      <c r="E65" s="73"/>
      <c r="F65" s="72"/>
      <c r="G65" s="73" t="s">
        <v>498</v>
      </c>
      <c r="H65" s="73"/>
      <c r="I65" s="73"/>
      <c r="J65" s="73"/>
      <c r="K65" s="72"/>
      <c r="L65" s="73" t="s">
        <v>227</v>
      </c>
      <c r="M65" s="82" t="s">
        <v>268</v>
      </c>
      <c r="N65" s="73"/>
      <c r="O65" s="73"/>
      <c r="P65" s="73"/>
      <c r="Q65" s="73"/>
      <c r="R65" s="84"/>
      <c r="S65" s="73"/>
      <c r="T65" s="73"/>
      <c r="U65" s="73"/>
      <c r="V65" s="73"/>
      <c r="W65" s="73"/>
      <c r="X65" s="73"/>
      <c r="Y65" s="73"/>
      <c r="Z65" s="73"/>
    </row>
    <row r="66" spans="1:26" s="19" customFormat="1" outlineLevel="1">
      <c r="A66" s="33" t="s">
        <v>497</v>
      </c>
      <c r="B66" s="34">
        <f>COUNTA($B$1:B65)</f>
        <v>60</v>
      </c>
      <c r="C66" s="35" t="s">
        <v>948</v>
      </c>
      <c r="D66" s="35"/>
      <c r="E66" s="35"/>
      <c r="F66" s="34"/>
      <c r="G66" s="35" t="s">
        <v>498</v>
      </c>
      <c r="H66" s="35"/>
      <c r="I66" s="35" t="s">
        <v>55</v>
      </c>
      <c r="J66" s="35" t="s">
        <v>949</v>
      </c>
      <c r="K66" s="34">
        <v>0</v>
      </c>
      <c r="L66" s="35" t="s">
        <v>34</v>
      </c>
      <c r="M66" s="35"/>
      <c r="N66" s="35"/>
      <c r="O66" s="35"/>
      <c r="P66" s="35"/>
      <c r="Q66" s="35"/>
      <c r="R66" s="35"/>
      <c r="S66" s="35"/>
      <c r="T66" s="35"/>
      <c r="U66" s="35"/>
      <c r="V66" s="35"/>
      <c r="W66" s="35"/>
      <c r="X66" s="35"/>
      <c r="Y66" s="35"/>
      <c r="Z66" s="35"/>
    </row>
    <row r="67" spans="1:26" s="19" customFormat="1" outlineLevel="1">
      <c r="A67" s="33" t="s">
        <v>497</v>
      </c>
      <c r="B67" s="34">
        <f>COUNTA($B$1:B66)</f>
        <v>61</v>
      </c>
      <c r="C67" s="35" t="s">
        <v>67</v>
      </c>
      <c r="D67" s="35"/>
      <c r="E67" s="35"/>
      <c r="F67" s="34"/>
      <c r="G67" s="35" t="s">
        <v>498</v>
      </c>
      <c r="H67" s="35"/>
      <c r="I67" s="35"/>
      <c r="J67" s="35"/>
      <c r="K67" s="34"/>
      <c r="L67" s="35" t="s">
        <v>67</v>
      </c>
      <c r="M67" s="36">
        <v>2</v>
      </c>
      <c r="N67" s="35"/>
      <c r="O67" s="35"/>
      <c r="P67" s="35"/>
      <c r="Q67" s="35"/>
      <c r="R67" s="35"/>
      <c r="S67" s="35"/>
      <c r="T67" s="35"/>
      <c r="U67" s="35"/>
      <c r="V67" s="35"/>
      <c r="W67" s="35"/>
      <c r="X67" s="35"/>
      <c r="Y67" s="35"/>
      <c r="Z67" s="35"/>
    </row>
    <row r="68" spans="1:26" s="19" customFormat="1" outlineLevel="1">
      <c r="A68" s="33" t="s">
        <v>497</v>
      </c>
      <c r="B68" s="34">
        <f>COUNTA($B$1:B67)</f>
        <v>62</v>
      </c>
      <c r="C68" s="35" t="s">
        <v>952</v>
      </c>
      <c r="D68" s="35"/>
      <c r="E68" s="35"/>
      <c r="F68" s="34"/>
      <c r="G68" s="35" t="s">
        <v>498</v>
      </c>
      <c r="H68" s="35"/>
      <c r="I68" s="35" t="s">
        <v>55</v>
      </c>
      <c r="J68" s="35" t="s">
        <v>949</v>
      </c>
      <c r="K68" s="34">
        <v>0</v>
      </c>
      <c r="L68" s="35" t="s">
        <v>951</v>
      </c>
      <c r="M68" s="50" t="s">
        <v>266</v>
      </c>
      <c r="N68" s="35"/>
      <c r="O68" s="35"/>
      <c r="P68" s="35"/>
      <c r="Q68" s="35"/>
      <c r="R68" s="35"/>
      <c r="S68" s="35"/>
      <c r="T68" s="35"/>
      <c r="U68" s="35"/>
      <c r="V68" s="35"/>
      <c r="W68" s="35"/>
      <c r="X68" s="35"/>
      <c r="Y68" s="35"/>
      <c r="Z68" s="35"/>
    </row>
    <row r="69" spans="1:26" s="19" customFormat="1" outlineLevel="1">
      <c r="A69" s="33" t="s">
        <v>497</v>
      </c>
      <c r="B69" s="34">
        <f>COUNTA($B$1:B68)</f>
        <v>63</v>
      </c>
      <c r="C69" s="35" t="s">
        <v>953</v>
      </c>
      <c r="D69" s="35"/>
      <c r="E69" s="35"/>
      <c r="F69" s="34"/>
      <c r="G69" s="35" t="s">
        <v>498</v>
      </c>
      <c r="H69" s="35"/>
      <c r="I69" s="35" t="s">
        <v>55</v>
      </c>
      <c r="J69" s="35" t="s">
        <v>949</v>
      </c>
      <c r="K69" s="34">
        <v>0</v>
      </c>
      <c r="L69" s="35" t="s">
        <v>951</v>
      </c>
      <c r="M69" s="50" t="s">
        <v>268</v>
      </c>
      <c r="N69" s="35"/>
      <c r="O69" s="35"/>
      <c r="P69" s="35"/>
      <c r="Q69" s="35"/>
      <c r="R69" s="35"/>
      <c r="S69" s="35"/>
      <c r="T69" s="35"/>
      <c r="U69" s="35"/>
      <c r="V69" s="35"/>
      <c r="W69" s="35"/>
      <c r="X69" s="35"/>
      <c r="Y69" s="35"/>
      <c r="Z69" s="35"/>
    </row>
    <row r="70" spans="1:26" s="19" customFormat="1" outlineLevel="1">
      <c r="A70" s="33" t="s">
        <v>497</v>
      </c>
      <c r="B70" s="34">
        <f>COUNTA($B$1:B69)</f>
        <v>64</v>
      </c>
      <c r="C70" s="35" t="s">
        <v>67</v>
      </c>
      <c r="D70" s="35"/>
      <c r="E70" s="35"/>
      <c r="F70" s="34"/>
      <c r="G70" s="35" t="s">
        <v>498</v>
      </c>
      <c r="H70" s="35"/>
      <c r="I70" s="35"/>
      <c r="J70" s="35"/>
      <c r="K70" s="34"/>
      <c r="L70" s="35" t="s">
        <v>67</v>
      </c>
      <c r="M70" s="36">
        <v>2</v>
      </c>
      <c r="N70" s="35"/>
      <c r="O70" s="35"/>
      <c r="P70" s="35"/>
      <c r="Q70" s="35"/>
      <c r="R70" s="35"/>
      <c r="S70" s="35"/>
      <c r="T70" s="35"/>
      <c r="U70" s="35"/>
      <c r="V70" s="35"/>
      <c r="W70" s="35"/>
      <c r="X70" s="35"/>
      <c r="Y70" s="35"/>
      <c r="Z70" s="35"/>
    </row>
    <row r="71" spans="1:26" s="17" customFormat="1">
      <c r="A71" s="85" t="s">
        <v>497</v>
      </c>
      <c r="B71" s="34">
        <f>COUNTA($B$1:B70)</f>
        <v>65</v>
      </c>
      <c r="C71" s="73" t="s">
        <v>262</v>
      </c>
      <c r="D71" s="73"/>
      <c r="E71" s="73"/>
      <c r="F71" s="72"/>
      <c r="G71" s="73" t="s">
        <v>498</v>
      </c>
      <c r="H71" s="73"/>
      <c r="I71" s="73"/>
      <c r="J71" s="73"/>
      <c r="K71" s="72">
        <v>0</v>
      </c>
      <c r="L71" s="73" t="s">
        <v>96</v>
      </c>
      <c r="M71" s="73"/>
      <c r="N71" s="73"/>
      <c r="O71" s="73"/>
      <c r="P71" s="73"/>
      <c r="Q71" s="73"/>
      <c r="R71" s="84"/>
      <c r="S71" s="73"/>
      <c r="T71" s="73"/>
      <c r="U71" s="73"/>
      <c r="V71" s="73"/>
      <c r="W71" s="73"/>
      <c r="X71" s="73"/>
      <c r="Y71" s="73"/>
      <c r="Z71" s="73"/>
    </row>
    <row r="72" spans="1:26" s="19" customFormat="1" outlineLevel="1">
      <c r="A72" s="85" t="s">
        <v>497</v>
      </c>
      <c r="B72" s="72">
        <f>COUNTA($B$1:B71)</f>
        <v>66</v>
      </c>
      <c r="C72" s="73" t="s">
        <v>67</v>
      </c>
      <c r="D72" s="73"/>
      <c r="E72" s="73"/>
      <c r="F72" s="72"/>
      <c r="G72" s="73" t="s">
        <v>498</v>
      </c>
      <c r="H72" s="73"/>
      <c r="I72" s="73"/>
      <c r="J72" s="73"/>
      <c r="K72" s="72"/>
      <c r="L72" s="73" t="s">
        <v>67</v>
      </c>
      <c r="M72" s="74">
        <v>2</v>
      </c>
      <c r="N72" s="73"/>
      <c r="O72" s="73"/>
      <c r="P72" s="73"/>
      <c r="Q72" s="73"/>
      <c r="R72" s="74"/>
      <c r="S72" s="73"/>
      <c r="T72" s="73"/>
      <c r="U72" s="73"/>
      <c r="V72" s="73"/>
      <c r="W72" s="73"/>
      <c r="X72" s="73"/>
      <c r="Y72" s="73"/>
      <c r="Z72" s="73"/>
    </row>
    <row r="73" spans="1:26" s="19" customFormat="1" outlineLevel="1">
      <c r="A73" s="85" t="s">
        <v>497</v>
      </c>
      <c r="B73" s="72">
        <f>COUNTA($B$1:B72)</f>
        <v>67</v>
      </c>
      <c r="C73" s="73" t="s">
        <v>312</v>
      </c>
      <c r="D73" s="83"/>
      <c r="E73" s="84" t="s">
        <v>154</v>
      </c>
      <c r="F73" s="72"/>
      <c r="G73" s="73" t="s">
        <v>498</v>
      </c>
      <c r="H73" s="73"/>
      <c r="I73" s="73" t="s">
        <v>55</v>
      </c>
      <c r="J73" s="73" t="s">
        <v>313</v>
      </c>
      <c r="K73" s="72">
        <v>0</v>
      </c>
      <c r="L73" s="73" t="s">
        <v>147</v>
      </c>
      <c r="M73" s="74"/>
      <c r="N73" s="73"/>
      <c r="O73" s="73"/>
      <c r="P73" s="73"/>
      <c r="Q73" s="73"/>
      <c r="R73" s="73"/>
      <c r="S73" s="84"/>
      <c r="T73" s="73"/>
      <c r="U73" s="73"/>
      <c r="V73" s="73"/>
      <c r="W73" s="73"/>
      <c r="X73" s="84"/>
      <c r="Y73" s="84"/>
      <c r="Z73" s="84"/>
    </row>
    <row r="74" spans="1:26" s="17" customFormat="1">
      <c r="A74" s="85" t="s">
        <v>497</v>
      </c>
      <c r="B74" s="72">
        <f>COUNTA($B$1:B73)</f>
        <v>68</v>
      </c>
      <c r="C74" s="73" t="s">
        <v>67</v>
      </c>
      <c r="D74" s="73"/>
      <c r="E74" s="73"/>
      <c r="F74" s="72"/>
      <c r="G74" s="73" t="s">
        <v>498</v>
      </c>
      <c r="H74" s="73"/>
      <c r="I74" s="73"/>
      <c r="J74" s="73"/>
      <c r="K74" s="72"/>
      <c r="L74" s="73" t="s">
        <v>67</v>
      </c>
      <c r="M74" s="74">
        <v>2</v>
      </c>
      <c r="N74" s="73"/>
      <c r="O74" s="73"/>
      <c r="P74" s="73"/>
      <c r="Q74" s="73"/>
      <c r="R74" s="74"/>
      <c r="S74" s="73"/>
      <c r="T74" s="73"/>
      <c r="U74" s="73"/>
      <c r="V74" s="73"/>
      <c r="W74" s="73"/>
      <c r="X74" s="73"/>
      <c r="Y74" s="73"/>
      <c r="Z74" s="73"/>
    </row>
    <row r="75" spans="1:26" s="19" customFormat="1" outlineLevel="1">
      <c r="A75" s="85" t="s">
        <v>497</v>
      </c>
      <c r="B75" s="72">
        <f>COUNTA($B$1:B74)</f>
        <v>69</v>
      </c>
      <c r="C75" s="73" t="s">
        <v>503</v>
      </c>
      <c r="D75" s="73"/>
      <c r="E75" s="73"/>
      <c r="F75" s="72"/>
      <c r="G75" s="73" t="s">
        <v>498</v>
      </c>
      <c r="H75" s="73"/>
      <c r="I75" s="73" t="s">
        <v>55</v>
      </c>
      <c r="J75" s="73" t="s">
        <v>504</v>
      </c>
      <c r="K75" s="72">
        <v>0</v>
      </c>
      <c r="L75" s="73" t="s">
        <v>147</v>
      </c>
      <c r="M75" s="74"/>
      <c r="N75" s="73"/>
      <c r="O75" s="73"/>
      <c r="P75" s="73"/>
      <c r="Q75" s="73"/>
      <c r="R75" s="74"/>
      <c r="S75" s="73"/>
      <c r="T75" s="73"/>
      <c r="U75" s="73"/>
      <c r="V75" s="73"/>
      <c r="W75" s="73"/>
      <c r="X75" s="73"/>
      <c r="Y75" s="73"/>
      <c r="Z75" s="73"/>
    </row>
    <row r="76" spans="1:26" s="19" customFormat="1" outlineLevel="1">
      <c r="A76" s="85" t="s">
        <v>497</v>
      </c>
      <c r="B76" s="72">
        <f>COUNTA($B$1:B75)</f>
        <v>70</v>
      </c>
      <c r="C76" s="73" t="s">
        <v>67</v>
      </c>
      <c r="D76" s="73"/>
      <c r="E76" s="73"/>
      <c r="F76" s="72"/>
      <c r="G76" s="73" t="s">
        <v>498</v>
      </c>
      <c r="H76" s="73"/>
      <c r="I76" s="73"/>
      <c r="J76" s="73"/>
      <c r="K76" s="72"/>
      <c r="L76" s="73" t="s">
        <v>67</v>
      </c>
      <c r="M76" s="74">
        <v>3</v>
      </c>
      <c r="N76" s="73"/>
      <c r="O76" s="73"/>
      <c r="P76" s="73"/>
      <c r="Q76" s="73"/>
      <c r="R76" s="74"/>
      <c r="S76" s="73"/>
      <c r="T76" s="73"/>
      <c r="U76" s="73"/>
      <c r="V76" s="73"/>
      <c r="W76" s="73"/>
      <c r="X76" s="73"/>
      <c r="Y76" s="73"/>
      <c r="Z76" s="73"/>
    </row>
    <row r="77" spans="1:26" s="17" customFormat="1">
      <c r="A77" s="85" t="s">
        <v>497</v>
      </c>
      <c r="B77" s="72">
        <f>COUNTA($B$1:B76)</f>
        <v>71</v>
      </c>
      <c r="C77" s="73" t="s">
        <v>505</v>
      </c>
      <c r="D77" s="73"/>
      <c r="E77" s="73"/>
      <c r="F77" s="72"/>
      <c r="G77" s="73" t="s">
        <v>498</v>
      </c>
      <c r="H77" s="73"/>
      <c r="I77" s="73" t="s">
        <v>55</v>
      </c>
      <c r="J77" s="73" t="s">
        <v>506</v>
      </c>
      <c r="K77" s="72">
        <v>0</v>
      </c>
      <c r="L77" s="73" t="s">
        <v>147</v>
      </c>
      <c r="M77" s="74"/>
      <c r="N77" s="73"/>
      <c r="O77" s="73"/>
      <c r="P77" s="73"/>
      <c r="Q77" s="73"/>
      <c r="R77" s="74"/>
      <c r="S77" s="73"/>
      <c r="T77" s="73"/>
      <c r="U77" s="73"/>
      <c r="V77" s="73"/>
      <c r="W77" s="73"/>
      <c r="X77" s="73"/>
      <c r="Y77" s="73"/>
      <c r="Z77" s="73"/>
    </row>
    <row r="78" spans="1:26" s="19" customFormat="1" outlineLevel="1">
      <c r="A78" s="85" t="s">
        <v>497</v>
      </c>
      <c r="B78" s="72">
        <f>COUNTA($B$1:B77)</f>
        <v>72</v>
      </c>
      <c r="C78" s="73" t="s">
        <v>67</v>
      </c>
      <c r="D78" s="73"/>
      <c r="E78" s="73"/>
      <c r="F78" s="72"/>
      <c r="G78" s="73" t="s">
        <v>498</v>
      </c>
      <c r="H78" s="73"/>
      <c r="I78" s="73"/>
      <c r="J78" s="73"/>
      <c r="K78" s="72"/>
      <c r="L78" s="73" t="s">
        <v>67</v>
      </c>
      <c r="M78" s="74">
        <v>3</v>
      </c>
      <c r="N78" s="73"/>
      <c r="O78" s="73"/>
      <c r="P78" s="73"/>
      <c r="Q78" s="73"/>
      <c r="R78" s="74"/>
      <c r="S78" s="73"/>
      <c r="T78" s="73"/>
      <c r="U78" s="73"/>
      <c r="V78" s="73"/>
      <c r="W78" s="73"/>
      <c r="X78" s="73"/>
      <c r="Y78" s="73"/>
      <c r="Z78" s="73"/>
    </row>
    <row r="79" spans="1:26" s="19" customFormat="1" outlineLevel="1">
      <c r="A79" s="30" t="s">
        <v>269</v>
      </c>
      <c r="B79" s="31"/>
      <c r="C79" s="31"/>
      <c r="D79" s="32"/>
      <c r="E79" s="32"/>
      <c r="F79" s="31"/>
      <c r="G79" s="32"/>
      <c r="H79" s="32"/>
      <c r="I79" s="32"/>
      <c r="J79" s="32"/>
      <c r="K79" s="31"/>
      <c r="L79" s="32"/>
      <c r="M79" s="32"/>
      <c r="N79" s="32"/>
      <c r="O79" s="32"/>
      <c r="P79" s="32"/>
      <c r="Q79" s="32"/>
      <c r="R79" s="32"/>
      <c r="S79" s="32"/>
      <c r="T79" s="32"/>
      <c r="U79" s="32"/>
      <c r="V79" s="32"/>
      <c r="W79" s="32"/>
      <c r="X79" s="32"/>
      <c r="Y79" s="32"/>
      <c r="Z79" s="32"/>
    </row>
    <row r="80" spans="1:26" s="19" customFormat="1" outlineLevel="1">
      <c r="A80" s="85" t="s">
        <v>497</v>
      </c>
      <c r="B80" s="72">
        <f>COUNTA($B$1:B79)</f>
        <v>73</v>
      </c>
      <c r="C80" s="73" t="s">
        <v>507</v>
      </c>
      <c r="D80" s="73"/>
      <c r="E80" s="73"/>
      <c r="F80" s="72"/>
      <c r="G80" s="73" t="s">
        <v>498</v>
      </c>
      <c r="H80" s="73"/>
      <c r="I80" s="73" t="s">
        <v>55</v>
      </c>
      <c r="J80" s="73" t="s">
        <v>508</v>
      </c>
      <c r="K80" s="72">
        <v>0</v>
      </c>
      <c r="L80" s="73" t="s">
        <v>147</v>
      </c>
      <c r="M80" s="74"/>
      <c r="N80" s="73"/>
      <c r="O80" s="73"/>
      <c r="P80" s="73"/>
      <c r="Q80" s="73"/>
      <c r="R80" s="74"/>
      <c r="S80" s="73"/>
      <c r="T80" s="73"/>
      <c r="U80" s="73"/>
      <c r="V80" s="73"/>
      <c r="W80" s="73"/>
      <c r="X80" s="73"/>
      <c r="Y80" s="73"/>
      <c r="Z80" s="73"/>
    </row>
    <row r="81" spans="1:26" s="17" customFormat="1">
      <c r="A81" s="85" t="s">
        <v>497</v>
      </c>
      <c r="B81" s="72">
        <f>COUNTA($B$1:B80)</f>
        <v>74</v>
      </c>
      <c r="C81" s="73" t="s">
        <v>67</v>
      </c>
      <c r="D81" s="73"/>
      <c r="E81" s="73"/>
      <c r="F81" s="72"/>
      <c r="G81" s="73" t="s">
        <v>498</v>
      </c>
      <c r="H81" s="73"/>
      <c r="I81" s="73"/>
      <c r="J81" s="73"/>
      <c r="K81" s="72"/>
      <c r="L81" s="73" t="s">
        <v>67</v>
      </c>
      <c r="M81" s="74">
        <v>5</v>
      </c>
      <c r="N81" s="73"/>
      <c r="O81" s="73"/>
      <c r="P81" s="73"/>
      <c r="Q81" s="73"/>
      <c r="R81" s="74"/>
      <c r="S81" s="73"/>
      <c r="T81" s="73"/>
      <c r="U81" s="73"/>
      <c r="V81" s="73"/>
      <c r="W81" s="73"/>
      <c r="X81" s="73"/>
      <c r="Y81" s="73"/>
      <c r="Z81" s="73"/>
    </row>
    <row r="82" spans="1:26" s="19" customFormat="1" outlineLevel="1">
      <c r="A82" s="85" t="s">
        <v>497</v>
      </c>
      <c r="B82" s="72">
        <f>COUNTA($B$1:B81)</f>
        <v>75</v>
      </c>
      <c r="C82" s="73" t="s">
        <v>148</v>
      </c>
      <c r="D82" s="73"/>
      <c r="E82" s="73"/>
      <c r="F82" s="72"/>
      <c r="G82" s="73" t="s">
        <v>498</v>
      </c>
      <c r="H82" s="73"/>
      <c r="I82" s="73" t="s">
        <v>55</v>
      </c>
      <c r="J82" s="73" t="s">
        <v>439</v>
      </c>
      <c r="K82" s="72">
        <v>0</v>
      </c>
      <c r="L82" s="73" t="s">
        <v>34</v>
      </c>
      <c r="M82" s="73"/>
      <c r="N82" s="73"/>
      <c r="O82" s="73"/>
      <c r="P82" s="73"/>
      <c r="Q82" s="73"/>
      <c r="R82" s="74"/>
      <c r="S82" s="73"/>
      <c r="T82" s="73"/>
      <c r="U82" s="73"/>
      <c r="V82" s="73"/>
      <c r="W82" s="73"/>
      <c r="X82" s="73"/>
      <c r="Y82" s="73"/>
      <c r="Z82" s="73"/>
    </row>
    <row r="83" spans="1:26" s="19" customFormat="1" outlineLevel="1">
      <c r="A83" s="85" t="s">
        <v>497</v>
      </c>
      <c r="B83" s="72">
        <f>COUNTA($B$1:B82)</f>
        <v>76</v>
      </c>
      <c r="C83" s="73" t="s">
        <v>67</v>
      </c>
      <c r="D83" s="73"/>
      <c r="E83" s="73"/>
      <c r="F83" s="72"/>
      <c r="G83" s="73" t="s">
        <v>498</v>
      </c>
      <c r="H83" s="73"/>
      <c r="I83" s="73"/>
      <c r="J83" s="73"/>
      <c r="K83" s="72"/>
      <c r="L83" s="73" t="s">
        <v>67</v>
      </c>
      <c r="M83" s="74">
        <v>2</v>
      </c>
      <c r="N83" s="73"/>
      <c r="O83" s="73"/>
      <c r="P83" s="73"/>
      <c r="Q83" s="73"/>
      <c r="R83" s="74"/>
      <c r="S83" s="73"/>
      <c r="T83" s="73"/>
      <c r="U83" s="73"/>
      <c r="V83" s="73"/>
      <c r="W83" s="73"/>
      <c r="X83" s="73"/>
      <c r="Y83" s="73"/>
      <c r="Z83" s="73"/>
    </row>
    <row r="84" spans="1:26" s="17" customFormat="1">
      <c r="A84" s="85" t="s">
        <v>497</v>
      </c>
      <c r="B84" s="72">
        <f>COUNTA($B$1:B83)</f>
        <v>77</v>
      </c>
      <c r="C84" s="73" t="s">
        <v>150</v>
      </c>
      <c r="D84" s="73"/>
      <c r="E84" s="73"/>
      <c r="F84" s="72"/>
      <c r="G84" s="73" t="s">
        <v>498</v>
      </c>
      <c r="H84" s="73"/>
      <c r="I84" s="73" t="s">
        <v>55</v>
      </c>
      <c r="J84" s="73" t="s">
        <v>273</v>
      </c>
      <c r="K84" s="72">
        <v>0</v>
      </c>
      <c r="L84" s="73" t="s">
        <v>151</v>
      </c>
      <c r="M84" s="82" t="s">
        <v>274</v>
      </c>
      <c r="N84" s="73"/>
      <c r="O84" s="73"/>
      <c r="P84" s="73"/>
      <c r="Q84" s="73"/>
      <c r="R84" s="74"/>
      <c r="S84" s="73"/>
      <c r="T84" s="73"/>
      <c r="U84" s="73"/>
      <c r="V84" s="73"/>
      <c r="W84" s="73"/>
      <c r="X84" s="73"/>
      <c r="Y84" s="73"/>
      <c r="Z84" s="73"/>
    </row>
    <row r="85" spans="1:26" s="19" customFormat="1" outlineLevel="1">
      <c r="A85" s="85" t="s">
        <v>497</v>
      </c>
      <c r="B85" s="72">
        <f>COUNTA($B$1:B84)</f>
        <v>78</v>
      </c>
      <c r="C85" s="73" t="s">
        <v>67</v>
      </c>
      <c r="D85" s="73"/>
      <c r="E85" s="73"/>
      <c r="F85" s="72"/>
      <c r="G85" s="73" t="s">
        <v>498</v>
      </c>
      <c r="H85" s="73"/>
      <c r="I85" s="73"/>
      <c r="J85" s="73"/>
      <c r="K85" s="72"/>
      <c r="L85" s="73" t="s">
        <v>67</v>
      </c>
      <c r="M85" s="74">
        <v>2</v>
      </c>
      <c r="N85" s="73"/>
      <c r="O85" s="73"/>
      <c r="P85" s="73"/>
      <c r="Q85" s="73"/>
      <c r="R85" s="74"/>
      <c r="S85" s="73"/>
      <c r="T85" s="73"/>
      <c r="U85" s="73"/>
      <c r="V85" s="73"/>
      <c r="W85" s="73"/>
      <c r="X85" s="73"/>
      <c r="Y85" s="73"/>
      <c r="Z85" s="73"/>
    </row>
    <row r="86" spans="1:26" s="19" customFormat="1" outlineLevel="1">
      <c r="A86" s="85" t="s">
        <v>497</v>
      </c>
      <c r="B86" s="72">
        <f>COUNTA($B$1:B85)</f>
        <v>79</v>
      </c>
      <c r="C86" s="73" t="s">
        <v>148</v>
      </c>
      <c r="D86" s="73"/>
      <c r="E86" s="73"/>
      <c r="F86" s="80"/>
      <c r="G86" s="73" t="s">
        <v>498</v>
      </c>
      <c r="H86" s="73"/>
      <c r="I86" s="73" t="s">
        <v>55</v>
      </c>
      <c r="J86" s="73" t="str">
        <f>"//a[contains(.,'"&amp;M84&amp;"')]"</f>
        <v>//a[contains(.,'Destination1')]</v>
      </c>
      <c r="K86" s="72">
        <v>0</v>
      </c>
      <c r="L86" s="73" t="s">
        <v>147</v>
      </c>
      <c r="M86" s="73"/>
      <c r="N86" s="73"/>
      <c r="O86" s="73"/>
      <c r="P86" s="73"/>
      <c r="Q86" s="73"/>
      <c r="R86" s="74"/>
      <c r="S86" s="73"/>
      <c r="T86" s="73"/>
      <c r="U86" s="73"/>
      <c r="V86" s="73"/>
      <c r="W86" s="73"/>
      <c r="X86" s="73"/>
      <c r="Y86" s="73"/>
      <c r="Z86" s="73"/>
    </row>
    <row r="87" spans="1:26" s="19" customFormat="1" outlineLevel="1">
      <c r="A87" s="85" t="s">
        <v>497</v>
      </c>
      <c r="B87" s="72">
        <f>COUNTA($B$1:B86)</f>
        <v>80</v>
      </c>
      <c r="C87" s="73" t="s">
        <v>153</v>
      </c>
      <c r="D87" s="83"/>
      <c r="E87" s="84" t="s">
        <v>154</v>
      </c>
      <c r="F87" s="76"/>
      <c r="G87" s="73" t="s">
        <v>498</v>
      </c>
      <c r="H87" s="73"/>
      <c r="I87" s="73" t="s">
        <v>55</v>
      </c>
      <c r="J87" s="73" t="s">
        <v>81</v>
      </c>
      <c r="K87" s="72">
        <v>0</v>
      </c>
      <c r="L87" s="73" t="s">
        <v>0</v>
      </c>
      <c r="M87" s="82" t="s">
        <v>440</v>
      </c>
      <c r="N87" s="73"/>
      <c r="O87" s="73"/>
      <c r="P87" s="73"/>
      <c r="Q87" s="73"/>
      <c r="R87" s="74"/>
      <c r="S87" s="73"/>
      <c r="T87" s="73"/>
      <c r="U87" s="73"/>
      <c r="V87" s="73"/>
      <c r="W87" s="73"/>
      <c r="X87" s="73"/>
      <c r="Y87" s="73"/>
      <c r="Z87" s="73"/>
    </row>
    <row r="88" spans="1:26" s="17" customFormat="1">
      <c r="A88" s="85" t="s">
        <v>497</v>
      </c>
      <c r="B88" s="72">
        <f>COUNTA($B$1:B87)</f>
        <v>81</v>
      </c>
      <c r="C88" s="73" t="s">
        <v>156</v>
      </c>
      <c r="D88" s="83"/>
      <c r="E88" s="84" t="s">
        <v>154</v>
      </c>
      <c r="F88" s="76"/>
      <c r="G88" s="73" t="s">
        <v>498</v>
      </c>
      <c r="H88" s="73"/>
      <c r="I88" s="73" t="s">
        <v>55</v>
      </c>
      <c r="J88" s="73" t="s">
        <v>82</v>
      </c>
      <c r="K88" s="72">
        <v>0</v>
      </c>
      <c r="L88" s="73" t="s">
        <v>0</v>
      </c>
      <c r="M88" s="82" t="s">
        <v>441</v>
      </c>
      <c r="N88" s="73"/>
      <c r="O88" s="73"/>
      <c r="P88" s="73"/>
      <c r="Q88" s="73"/>
      <c r="R88" s="74"/>
      <c r="S88" s="73"/>
      <c r="T88" s="73"/>
      <c r="U88" s="73"/>
      <c r="V88" s="73"/>
      <c r="W88" s="73"/>
      <c r="X88" s="73"/>
      <c r="Y88" s="73"/>
      <c r="Z88" s="73"/>
    </row>
    <row r="89" spans="1:26" s="19" customFormat="1" outlineLevel="1">
      <c r="A89" s="85" t="s">
        <v>497</v>
      </c>
      <c r="B89" s="72">
        <f>COUNTA($B$1:B88)</f>
        <v>82</v>
      </c>
      <c r="C89" s="73" t="s">
        <v>161</v>
      </c>
      <c r="D89" s="73"/>
      <c r="E89" s="73"/>
      <c r="F89" s="72"/>
      <c r="G89" s="73" t="s">
        <v>498</v>
      </c>
      <c r="H89" s="73"/>
      <c r="I89" s="73" t="s">
        <v>55</v>
      </c>
      <c r="J89" s="73" t="s">
        <v>442</v>
      </c>
      <c r="K89" s="72">
        <v>0</v>
      </c>
      <c r="L89" s="73" t="s">
        <v>34</v>
      </c>
      <c r="M89" s="73"/>
      <c r="N89" s="73"/>
      <c r="O89" s="73"/>
      <c r="P89" s="73"/>
      <c r="Q89" s="73"/>
      <c r="R89" s="74"/>
      <c r="S89" s="73"/>
      <c r="T89" s="73"/>
      <c r="U89" s="73"/>
      <c r="V89" s="73"/>
      <c r="W89" s="73"/>
      <c r="X89" s="73"/>
      <c r="Y89" s="73"/>
      <c r="Z89" s="73"/>
    </row>
    <row r="90" spans="1:26" s="19" customFormat="1" outlineLevel="1">
      <c r="A90" s="85" t="s">
        <v>497</v>
      </c>
      <c r="B90" s="72">
        <f>COUNTA($B$1:B89)</f>
        <v>83</v>
      </c>
      <c r="C90" s="73" t="s">
        <v>67</v>
      </c>
      <c r="D90" s="73"/>
      <c r="E90" s="73"/>
      <c r="F90" s="72"/>
      <c r="G90" s="73" t="s">
        <v>498</v>
      </c>
      <c r="H90" s="73"/>
      <c r="I90" s="73"/>
      <c r="J90" s="73"/>
      <c r="K90" s="72"/>
      <c r="L90" s="73" t="s">
        <v>67</v>
      </c>
      <c r="M90" s="74">
        <v>2</v>
      </c>
      <c r="N90" s="73"/>
      <c r="O90" s="73"/>
      <c r="P90" s="73"/>
      <c r="Q90" s="73"/>
      <c r="R90" s="74"/>
      <c r="S90" s="73"/>
      <c r="T90" s="73"/>
      <c r="U90" s="73"/>
      <c r="V90" s="73"/>
      <c r="W90" s="73"/>
      <c r="X90" s="73"/>
      <c r="Y90" s="73"/>
      <c r="Z90" s="73"/>
    </row>
    <row r="91" spans="1:26" s="17" customFormat="1">
      <c r="A91" s="85" t="s">
        <v>497</v>
      </c>
      <c r="B91" s="72">
        <f>COUNTA($B$1:B90)</f>
        <v>84</v>
      </c>
      <c r="C91" s="73" t="s">
        <v>163</v>
      </c>
      <c r="D91" s="73"/>
      <c r="E91" s="73"/>
      <c r="F91" s="72"/>
      <c r="G91" s="73" t="s">
        <v>498</v>
      </c>
      <c r="H91" s="73"/>
      <c r="I91" s="73" t="s">
        <v>55</v>
      </c>
      <c r="J91" s="73" t="s">
        <v>277</v>
      </c>
      <c r="K91" s="72">
        <v>0</v>
      </c>
      <c r="L91" s="73" t="s">
        <v>151</v>
      </c>
      <c r="M91" s="82" t="s">
        <v>278</v>
      </c>
      <c r="N91" s="73"/>
      <c r="O91" s="73"/>
      <c r="P91" s="73"/>
      <c r="Q91" s="73"/>
      <c r="R91" s="74"/>
      <c r="S91" s="73"/>
      <c r="T91" s="73"/>
      <c r="U91" s="73"/>
      <c r="V91" s="73"/>
      <c r="W91" s="73"/>
      <c r="X91" s="73"/>
      <c r="Y91" s="73"/>
      <c r="Z91" s="73"/>
    </row>
    <row r="92" spans="1:26" s="19" customFormat="1" outlineLevel="1">
      <c r="A92" s="85" t="s">
        <v>497</v>
      </c>
      <c r="B92" s="72">
        <f>COUNTA($B$1:B91)</f>
        <v>85</v>
      </c>
      <c r="C92" s="73" t="s">
        <v>67</v>
      </c>
      <c r="D92" s="73"/>
      <c r="E92" s="73"/>
      <c r="F92" s="72"/>
      <c r="G92" s="73" t="s">
        <v>498</v>
      </c>
      <c r="H92" s="73"/>
      <c r="I92" s="73"/>
      <c r="J92" s="73"/>
      <c r="K92" s="72"/>
      <c r="L92" s="73" t="s">
        <v>67</v>
      </c>
      <c r="M92" s="74">
        <v>2</v>
      </c>
      <c r="N92" s="73"/>
      <c r="O92" s="73"/>
      <c r="P92" s="73"/>
      <c r="Q92" s="73"/>
      <c r="R92" s="74"/>
      <c r="S92" s="73"/>
      <c r="T92" s="73"/>
      <c r="U92" s="73"/>
      <c r="V92" s="73"/>
      <c r="W92" s="73"/>
      <c r="X92" s="73"/>
      <c r="Y92" s="73"/>
      <c r="Z92" s="73"/>
    </row>
    <row r="93" spans="1:26" s="19" customFormat="1" outlineLevel="1">
      <c r="A93" s="85" t="s">
        <v>497</v>
      </c>
      <c r="B93" s="72">
        <f>COUNTA($B$1:B92)</f>
        <v>86</v>
      </c>
      <c r="C93" s="73" t="s">
        <v>148</v>
      </c>
      <c r="D93" s="73"/>
      <c r="E93" s="73"/>
      <c r="F93" s="80"/>
      <c r="G93" s="73" t="s">
        <v>498</v>
      </c>
      <c r="H93" s="73"/>
      <c r="I93" s="73" t="s">
        <v>55</v>
      </c>
      <c r="J93" s="73" t="str">
        <f>"//a[contains(.,'"&amp;M91&amp;"')]"</f>
        <v>//a[contains(.,'Residence1')]</v>
      </c>
      <c r="K93" s="72">
        <v>0</v>
      </c>
      <c r="L93" s="73" t="s">
        <v>147</v>
      </c>
      <c r="M93" s="73"/>
      <c r="N93" s="73"/>
      <c r="O93" s="73"/>
      <c r="P93" s="73"/>
      <c r="Q93" s="73"/>
      <c r="R93" s="74"/>
      <c r="S93" s="73"/>
      <c r="T93" s="73"/>
      <c r="U93" s="73"/>
      <c r="V93" s="73"/>
      <c r="W93" s="73"/>
      <c r="X93" s="73"/>
      <c r="Y93" s="73"/>
      <c r="Z93" s="73"/>
    </row>
    <row r="94" spans="1:26" s="17" customFormat="1">
      <c r="A94" s="85" t="s">
        <v>497</v>
      </c>
      <c r="B94" s="72">
        <f>COUNTA($B$1:B93)</f>
        <v>87</v>
      </c>
      <c r="C94" s="73" t="s">
        <v>165</v>
      </c>
      <c r="D94" s="83"/>
      <c r="E94" s="84" t="s">
        <v>154</v>
      </c>
      <c r="F94" s="76"/>
      <c r="G94" s="73" t="s">
        <v>498</v>
      </c>
      <c r="H94" s="73"/>
      <c r="I94" s="73" t="s">
        <v>55</v>
      </c>
      <c r="J94" s="73" t="s">
        <v>166</v>
      </c>
      <c r="K94" s="72">
        <v>0</v>
      </c>
      <c r="L94" s="73" t="s">
        <v>0</v>
      </c>
      <c r="M94" s="82" t="s">
        <v>174</v>
      </c>
      <c r="N94" s="73"/>
      <c r="O94" s="73"/>
      <c r="P94" s="73"/>
      <c r="Q94" s="73"/>
      <c r="R94" s="74"/>
      <c r="S94" s="73"/>
      <c r="T94" s="73"/>
      <c r="U94" s="73"/>
      <c r="V94" s="73"/>
      <c r="W94" s="73"/>
      <c r="X94" s="73"/>
      <c r="Y94" s="73"/>
      <c r="Z94" s="73"/>
    </row>
    <row r="95" spans="1:26" s="19" customFormat="1" outlineLevel="1">
      <c r="A95" s="85" t="s">
        <v>497</v>
      </c>
      <c r="B95" s="72">
        <f>COUNTA($B$1:B94)</f>
        <v>88</v>
      </c>
      <c r="C95" s="73" t="s">
        <v>190</v>
      </c>
      <c r="D95" s="73"/>
      <c r="E95" s="73"/>
      <c r="F95" s="72"/>
      <c r="G95" s="73" t="s">
        <v>498</v>
      </c>
      <c r="H95" s="73"/>
      <c r="I95" s="73" t="s">
        <v>55</v>
      </c>
      <c r="J95" s="73" t="s">
        <v>87</v>
      </c>
      <c r="K95" s="72">
        <v>0</v>
      </c>
      <c r="L95" s="73" t="s">
        <v>147</v>
      </c>
      <c r="M95" s="74"/>
      <c r="N95" s="73"/>
      <c r="O95" s="73"/>
      <c r="P95" s="73"/>
      <c r="Q95" s="73"/>
      <c r="R95" s="74"/>
      <c r="S95" s="73"/>
      <c r="T95" s="73"/>
      <c r="U95" s="73"/>
      <c r="V95" s="73"/>
      <c r="W95" s="73"/>
      <c r="X95" s="73"/>
      <c r="Y95" s="73"/>
      <c r="Z95" s="73"/>
    </row>
    <row r="96" spans="1:26" s="19" customFormat="1" outlineLevel="1">
      <c r="A96" s="85" t="s">
        <v>497</v>
      </c>
      <c r="B96" s="72">
        <f>COUNTA($B$1:B95)</f>
        <v>89</v>
      </c>
      <c r="C96" s="73" t="s">
        <v>67</v>
      </c>
      <c r="D96" s="73"/>
      <c r="E96" s="73"/>
      <c r="F96" s="72"/>
      <c r="G96" s="73" t="s">
        <v>498</v>
      </c>
      <c r="H96" s="73"/>
      <c r="I96" s="73"/>
      <c r="J96" s="73"/>
      <c r="K96" s="72"/>
      <c r="L96" s="73" t="s">
        <v>67</v>
      </c>
      <c r="M96" s="74">
        <v>13</v>
      </c>
      <c r="N96" s="73"/>
      <c r="O96" s="73"/>
      <c r="P96" s="73"/>
      <c r="Q96" s="73"/>
      <c r="R96" s="74"/>
      <c r="S96" s="73"/>
      <c r="T96" s="73"/>
      <c r="U96" s="73"/>
      <c r="V96" s="73"/>
      <c r="W96" s="73"/>
      <c r="X96" s="73"/>
      <c r="Y96" s="73"/>
      <c r="Z96" s="73"/>
    </row>
    <row r="97" spans="1:26" s="17" customFormat="1">
      <c r="A97" s="30" t="s">
        <v>191</v>
      </c>
      <c r="B97" s="31"/>
      <c r="C97" s="31"/>
      <c r="D97" s="32"/>
      <c r="E97" s="32"/>
      <c r="F97" s="31"/>
      <c r="G97" s="32"/>
      <c r="H97" s="32"/>
      <c r="I97" s="32"/>
      <c r="J97" s="32"/>
      <c r="K97" s="31"/>
      <c r="L97" s="32"/>
      <c r="M97" s="32"/>
      <c r="N97" s="32"/>
      <c r="O97" s="32"/>
      <c r="P97" s="32"/>
      <c r="Q97" s="32"/>
      <c r="R97" s="32"/>
      <c r="S97" s="32"/>
      <c r="T97" s="32"/>
      <c r="U97" s="32"/>
      <c r="V97" s="32"/>
      <c r="W97" s="32"/>
      <c r="X97" s="32"/>
      <c r="Y97" s="32"/>
      <c r="Z97" s="32"/>
    </row>
    <row r="98" spans="1:26" s="213" customFormat="1">
      <c r="A98" s="220" t="s">
        <v>497</v>
      </c>
      <c r="B98" s="209">
        <f>COUNTA($B$1:B97)</f>
        <v>90</v>
      </c>
      <c r="C98" s="210" t="s">
        <v>921</v>
      </c>
      <c r="D98" s="210"/>
      <c r="E98" s="210"/>
      <c r="F98" s="209"/>
      <c r="G98" s="210" t="s">
        <v>498</v>
      </c>
      <c r="H98" s="210"/>
      <c r="I98" s="210" t="s">
        <v>55</v>
      </c>
      <c r="J98" s="210" t="s">
        <v>907</v>
      </c>
      <c r="K98" s="209">
        <v>0</v>
      </c>
      <c r="L98" s="210" t="s">
        <v>147</v>
      </c>
      <c r="M98" s="214"/>
      <c r="N98" s="210"/>
      <c r="O98" s="210"/>
      <c r="P98" s="210"/>
      <c r="Q98" s="210"/>
      <c r="R98" s="210"/>
      <c r="S98" s="210"/>
      <c r="T98" s="210"/>
      <c r="U98" s="210"/>
      <c r="V98" s="210"/>
      <c r="W98" s="210"/>
      <c r="X98" s="210"/>
      <c r="Y98" s="210"/>
      <c r="Z98" s="210"/>
    </row>
    <row r="99" spans="1:26" s="213" customFormat="1">
      <c r="A99" s="220" t="s">
        <v>497</v>
      </c>
      <c r="B99" s="209">
        <f>COUNTA($B$1:B98)</f>
        <v>91</v>
      </c>
      <c r="C99" s="210" t="s">
        <v>916</v>
      </c>
      <c r="D99" s="215"/>
      <c r="E99" s="212"/>
      <c r="F99" s="209"/>
      <c r="G99" s="210" t="s">
        <v>498</v>
      </c>
      <c r="H99" s="210"/>
      <c r="I99" s="210" t="s">
        <v>55</v>
      </c>
      <c r="J99" s="210" t="s">
        <v>898</v>
      </c>
      <c r="K99" s="209">
        <v>0</v>
      </c>
      <c r="L99" s="210" t="s">
        <v>98</v>
      </c>
      <c r="M99" s="214"/>
      <c r="N99" s="210" t="s">
        <v>99</v>
      </c>
      <c r="O99" s="210"/>
      <c r="P99" s="210"/>
      <c r="Q99" s="210"/>
      <c r="R99" s="210" t="str">
        <f>M84</f>
        <v>Destination1</v>
      </c>
      <c r="S99" s="210"/>
      <c r="T99" s="210" t="s">
        <v>2</v>
      </c>
      <c r="U99" s="210"/>
      <c r="V99" s="210"/>
      <c r="W99" s="210"/>
      <c r="X99" s="210"/>
      <c r="Y99" s="210"/>
      <c r="Z99" s="210"/>
    </row>
    <row r="100" spans="1:26" s="213" customFormat="1">
      <c r="A100" s="220" t="s">
        <v>497</v>
      </c>
      <c r="B100" s="209">
        <f>COUNTA($B$1:B99)</f>
        <v>92</v>
      </c>
      <c r="C100" s="210" t="s">
        <v>914</v>
      </c>
      <c r="D100" s="215"/>
      <c r="E100" s="212"/>
      <c r="F100" s="209"/>
      <c r="G100" s="210" t="s">
        <v>498</v>
      </c>
      <c r="H100" s="210"/>
      <c r="I100" s="210" t="s">
        <v>55</v>
      </c>
      <c r="J100" s="210" t="s">
        <v>298</v>
      </c>
      <c r="K100" s="209">
        <v>0</v>
      </c>
      <c r="L100" s="210" t="s">
        <v>98</v>
      </c>
      <c r="M100" s="214"/>
      <c r="N100" s="210" t="s">
        <v>99</v>
      </c>
      <c r="O100" s="210"/>
      <c r="P100" s="210"/>
      <c r="Q100" s="210"/>
      <c r="R100" s="210" t="str">
        <f>TEXT(M87,"mm/dd/yyyy")</f>
        <v>DepDate1</v>
      </c>
      <c r="S100" s="210"/>
      <c r="T100" s="210" t="s">
        <v>2</v>
      </c>
      <c r="U100" s="210"/>
      <c r="V100" s="210"/>
      <c r="W100" s="210"/>
      <c r="X100" s="210"/>
      <c r="Y100" s="210"/>
      <c r="Z100" s="210"/>
    </row>
    <row r="101" spans="1:26" s="213" customFormat="1">
      <c r="A101" s="220" t="s">
        <v>497</v>
      </c>
      <c r="B101" s="209">
        <f>COUNTA($B$1:B100)</f>
        <v>93</v>
      </c>
      <c r="C101" s="210" t="s">
        <v>915</v>
      </c>
      <c r="D101" s="215"/>
      <c r="E101" s="212"/>
      <c r="F101" s="209"/>
      <c r="G101" s="210" t="s">
        <v>498</v>
      </c>
      <c r="H101" s="210"/>
      <c r="I101" s="210" t="s">
        <v>55</v>
      </c>
      <c r="J101" s="210" t="s">
        <v>300</v>
      </c>
      <c r="K101" s="209">
        <v>0</v>
      </c>
      <c r="L101" s="210" t="s">
        <v>98</v>
      </c>
      <c r="M101" s="214"/>
      <c r="N101" s="210" t="s">
        <v>99</v>
      </c>
      <c r="O101" s="210"/>
      <c r="P101" s="210"/>
      <c r="Q101" s="210"/>
      <c r="R101" s="210" t="str">
        <f>TEXT(M88,"mm/dd/yyyy")</f>
        <v>RetDate1</v>
      </c>
      <c r="S101" s="210"/>
      <c r="T101" s="210" t="s">
        <v>2</v>
      </c>
      <c r="U101" s="210"/>
      <c r="V101" s="210"/>
      <c r="W101" s="210"/>
      <c r="X101" s="210"/>
      <c r="Y101" s="210"/>
      <c r="Z101" s="210"/>
    </row>
    <row r="102" spans="1:26" s="213" customFormat="1">
      <c r="A102" s="220" t="s">
        <v>497</v>
      </c>
      <c r="B102" s="209">
        <f>COUNTA($B$1:B101)</f>
        <v>94</v>
      </c>
      <c r="C102" s="210" t="s">
        <v>913</v>
      </c>
      <c r="D102" s="215"/>
      <c r="E102" s="212"/>
      <c r="F102" s="209"/>
      <c r="G102" s="210" t="s">
        <v>498</v>
      </c>
      <c r="H102" s="210"/>
      <c r="I102" s="210" t="s">
        <v>55</v>
      </c>
      <c r="J102" s="210" t="s">
        <v>899</v>
      </c>
      <c r="K102" s="209">
        <v>0</v>
      </c>
      <c r="L102" s="210" t="s">
        <v>98</v>
      </c>
      <c r="M102" s="214"/>
      <c r="N102" s="210" t="s">
        <v>99</v>
      </c>
      <c r="O102" s="210"/>
      <c r="P102" s="210"/>
      <c r="Q102" s="210"/>
      <c r="R102" s="210" t="str">
        <f>M94</f>
        <v>Age1</v>
      </c>
      <c r="S102" s="210"/>
      <c r="T102" s="210" t="s">
        <v>2</v>
      </c>
      <c r="U102" s="210"/>
      <c r="V102" s="210"/>
      <c r="W102" s="210"/>
      <c r="X102" s="210"/>
      <c r="Y102" s="210"/>
      <c r="Z102" s="210"/>
    </row>
    <row r="103" spans="1:26" s="19" customFormat="1" outlineLevel="1">
      <c r="A103" s="85" t="s">
        <v>497</v>
      </c>
      <c r="B103" s="72">
        <f>COUNTA($B$1:B102)</f>
        <v>95</v>
      </c>
      <c r="C103" s="85" t="s">
        <v>499</v>
      </c>
      <c r="D103" s="73"/>
      <c r="E103" s="73"/>
      <c r="F103" s="72"/>
      <c r="G103" s="73" t="s">
        <v>498</v>
      </c>
      <c r="H103" s="73"/>
      <c r="I103" s="73" t="s">
        <v>55</v>
      </c>
      <c r="J103" s="73" t="s">
        <v>500</v>
      </c>
      <c r="K103" s="72">
        <v>0</v>
      </c>
      <c r="L103" s="73" t="s">
        <v>147</v>
      </c>
      <c r="M103" s="74"/>
      <c r="N103" s="73"/>
      <c r="O103" s="73"/>
      <c r="P103" s="73"/>
      <c r="Q103" s="73"/>
      <c r="R103" s="73"/>
      <c r="S103" s="73"/>
      <c r="T103" s="73"/>
      <c r="U103" s="73"/>
      <c r="V103" s="73"/>
      <c r="W103" s="73"/>
      <c r="X103" s="73"/>
      <c r="Y103" s="73"/>
      <c r="Z103" s="73"/>
    </row>
    <row r="104" spans="1:26" s="19" customFormat="1" outlineLevel="1">
      <c r="A104" s="85" t="s">
        <v>497</v>
      </c>
      <c r="B104" s="72">
        <f>COUNTA($B$1:B103)</f>
        <v>96</v>
      </c>
      <c r="C104" s="73" t="s">
        <v>67</v>
      </c>
      <c r="D104" s="73"/>
      <c r="E104" s="73"/>
      <c r="F104" s="72"/>
      <c r="G104" s="73" t="s">
        <v>498</v>
      </c>
      <c r="H104" s="73"/>
      <c r="I104" s="73"/>
      <c r="J104" s="73"/>
      <c r="K104" s="72"/>
      <c r="L104" s="73" t="s">
        <v>67</v>
      </c>
      <c r="M104" s="74">
        <v>10</v>
      </c>
      <c r="N104" s="73"/>
      <c r="O104" s="73"/>
      <c r="P104" s="73"/>
      <c r="Q104" s="73"/>
      <c r="R104" s="73"/>
      <c r="S104" s="73"/>
      <c r="T104" s="73"/>
      <c r="U104" s="73"/>
      <c r="V104" s="73"/>
      <c r="W104" s="73"/>
      <c r="X104" s="73"/>
      <c r="Y104" s="73"/>
      <c r="Z104" s="73"/>
    </row>
    <row r="105" spans="1:26" s="213" customFormat="1">
      <c r="A105" s="220" t="s">
        <v>497</v>
      </c>
      <c r="B105" s="209">
        <f>COUNTA($B$1:B104)</f>
        <v>97</v>
      </c>
      <c r="C105" s="210" t="s">
        <v>921</v>
      </c>
      <c r="D105" s="210"/>
      <c r="E105" s="210"/>
      <c r="F105" s="209"/>
      <c r="G105" s="210" t="s">
        <v>498</v>
      </c>
      <c r="H105" s="210"/>
      <c r="I105" s="210" t="s">
        <v>55</v>
      </c>
      <c r="J105" s="210" t="s">
        <v>907</v>
      </c>
      <c r="K105" s="209">
        <v>0</v>
      </c>
      <c r="L105" s="210" t="s">
        <v>147</v>
      </c>
      <c r="M105" s="214"/>
      <c r="N105" s="210"/>
      <c r="O105" s="210"/>
      <c r="P105" s="210"/>
      <c r="Q105" s="210"/>
      <c r="R105" s="210"/>
      <c r="S105" s="210"/>
      <c r="T105" s="210"/>
      <c r="U105" s="210"/>
      <c r="V105" s="210"/>
      <c r="W105" s="210"/>
      <c r="X105" s="210"/>
      <c r="Y105" s="210"/>
      <c r="Z105" s="210"/>
    </row>
    <row r="106" spans="1:26" s="213" customFormat="1">
      <c r="A106" s="220" t="s">
        <v>497</v>
      </c>
      <c r="B106" s="209">
        <f>COUNTA($B$1:B105)</f>
        <v>98</v>
      </c>
      <c r="C106" s="210" t="s">
        <v>917</v>
      </c>
      <c r="D106" s="215"/>
      <c r="E106" s="212"/>
      <c r="F106" s="209"/>
      <c r="G106" s="210" t="s">
        <v>498</v>
      </c>
      <c r="H106" s="210"/>
      <c r="I106" s="210" t="s">
        <v>55</v>
      </c>
      <c r="J106" s="210" t="s">
        <v>898</v>
      </c>
      <c r="K106" s="209">
        <v>0</v>
      </c>
      <c r="L106" s="210" t="s">
        <v>98</v>
      </c>
      <c r="M106" s="214"/>
      <c r="N106" s="210" t="s">
        <v>99</v>
      </c>
      <c r="O106" s="210"/>
      <c r="P106" s="210"/>
      <c r="Q106" s="210"/>
      <c r="R106" s="210">
        <f>S99</f>
        <v>0</v>
      </c>
      <c r="S106" s="210"/>
      <c r="T106" s="210" t="s">
        <v>2</v>
      </c>
      <c r="U106" s="210"/>
      <c r="V106" s="210"/>
      <c r="W106" s="210"/>
      <c r="X106" s="210"/>
      <c r="Y106" s="210"/>
      <c r="Z106" s="210"/>
    </row>
    <row r="107" spans="1:26" s="213" customFormat="1">
      <c r="A107" s="220" t="s">
        <v>497</v>
      </c>
      <c r="B107" s="209">
        <f>COUNTA($B$1:B106)</f>
        <v>99</v>
      </c>
      <c r="C107" s="210" t="s">
        <v>918</v>
      </c>
      <c r="D107" s="215"/>
      <c r="E107" s="212"/>
      <c r="F107" s="209"/>
      <c r="G107" s="210" t="s">
        <v>498</v>
      </c>
      <c r="H107" s="210"/>
      <c r="I107" s="210" t="s">
        <v>55</v>
      </c>
      <c r="J107" s="210" t="s">
        <v>298</v>
      </c>
      <c r="K107" s="209">
        <v>0</v>
      </c>
      <c r="L107" s="210" t="s">
        <v>98</v>
      </c>
      <c r="M107" s="214"/>
      <c r="N107" s="210" t="s">
        <v>99</v>
      </c>
      <c r="O107" s="210"/>
      <c r="P107" s="210"/>
      <c r="Q107" s="210"/>
      <c r="R107" s="210">
        <f t="shared" ref="R107:R109" si="0">S100</f>
        <v>0</v>
      </c>
      <c r="S107" s="210"/>
      <c r="T107" s="210" t="s">
        <v>2</v>
      </c>
      <c r="U107" s="210"/>
      <c r="V107" s="210"/>
      <c r="W107" s="210"/>
      <c r="X107" s="210"/>
      <c r="Y107" s="210"/>
      <c r="Z107" s="210"/>
    </row>
    <row r="108" spans="1:26" s="213" customFormat="1">
      <c r="A108" s="220" t="s">
        <v>497</v>
      </c>
      <c r="B108" s="209">
        <f>COUNTA($B$1:B107)</f>
        <v>100</v>
      </c>
      <c r="C108" s="210" t="s">
        <v>919</v>
      </c>
      <c r="D108" s="215"/>
      <c r="E108" s="212"/>
      <c r="F108" s="209"/>
      <c r="G108" s="210" t="s">
        <v>498</v>
      </c>
      <c r="H108" s="210"/>
      <c r="I108" s="210" t="s">
        <v>55</v>
      </c>
      <c r="J108" s="210" t="s">
        <v>300</v>
      </c>
      <c r="K108" s="209">
        <v>0</v>
      </c>
      <c r="L108" s="210" t="s">
        <v>98</v>
      </c>
      <c r="M108" s="214"/>
      <c r="N108" s="210" t="s">
        <v>99</v>
      </c>
      <c r="O108" s="210"/>
      <c r="P108" s="210"/>
      <c r="Q108" s="210"/>
      <c r="R108" s="210">
        <f t="shared" si="0"/>
        <v>0</v>
      </c>
      <c r="S108" s="210"/>
      <c r="T108" s="210" t="s">
        <v>2</v>
      </c>
      <c r="U108" s="210"/>
      <c r="V108" s="210"/>
      <c r="W108" s="210"/>
      <c r="X108" s="210"/>
      <c r="Y108" s="210"/>
      <c r="Z108" s="210"/>
    </row>
    <row r="109" spans="1:26" s="213" customFormat="1">
      <c r="A109" s="220" t="s">
        <v>497</v>
      </c>
      <c r="B109" s="209">
        <f>COUNTA($B$1:B108)</f>
        <v>101</v>
      </c>
      <c r="C109" s="210" t="s">
        <v>920</v>
      </c>
      <c r="D109" s="215"/>
      <c r="E109" s="212"/>
      <c r="F109" s="209"/>
      <c r="G109" s="210" t="s">
        <v>498</v>
      </c>
      <c r="H109" s="210"/>
      <c r="I109" s="210" t="s">
        <v>55</v>
      </c>
      <c r="J109" s="210" t="s">
        <v>899</v>
      </c>
      <c r="K109" s="209">
        <v>0</v>
      </c>
      <c r="L109" s="210" t="s">
        <v>98</v>
      </c>
      <c r="M109" s="214"/>
      <c r="N109" s="210" t="s">
        <v>99</v>
      </c>
      <c r="O109" s="210"/>
      <c r="P109" s="210"/>
      <c r="Q109" s="210"/>
      <c r="R109" s="210">
        <f t="shared" si="0"/>
        <v>0</v>
      </c>
      <c r="S109" s="210"/>
      <c r="T109" s="210" t="s">
        <v>2</v>
      </c>
      <c r="U109" s="210"/>
      <c r="V109" s="210"/>
      <c r="W109" s="210"/>
      <c r="X109" s="210"/>
      <c r="Y109" s="210"/>
      <c r="Z109" s="210"/>
    </row>
    <row r="110" spans="1:26" s="213" customFormat="1">
      <c r="A110" s="220" t="s">
        <v>497</v>
      </c>
      <c r="B110" s="209">
        <f>COUNTA($B$1:B109)</f>
        <v>102</v>
      </c>
      <c r="C110" s="210" t="s">
        <v>905</v>
      </c>
      <c r="D110" s="215"/>
      <c r="E110" s="212"/>
      <c r="F110" s="209"/>
      <c r="G110" s="210" t="s">
        <v>498</v>
      </c>
      <c r="H110" s="210"/>
      <c r="I110" s="210" t="s">
        <v>55</v>
      </c>
      <c r="J110" s="210" t="s">
        <v>107</v>
      </c>
      <c r="K110" s="209">
        <v>0</v>
      </c>
      <c r="L110" s="210" t="s">
        <v>98</v>
      </c>
      <c r="M110" s="214"/>
      <c r="N110" s="210" t="s">
        <v>99</v>
      </c>
      <c r="O110" s="210"/>
      <c r="P110" s="210"/>
      <c r="Q110" s="210"/>
      <c r="R110" s="210"/>
      <c r="S110" s="210"/>
      <c r="T110" s="210"/>
      <c r="U110" s="210"/>
      <c r="V110" s="210"/>
      <c r="W110" s="210"/>
      <c r="X110" s="210"/>
      <c r="Y110" s="210"/>
      <c r="Z110" s="210"/>
    </row>
    <row r="111" spans="1:26" s="213" customFormat="1">
      <c r="A111" s="220" t="s">
        <v>497</v>
      </c>
      <c r="B111" s="209">
        <f>COUNTA($B$1:B110)</f>
        <v>103</v>
      </c>
      <c r="C111" s="210" t="s">
        <v>906</v>
      </c>
      <c r="D111" s="215"/>
      <c r="E111" s="212"/>
      <c r="F111" s="209"/>
      <c r="G111" s="210" t="s">
        <v>498</v>
      </c>
      <c r="H111" s="210"/>
      <c r="I111" s="210" t="s">
        <v>55</v>
      </c>
      <c r="J111" s="210" t="s">
        <v>838</v>
      </c>
      <c r="K111" s="209">
        <v>0</v>
      </c>
      <c r="L111" s="210" t="s">
        <v>98</v>
      </c>
      <c r="M111" s="214"/>
      <c r="N111" s="210" t="s">
        <v>99</v>
      </c>
      <c r="O111" s="210"/>
      <c r="P111" s="210"/>
      <c r="Q111" s="210"/>
      <c r="R111" s="210"/>
      <c r="S111" s="210"/>
      <c r="T111" s="210"/>
      <c r="U111" s="210"/>
      <c r="V111" s="210"/>
      <c r="W111" s="210"/>
      <c r="X111" s="210"/>
      <c r="Y111" s="210"/>
      <c r="Z111" s="210"/>
    </row>
    <row r="112" spans="1:26" s="213" customFormat="1">
      <c r="A112" s="220" t="s">
        <v>497</v>
      </c>
      <c r="B112" s="209">
        <f>COUNTA($B$1:B111)</f>
        <v>104</v>
      </c>
      <c r="C112" s="210" t="s">
        <v>922</v>
      </c>
      <c r="D112" s="215"/>
      <c r="E112" s="212"/>
      <c r="F112" s="209"/>
      <c r="G112" s="210" t="s">
        <v>498</v>
      </c>
      <c r="H112" s="210"/>
      <c r="I112" s="210" t="s">
        <v>55</v>
      </c>
      <c r="J112" s="210" t="s">
        <v>574</v>
      </c>
      <c r="K112" s="209">
        <v>0</v>
      </c>
      <c r="L112" s="210" t="s">
        <v>98</v>
      </c>
      <c r="M112" s="214"/>
      <c r="N112" s="210" t="s">
        <v>99</v>
      </c>
      <c r="O112" s="210"/>
      <c r="P112" s="210"/>
      <c r="Q112" s="210"/>
      <c r="R112" s="210"/>
      <c r="S112" s="210"/>
      <c r="T112" s="210"/>
      <c r="U112" s="210"/>
      <c r="V112" s="210"/>
      <c r="W112" s="210"/>
      <c r="X112" s="210"/>
      <c r="Y112" s="210"/>
      <c r="Z112" s="210"/>
    </row>
    <row r="113" spans="1:26" s="17" customFormat="1">
      <c r="A113" s="85" t="s">
        <v>497</v>
      </c>
      <c r="B113" s="72">
        <f>COUNTA($B$1:B112)</f>
        <v>105</v>
      </c>
      <c r="C113" s="73" t="s">
        <v>199</v>
      </c>
      <c r="D113" s="83"/>
      <c r="E113" s="84" t="s">
        <v>154</v>
      </c>
      <c r="F113" s="76"/>
      <c r="G113" s="73" t="s">
        <v>498</v>
      </c>
      <c r="H113" s="73"/>
      <c r="I113" s="73" t="s">
        <v>55</v>
      </c>
      <c r="J113" s="73" t="s">
        <v>200</v>
      </c>
      <c r="K113" s="72">
        <v>0</v>
      </c>
      <c r="L113" s="73" t="s">
        <v>147</v>
      </c>
      <c r="M113" s="74"/>
      <c r="N113" s="73"/>
      <c r="O113" s="73"/>
      <c r="P113" s="73"/>
      <c r="Q113" s="73"/>
      <c r="R113" s="73"/>
      <c r="S113" s="84"/>
      <c r="T113" s="73"/>
      <c r="U113" s="73"/>
      <c r="V113" s="73"/>
      <c r="W113" s="73"/>
      <c r="X113" s="73"/>
      <c r="Y113" s="73"/>
      <c r="Z113" s="73"/>
    </row>
    <row r="114" spans="1:26" s="19" customFormat="1" outlineLevel="1">
      <c r="A114" s="85" t="s">
        <v>497</v>
      </c>
      <c r="B114" s="72">
        <f>COUNTA($B$1:B113)</f>
        <v>106</v>
      </c>
      <c r="C114" s="73" t="s">
        <v>201</v>
      </c>
      <c r="D114" s="83"/>
      <c r="E114" s="84" t="s">
        <v>154</v>
      </c>
      <c r="F114" s="76"/>
      <c r="G114" s="73" t="s">
        <v>498</v>
      </c>
      <c r="H114" s="73"/>
      <c r="I114" s="73" t="s">
        <v>55</v>
      </c>
      <c r="J114" s="73" t="s">
        <v>202</v>
      </c>
      <c r="K114" s="72">
        <v>0</v>
      </c>
      <c r="L114" s="73" t="s">
        <v>0</v>
      </c>
      <c r="M114" s="82" t="s">
        <v>203</v>
      </c>
      <c r="N114" s="73"/>
      <c r="O114" s="73"/>
      <c r="P114" s="73"/>
      <c r="Q114" s="73"/>
      <c r="R114" s="73"/>
      <c r="S114" s="84"/>
      <c r="T114" s="73"/>
      <c r="U114" s="73"/>
      <c r="V114" s="73"/>
      <c r="W114" s="73"/>
      <c r="X114" s="73"/>
      <c r="Y114" s="73"/>
      <c r="Z114" s="73"/>
    </row>
    <row r="115" spans="1:26" s="19" customFormat="1" outlineLevel="1">
      <c r="A115" s="85" t="s">
        <v>497</v>
      </c>
      <c r="B115" s="72">
        <f>COUNTA($B$1:B114)</f>
        <v>107</v>
      </c>
      <c r="C115" s="73" t="s">
        <v>204</v>
      </c>
      <c r="D115" s="83"/>
      <c r="E115" s="84" t="s">
        <v>154</v>
      </c>
      <c r="F115" s="76"/>
      <c r="G115" s="73" t="s">
        <v>498</v>
      </c>
      <c r="H115" s="73"/>
      <c r="I115" s="73" t="s">
        <v>55</v>
      </c>
      <c r="J115" s="73" t="s">
        <v>205</v>
      </c>
      <c r="K115" s="72">
        <v>0</v>
      </c>
      <c r="L115" s="73" t="s">
        <v>0</v>
      </c>
      <c r="M115" s="82" t="s">
        <v>206</v>
      </c>
      <c r="N115" s="73"/>
      <c r="O115" s="73"/>
      <c r="P115" s="73"/>
      <c r="Q115" s="73"/>
      <c r="R115" s="73"/>
      <c r="S115" s="84"/>
      <c r="T115" s="73"/>
      <c r="U115" s="73"/>
      <c r="V115" s="73"/>
      <c r="W115" s="73"/>
      <c r="X115" s="73"/>
      <c r="Y115" s="73"/>
      <c r="Z115" s="73"/>
    </row>
    <row r="116" spans="1:26" s="17" customFormat="1">
      <c r="A116" s="85" t="s">
        <v>497</v>
      </c>
      <c r="B116" s="72">
        <f>COUNTA($B$1:B115)</f>
        <v>108</v>
      </c>
      <c r="C116" s="73" t="s">
        <v>226</v>
      </c>
      <c r="D116" s="83"/>
      <c r="E116" s="84"/>
      <c r="F116" s="72"/>
      <c r="G116" s="73" t="s">
        <v>498</v>
      </c>
      <c r="H116" s="73"/>
      <c r="I116" s="73"/>
      <c r="J116" s="73"/>
      <c r="K116" s="72"/>
      <c r="L116" s="73" t="s">
        <v>227</v>
      </c>
      <c r="M116" s="74" t="s">
        <v>79</v>
      </c>
      <c r="N116" s="73"/>
      <c r="O116" s="73"/>
      <c r="P116" s="73"/>
      <c r="Q116" s="73"/>
      <c r="R116" s="74"/>
      <c r="S116" s="73"/>
      <c r="T116" s="73"/>
      <c r="U116" s="73"/>
      <c r="V116" s="73"/>
      <c r="W116" s="73"/>
      <c r="X116" s="73"/>
      <c r="Y116" s="73"/>
      <c r="Z116" s="73"/>
    </row>
    <row r="117" spans="1:26" s="19" customFormat="1" outlineLevel="1">
      <c r="A117" s="85" t="s">
        <v>497</v>
      </c>
      <c r="B117" s="72">
        <f>COUNTA($B$1:B116)</f>
        <v>109</v>
      </c>
      <c r="C117" s="73" t="s">
        <v>207</v>
      </c>
      <c r="D117" s="73"/>
      <c r="E117" s="73"/>
      <c r="F117" s="72"/>
      <c r="G117" s="73" t="s">
        <v>498</v>
      </c>
      <c r="H117" s="73"/>
      <c r="I117" s="73" t="s">
        <v>55</v>
      </c>
      <c r="J117" s="73" t="s">
        <v>208</v>
      </c>
      <c r="K117" s="72">
        <v>0</v>
      </c>
      <c r="L117" s="73" t="s">
        <v>147</v>
      </c>
      <c r="M117" s="74"/>
      <c r="N117" s="73"/>
      <c r="O117" s="73"/>
      <c r="P117" s="73"/>
      <c r="Q117" s="73"/>
      <c r="R117" s="73"/>
      <c r="S117" s="73"/>
      <c r="T117" s="73"/>
      <c r="U117" s="73"/>
      <c r="V117" s="73"/>
      <c r="W117" s="73"/>
      <c r="X117" s="73"/>
      <c r="Y117" s="73"/>
      <c r="Z117" s="73"/>
    </row>
    <row r="118" spans="1:26" s="17" customFormat="1">
      <c r="A118" s="85" t="s">
        <v>497</v>
      </c>
      <c r="B118" s="72">
        <f>COUNTA($B$1:B117)</f>
        <v>110</v>
      </c>
      <c r="C118" s="73" t="s">
        <v>209</v>
      </c>
      <c r="D118" s="83"/>
      <c r="E118" s="84"/>
      <c r="F118" s="72"/>
      <c r="G118" s="73" t="s">
        <v>498</v>
      </c>
      <c r="H118" s="73"/>
      <c r="I118" s="73" t="s">
        <v>55</v>
      </c>
      <c r="J118" s="73" t="s">
        <v>210</v>
      </c>
      <c r="K118" s="72"/>
      <c r="L118" s="73" t="s">
        <v>98</v>
      </c>
      <c r="M118" s="73"/>
      <c r="N118" s="73" t="s">
        <v>99</v>
      </c>
      <c r="O118" s="73"/>
      <c r="P118" s="73"/>
      <c r="Q118" s="73"/>
      <c r="R118" s="73" t="str">
        <f>TEXT(M114,"mm/dd/yyyy") &amp; " - " &amp; TEXT(M115,"mm/dd/yyyy")</f>
        <v>PickUpDate - DropOffDate</v>
      </c>
      <c r="S118" s="84"/>
      <c r="T118" s="73" t="s">
        <v>2</v>
      </c>
      <c r="U118" s="73"/>
      <c r="V118" s="73"/>
      <c r="W118" s="73"/>
      <c r="X118" s="73"/>
      <c r="Y118" s="73"/>
      <c r="Z118" s="73"/>
    </row>
    <row r="119" spans="1:26" ht="12.75" customHeight="1">
      <c r="A119" s="85" t="s">
        <v>497</v>
      </c>
      <c r="B119" s="72">
        <f>COUNTA($B$1:B118)</f>
        <v>111</v>
      </c>
      <c r="C119" s="73" t="s">
        <v>201</v>
      </c>
      <c r="D119" s="83"/>
      <c r="E119" s="84" t="s">
        <v>154</v>
      </c>
      <c r="F119" s="76"/>
      <c r="G119" s="73" t="s">
        <v>498</v>
      </c>
      <c r="H119" s="73"/>
      <c r="I119" s="73" t="s">
        <v>55</v>
      </c>
      <c r="J119" s="73" t="s">
        <v>202</v>
      </c>
      <c r="K119" s="72">
        <v>0</v>
      </c>
      <c r="L119" s="73" t="s">
        <v>0</v>
      </c>
      <c r="M119" s="82" t="s">
        <v>211</v>
      </c>
      <c r="N119" s="73"/>
      <c r="O119" s="73"/>
      <c r="P119" s="73"/>
      <c r="Q119" s="73"/>
      <c r="R119" s="73"/>
      <c r="S119" s="84"/>
      <c r="T119" s="73"/>
      <c r="U119" s="73"/>
      <c r="V119" s="73"/>
      <c r="W119" s="73"/>
      <c r="X119" s="73"/>
      <c r="Y119" s="73"/>
      <c r="Z119" s="73"/>
    </row>
    <row r="120" spans="1:26">
      <c r="A120" s="85" t="s">
        <v>497</v>
      </c>
      <c r="B120" s="72">
        <f>COUNTA($B$1:B119)</f>
        <v>112</v>
      </c>
      <c r="C120" s="73" t="s">
        <v>204</v>
      </c>
      <c r="D120" s="83"/>
      <c r="E120" s="84" t="s">
        <v>154</v>
      </c>
      <c r="F120" s="76"/>
      <c r="G120" s="73" t="s">
        <v>498</v>
      </c>
      <c r="H120" s="73"/>
      <c r="I120" s="73" t="s">
        <v>55</v>
      </c>
      <c r="J120" s="73" t="s">
        <v>205</v>
      </c>
      <c r="K120" s="72">
        <v>0</v>
      </c>
      <c r="L120" s="73" t="s">
        <v>0</v>
      </c>
      <c r="M120" s="82" t="s">
        <v>212</v>
      </c>
      <c r="N120" s="73"/>
      <c r="O120" s="73"/>
      <c r="P120" s="73"/>
      <c r="Q120" s="73"/>
      <c r="R120" s="73"/>
      <c r="S120" s="84"/>
      <c r="T120" s="73"/>
      <c r="U120" s="73"/>
      <c r="V120" s="73"/>
      <c r="W120" s="73"/>
      <c r="X120" s="73"/>
      <c r="Y120" s="73"/>
      <c r="Z120" s="73"/>
    </row>
    <row r="121" spans="1:26">
      <c r="A121" s="85" t="s">
        <v>497</v>
      </c>
      <c r="B121" s="72">
        <f>COUNTA($B$1:B120)</f>
        <v>113</v>
      </c>
      <c r="C121" s="73" t="s">
        <v>226</v>
      </c>
      <c r="D121" s="83"/>
      <c r="E121" s="84"/>
      <c r="F121" s="72"/>
      <c r="G121" s="73" t="s">
        <v>498</v>
      </c>
      <c r="H121" s="73"/>
      <c r="I121" s="73"/>
      <c r="J121" s="73"/>
      <c r="K121" s="72"/>
      <c r="L121" s="73" t="s">
        <v>227</v>
      </c>
      <c r="M121" s="74" t="s">
        <v>79</v>
      </c>
      <c r="N121" s="73"/>
      <c r="O121" s="73"/>
      <c r="P121" s="73"/>
      <c r="Q121" s="73"/>
      <c r="R121" s="74"/>
      <c r="S121" s="73"/>
      <c r="T121" s="73"/>
      <c r="U121" s="73"/>
      <c r="V121" s="73"/>
      <c r="W121" s="73"/>
      <c r="X121" s="73"/>
      <c r="Y121" s="73"/>
      <c r="Z121" s="73"/>
    </row>
    <row r="122" spans="1:26" ht="12.75" customHeight="1">
      <c r="A122" s="85" t="s">
        <v>497</v>
      </c>
      <c r="B122" s="72">
        <f>COUNTA($B$1:B121)</f>
        <v>114</v>
      </c>
      <c r="C122" s="73" t="s">
        <v>207</v>
      </c>
      <c r="D122" s="73"/>
      <c r="E122" s="73"/>
      <c r="F122" s="72"/>
      <c r="G122" s="73" t="s">
        <v>498</v>
      </c>
      <c r="H122" s="73"/>
      <c r="I122" s="73" t="s">
        <v>55</v>
      </c>
      <c r="J122" s="73" t="s">
        <v>208</v>
      </c>
      <c r="K122" s="72">
        <v>0</v>
      </c>
      <c r="L122" s="73" t="s">
        <v>147</v>
      </c>
      <c r="M122" s="74"/>
      <c r="N122" s="73"/>
      <c r="O122" s="73"/>
      <c r="P122" s="73"/>
      <c r="Q122" s="73"/>
      <c r="R122" s="73"/>
      <c r="S122" s="73"/>
      <c r="T122" s="73"/>
      <c r="U122" s="73"/>
      <c r="V122" s="73"/>
      <c r="W122" s="73"/>
      <c r="X122" s="73"/>
      <c r="Y122" s="73"/>
      <c r="Z122" s="73"/>
    </row>
    <row r="123" spans="1:26" s="17" customFormat="1">
      <c r="A123" s="85" t="s">
        <v>497</v>
      </c>
      <c r="B123" s="72">
        <f>COUNTA($B$1:B122)</f>
        <v>115</v>
      </c>
      <c r="C123" s="73" t="s">
        <v>209</v>
      </c>
      <c r="D123" s="83"/>
      <c r="E123" s="84"/>
      <c r="F123" s="72"/>
      <c r="G123" s="73" t="s">
        <v>498</v>
      </c>
      <c r="H123" s="73"/>
      <c r="I123" s="73" t="s">
        <v>55</v>
      </c>
      <c r="J123" s="73" t="s">
        <v>213</v>
      </c>
      <c r="K123" s="72"/>
      <c r="L123" s="73" t="s">
        <v>98</v>
      </c>
      <c r="M123" s="73"/>
      <c r="N123" s="73" t="s">
        <v>99</v>
      </c>
      <c r="O123" s="73"/>
      <c r="P123" s="73"/>
      <c r="Q123" s="73"/>
      <c r="R123" s="73" t="str">
        <f>TEXT(M119,"mm/dd/yyyy") &amp; " - " &amp; TEXT(M120,"mm/dd/yyyy")</f>
        <v>PickUpDate1 - DropOffDate1</v>
      </c>
      <c r="S123" s="84"/>
      <c r="T123" s="73" t="s">
        <v>2</v>
      </c>
      <c r="U123" s="73"/>
      <c r="V123" s="73"/>
      <c r="W123" s="73"/>
      <c r="X123" s="73"/>
      <c r="Y123" s="73"/>
      <c r="Z123" s="73"/>
    </row>
    <row r="124" spans="1:26" s="17" customFormat="1">
      <c r="A124" s="85" t="s">
        <v>21</v>
      </c>
      <c r="B124" s="72">
        <f>COUNTA($B$1:B123)</f>
        <v>116</v>
      </c>
      <c r="C124" s="73" t="s">
        <v>201</v>
      </c>
      <c r="D124" s="83"/>
      <c r="E124" s="84" t="s">
        <v>154</v>
      </c>
      <c r="F124" s="76"/>
      <c r="G124" s="73" t="s">
        <v>498</v>
      </c>
      <c r="H124" s="73"/>
      <c r="I124" s="73" t="s">
        <v>55</v>
      </c>
      <c r="J124" s="73" t="s">
        <v>202</v>
      </c>
      <c r="K124" s="72">
        <v>0</v>
      </c>
      <c r="L124" s="73" t="s">
        <v>0</v>
      </c>
      <c r="M124" s="82" t="s">
        <v>214</v>
      </c>
      <c r="N124" s="73"/>
      <c r="O124" s="73"/>
      <c r="P124" s="73"/>
      <c r="Q124" s="73"/>
      <c r="R124" s="73"/>
      <c r="S124" s="84"/>
      <c r="T124" s="73"/>
      <c r="U124" s="73"/>
      <c r="V124" s="73"/>
      <c r="W124" s="73"/>
      <c r="X124" s="73"/>
      <c r="Y124" s="73"/>
      <c r="Z124" s="73"/>
    </row>
    <row r="125" spans="1:26" s="17" customFormat="1">
      <c r="A125" s="85" t="s">
        <v>21</v>
      </c>
      <c r="B125" s="72">
        <f>COUNTA($B$1:B124)</f>
        <v>117</v>
      </c>
      <c r="C125" s="73" t="s">
        <v>204</v>
      </c>
      <c r="D125" s="83"/>
      <c r="E125" s="84" t="s">
        <v>154</v>
      </c>
      <c r="F125" s="76"/>
      <c r="G125" s="73" t="s">
        <v>498</v>
      </c>
      <c r="H125" s="73"/>
      <c r="I125" s="73" t="s">
        <v>55</v>
      </c>
      <c r="J125" s="73" t="s">
        <v>205</v>
      </c>
      <c r="K125" s="72">
        <v>0</v>
      </c>
      <c r="L125" s="73" t="s">
        <v>0</v>
      </c>
      <c r="M125" s="82" t="s">
        <v>215</v>
      </c>
      <c r="N125" s="73"/>
      <c r="O125" s="73"/>
      <c r="P125" s="73"/>
      <c r="Q125" s="73"/>
      <c r="R125" s="73"/>
      <c r="S125" s="84"/>
      <c r="T125" s="73"/>
      <c r="U125" s="73"/>
      <c r="V125" s="73"/>
      <c r="W125" s="73"/>
      <c r="X125" s="73"/>
      <c r="Y125" s="73"/>
      <c r="Z125" s="73"/>
    </row>
    <row r="126" spans="1:26" s="17" customFormat="1">
      <c r="A126" s="85" t="s">
        <v>21</v>
      </c>
      <c r="B126" s="72">
        <f>COUNTA($B$1:B125)</f>
        <v>118</v>
      </c>
      <c r="C126" s="73" t="s">
        <v>226</v>
      </c>
      <c r="D126" s="83"/>
      <c r="E126" s="84"/>
      <c r="F126" s="72"/>
      <c r="G126" s="73" t="s">
        <v>498</v>
      </c>
      <c r="H126" s="73"/>
      <c r="I126" s="73"/>
      <c r="J126" s="73"/>
      <c r="K126" s="72"/>
      <c r="L126" s="73" t="s">
        <v>227</v>
      </c>
      <c r="M126" s="74" t="s">
        <v>79</v>
      </c>
      <c r="N126" s="73"/>
      <c r="O126" s="73"/>
      <c r="P126" s="73"/>
      <c r="Q126" s="73"/>
      <c r="R126" s="74"/>
      <c r="S126" s="73"/>
      <c r="T126" s="73"/>
      <c r="U126" s="73"/>
      <c r="V126" s="73"/>
      <c r="W126" s="73"/>
      <c r="X126" s="73"/>
      <c r="Y126" s="73"/>
      <c r="Z126" s="73"/>
    </row>
    <row r="127" spans="1:26" s="17" customFormat="1">
      <c r="A127" s="85" t="s">
        <v>21</v>
      </c>
      <c r="B127" s="72">
        <f>COUNTA($B$1:B126)</f>
        <v>119</v>
      </c>
      <c r="C127" s="73" t="s">
        <v>207</v>
      </c>
      <c r="D127" s="73"/>
      <c r="E127" s="73"/>
      <c r="F127" s="72"/>
      <c r="G127" s="73" t="s">
        <v>498</v>
      </c>
      <c r="H127" s="73"/>
      <c r="I127" s="73" t="s">
        <v>55</v>
      </c>
      <c r="J127" s="73" t="s">
        <v>208</v>
      </c>
      <c r="K127" s="72">
        <v>0</v>
      </c>
      <c r="L127" s="73" t="s">
        <v>147</v>
      </c>
      <c r="M127" s="74"/>
      <c r="N127" s="73"/>
      <c r="O127" s="73"/>
      <c r="P127" s="73"/>
      <c r="Q127" s="73"/>
      <c r="R127" s="73"/>
      <c r="S127" s="73"/>
      <c r="T127" s="73"/>
      <c r="U127" s="73"/>
      <c r="V127" s="73"/>
      <c r="W127" s="73"/>
      <c r="X127" s="73"/>
      <c r="Y127" s="73"/>
      <c r="Z127" s="73"/>
    </row>
    <row r="128" spans="1:26" s="17" customFormat="1">
      <c r="A128" s="85" t="s">
        <v>21</v>
      </c>
      <c r="B128" s="72">
        <f>COUNTA($B$1:B127)</f>
        <v>120</v>
      </c>
      <c r="C128" s="73" t="s">
        <v>209</v>
      </c>
      <c r="D128" s="83"/>
      <c r="E128" s="84"/>
      <c r="F128" s="72"/>
      <c r="G128" s="73" t="s">
        <v>498</v>
      </c>
      <c r="H128" s="73"/>
      <c r="I128" s="73" t="s">
        <v>55</v>
      </c>
      <c r="J128" s="73" t="s">
        <v>216</v>
      </c>
      <c r="K128" s="72">
        <v>0</v>
      </c>
      <c r="L128" s="73" t="s">
        <v>98</v>
      </c>
      <c r="M128" s="73"/>
      <c r="N128" s="73" t="s">
        <v>99</v>
      </c>
      <c r="O128" s="73"/>
      <c r="P128" s="73"/>
      <c r="Q128" s="73"/>
      <c r="R128" s="73" t="str">
        <f>TEXT(M124,"mm/dd/yyyy") &amp; " - " &amp; TEXT(M125,"mm/dd/yyyy")</f>
        <v>PickUpDate2 - DropOffDate2</v>
      </c>
      <c r="S128" s="84"/>
      <c r="T128" s="73" t="s">
        <v>2</v>
      </c>
      <c r="U128" s="73"/>
      <c r="V128" s="73"/>
      <c r="W128" s="73"/>
      <c r="X128" s="73"/>
      <c r="Y128" s="73"/>
      <c r="Z128" s="73"/>
    </row>
    <row r="129" spans="1:26" s="17" customFormat="1">
      <c r="A129" s="85" t="s">
        <v>497</v>
      </c>
      <c r="B129" s="72">
        <f>COUNTA($B$1:B128)</f>
        <v>121</v>
      </c>
      <c r="C129" s="73" t="s">
        <v>509</v>
      </c>
      <c r="D129" s="73"/>
      <c r="E129" s="73"/>
      <c r="F129" s="72"/>
      <c r="G129" s="73" t="s">
        <v>498</v>
      </c>
      <c r="H129" s="73"/>
      <c r="I129" s="73" t="s">
        <v>55</v>
      </c>
      <c r="J129" s="73" t="s">
        <v>510</v>
      </c>
      <c r="K129" s="72">
        <v>0</v>
      </c>
      <c r="L129" s="73" t="s">
        <v>98</v>
      </c>
      <c r="M129" s="73"/>
      <c r="N129" s="73" t="s">
        <v>99</v>
      </c>
      <c r="O129" s="73"/>
      <c r="P129" s="73"/>
      <c r="Q129" s="73"/>
      <c r="R129" s="73"/>
      <c r="S129" s="73"/>
      <c r="T129" s="73"/>
      <c r="U129" s="73"/>
      <c r="V129" s="73"/>
      <c r="W129" s="73"/>
      <c r="X129" s="73"/>
      <c r="Y129" s="73"/>
      <c r="Z129" s="73"/>
    </row>
    <row r="130" spans="1:26" s="213" customFormat="1">
      <c r="A130" s="220" t="s">
        <v>497</v>
      </c>
      <c r="B130" s="209">
        <f>COUNTA($B$1:B129)</f>
        <v>122</v>
      </c>
      <c r="C130" s="210" t="s">
        <v>902</v>
      </c>
      <c r="D130" s="215"/>
      <c r="E130" s="212"/>
      <c r="F130" s="209"/>
      <c r="G130" s="210" t="s">
        <v>498</v>
      </c>
      <c r="H130" s="210"/>
      <c r="I130" s="210" t="s">
        <v>55</v>
      </c>
      <c r="J130" s="210" t="s">
        <v>574</v>
      </c>
      <c r="K130" s="209">
        <v>0</v>
      </c>
      <c r="L130" s="210" t="s">
        <v>98</v>
      </c>
      <c r="M130" s="214"/>
      <c r="N130" s="210" t="s">
        <v>99</v>
      </c>
      <c r="O130" s="210"/>
      <c r="P130" s="210"/>
      <c r="Q130" s="210"/>
      <c r="R130" s="210"/>
      <c r="S130" s="210"/>
      <c r="T130" s="210"/>
      <c r="U130" s="210"/>
      <c r="V130" s="210"/>
      <c r="W130" s="210"/>
      <c r="X130" s="210"/>
      <c r="Y130" s="210"/>
      <c r="Z130" s="210"/>
    </row>
    <row r="131" spans="1:26" s="17" customFormat="1">
      <c r="A131" s="85" t="s">
        <v>497</v>
      </c>
      <c r="B131" s="72">
        <f>COUNTA($B$1:B130)</f>
        <v>123</v>
      </c>
      <c r="C131" s="73" t="s">
        <v>190</v>
      </c>
      <c r="D131" s="73"/>
      <c r="E131" s="73"/>
      <c r="F131" s="72"/>
      <c r="G131" s="73" t="s">
        <v>498</v>
      </c>
      <c r="H131" s="73"/>
      <c r="I131" s="73" t="s">
        <v>55</v>
      </c>
      <c r="J131" s="73" t="s">
        <v>87</v>
      </c>
      <c r="K131" s="72">
        <v>0</v>
      </c>
      <c r="L131" s="73" t="s">
        <v>147</v>
      </c>
      <c r="M131" s="74"/>
      <c r="N131" s="73"/>
      <c r="O131" s="73"/>
      <c r="P131" s="73"/>
      <c r="Q131" s="73"/>
      <c r="R131" s="73"/>
      <c r="S131" s="73"/>
      <c r="T131" s="73"/>
      <c r="U131" s="73"/>
      <c r="V131" s="73"/>
      <c r="W131" s="73"/>
      <c r="X131" s="73"/>
      <c r="Y131" s="73"/>
      <c r="Z131" s="73"/>
    </row>
    <row r="132" spans="1:26" ht="12.75" customHeight="1">
      <c r="A132" s="85" t="s">
        <v>497</v>
      </c>
      <c r="B132" s="72">
        <f>COUNTA($B$1:B131)</f>
        <v>124</v>
      </c>
      <c r="C132" s="73" t="s">
        <v>67</v>
      </c>
      <c r="D132" s="73"/>
      <c r="E132" s="73"/>
      <c r="F132" s="72"/>
      <c r="G132" s="73" t="s">
        <v>498</v>
      </c>
      <c r="H132" s="73"/>
      <c r="I132" s="73"/>
      <c r="J132" s="73"/>
      <c r="K132" s="72"/>
      <c r="L132" s="73" t="s">
        <v>67</v>
      </c>
      <c r="M132" s="74">
        <v>10</v>
      </c>
      <c r="N132" s="73"/>
      <c r="O132" s="73"/>
      <c r="P132" s="73"/>
      <c r="Q132" s="73"/>
      <c r="R132" s="74"/>
      <c r="S132" s="73"/>
      <c r="T132" s="73"/>
      <c r="U132" s="73"/>
      <c r="V132" s="73"/>
      <c r="W132" s="73"/>
      <c r="X132" s="73"/>
      <c r="Y132" s="73"/>
      <c r="Z132" s="73"/>
    </row>
    <row r="133" spans="1:26" s="12" customFormat="1" ht="12.75" customHeight="1">
      <c r="A133" s="30" t="s">
        <v>219</v>
      </c>
      <c r="B133" s="31"/>
      <c r="C133" s="31"/>
      <c r="D133" s="32"/>
      <c r="E133" s="32"/>
      <c r="F133" s="31"/>
      <c r="G133" s="32"/>
      <c r="H133" s="32"/>
      <c r="I133" s="32"/>
      <c r="J133" s="32"/>
      <c r="K133" s="31"/>
      <c r="L133" s="32"/>
      <c r="M133" s="32"/>
      <c r="N133" s="32"/>
      <c r="O133" s="32"/>
      <c r="P133" s="32"/>
      <c r="Q133" s="32"/>
      <c r="R133" s="32"/>
      <c r="S133" s="32"/>
      <c r="T133" s="32"/>
      <c r="U133" s="32"/>
      <c r="V133" s="32"/>
      <c r="W133" s="32"/>
      <c r="X133" s="32"/>
      <c r="Y133" s="32"/>
      <c r="Z133" s="32"/>
    </row>
    <row r="134" spans="1:26" s="213" customFormat="1">
      <c r="A134" s="208" t="s">
        <v>497</v>
      </c>
      <c r="B134" s="209">
        <f>COUNTA($B$1:B133)</f>
        <v>125</v>
      </c>
      <c r="C134" s="210" t="s">
        <v>921</v>
      </c>
      <c r="D134" s="210"/>
      <c r="E134" s="210"/>
      <c r="F134" s="209"/>
      <c r="G134" s="210" t="s">
        <v>498</v>
      </c>
      <c r="H134" s="210"/>
      <c r="I134" s="210" t="s">
        <v>55</v>
      </c>
      <c r="J134" s="210" t="s">
        <v>907</v>
      </c>
      <c r="K134" s="209">
        <v>0</v>
      </c>
      <c r="L134" s="210" t="s">
        <v>147</v>
      </c>
      <c r="M134" s="214"/>
      <c r="N134" s="210"/>
      <c r="O134" s="210"/>
      <c r="P134" s="210"/>
      <c r="Q134" s="210"/>
      <c r="R134" s="210"/>
      <c r="S134" s="210"/>
      <c r="T134" s="210"/>
      <c r="U134" s="210"/>
      <c r="V134" s="210"/>
      <c r="W134" s="210"/>
      <c r="X134" s="210"/>
      <c r="Y134" s="210"/>
      <c r="Z134" s="210"/>
    </row>
    <row r="135" spans="1:26" s="213" customFormat="1">
      <c r="A135" s="208" t="s">
        <v>497</v>
      </c>
      <c r="B135" s="209">
        <f>COUNTA($B$1:B134)</f>
        <v>126</v>
      </c>
      <c r="C135" s="210" t="s">
        <v>897</v>
      </c>
      <c r="D135" s="211"/>
      <c r="E135" s="212"/>
      <c r="F135" s="209"/>
      <c r="G135" s="210" t="s">
        <v>498</v>
      </c>
      <c r="H135" s="210"/>
      <c r="I135" s="210" t="s">
        <v>55</v>
      </c>
      <c r="J135" s="210" t="s">
        <v>898</v>
      </c>
      <c r="K135" s="209">
        <v>0</v>
      </c>
      <c r="L135" s="210" t="s">
        <v>98</v>
      </c>
      <c r="M135" s="210"/>
      <c r="N135" s="210" t="s">
        <v>99</v>
      </c>
      <c r="O135" s="210"/>
      <c r="P135" s="210"/>
      <c r="Q135" s="210"/>
      <c r="R135" s="210">
        <f>S106</f>
        <v>0</v>
      </c>
      <c r="S135" s="212"/>
      <c r="T135" s="210" t="s">
        <v>2</v>
      </c>
      <c r="U135" s="210"/>
      <c r="V135" s="210"/>
      <c r="W135" s="210"/>
      <c r="X135" s="212"/>
      <c r="Y135" s="212"/>
      <c r="Z135" s="212"/>
    </row>
    <row r="136" spans="1:26" s="213" customFormat="1">
      <c r="A136" s="208" t="s">
        <v>497</v>
      </c>
      <c r="B136" s="209">
        <f>COUNTA($B$1:B135)</f>
        <v>127</v>
      </c>
      <c r="C136" s="210" t="s">
        <v>297</v>
      </c>
      <c r="D136" s="215"/>
      <c r="E136" s="212"/>
      <c r="F136" s="209"/>
      <c r="G136" s="210" t="s">
        <v>498</v>
      </c>
      <c r="H136" s="210"/>
      <c r="I136" s="210" t="s">
        <v>55</v>
      </c>
      <c r="J136" s="210" t="s">
        <v>298</v>
      </c>
      <c r="K136" s="209">
        <v>0</v>
      </c>
      <c r="L136" s="210" t="s">
        <v>98</v>
      </c>
      <c r="M136" s="214"/>
      <c r="N136" s="210" t="s">
        <v>99</v>
      </c>
      <c r="O136" s="210"/>
      <c r="P136" s="210"/>
      <c r="Q136" s="210"/>
      <c r="R136" s="210">
        <f t="shared" ref="R136:R140" si="1">S107</f>
        <v>0</v>
      </c>
      <c r="S136" s="210"/>
      <c r="T136" s="210" t="s">
        <v>2</v>
      </c>
      <c r="U136" s="210"/>
      <c r="V136" s="210"/>
      <c r="W136" s="210"/>
      <c r="X136" s="210"/>
      <c r="Y136" s="210"/>
      <c r="Z136" s="210"/>
    </row>
    <row r="137" spans="1:26" s="213" customFormat="1">
      <c r="A137" s="208" t="s">
        <v>497</v>
      </c>
      <c r="B137" s="209">
        <f>COUNTA($B$1:B136)</f>
        <v>128</v>
      </c>
      <c r="C137" s="210" t="s">
        <v>299</v>
      </c>
      <c r="D137" s="215"/>
      <c r="E137" s="212"/>
      <c r="F137" s="209"/>
      <c r="G137" s="210" t="s">
        <v>498</v>
      </c>
      <c r="H137" s="210"/>
      <c r="I137" s="210" t="s">
        <v>55</v>
      </c>
      <c r="J137" s="210" t="s">
        <v>300</v>
      </c>
      <c r="K137" s="209">
        <v>0</v>
      </c>
      <c r="L137" s="210" t="s">
        <v>98</v>
      </c>
      <c r="M137" s="214"/>
      <c r="N137" s="210" t="s">
        <v>99</v>
      </c>
      <c r="O137" s="210"/>
      <c r="P137" s="210"/>
      <c r="Q137" s="210"/>
      <c r="R137" s="210">
        <f t="shared" si="1"/>
        <v>0</v>
      </c>
      <c r="S137" s="210"/>
      <c r="T137" s="210" t="s">
        <v>2</v>
      </c>
      <c r="U137" s="210"/>
      <c r="V137" s="210"/>
      <c r="W137" s="210"/>
      <c r="X137" s="210"/>
      <c r="Y137" s="210"/>
      <c r="Z137" s="210"/>
    </row>
    <row r="138" spans="1:26" s="213" customFormat="1">
      <c r="A138" s="208" t="s">
        <v>497</v>
      </c>
      <c r="B138" s="209">
        <f>COUNTA($B$1:B137)</f>
        <v>129</v>
      </c>
      <c r="C138" s="210" t="s">
        <v>903</v>
      </c>
      <c r="D138" s="215"/>
      <c r="E138" s="212"/>
      <c r="F138" s="209"/>
      <c r="G138" s="210" t="s">
        <v>498</v>
      </c>
      <c r="H138" s="210"/>
      <c r="I138" s="210" t="s">
        <v>55</v>
      </c>
      <c r="J138" s="210" t="s">
        <v>899</v>
      </c>
      <c r="K138" s="209">
        <v>0</v>
      </c>
      <c r="L138" s="210" t="s">
        <v>98</v>
      </c>
      <c r="M138" s="214"/>
      <c r="N138" s="210" t="s">
        <v>99</v>
      </c>
      <c r="O138" s="210"/>
      <c r="P138" s="210"/>
      <c r="Q138" s="210"/>
      <c r="R138" s="210">
        <f t="shared" si="1"/>
        <v>0</v>
      </c>
      <c r="S138" s="210"/>
      <c r="T138" s="210" t="s">
        <v>2</v>
      </c>
      <c r="U138" s="210"/>
      <c r="V138" s="210"/>
      <c r="W138" s="210"/>
      <c r="X138" s="210"/>
      <c r="Y138" s="210"/>
      <c r="Z138" s="210"/>
    </row>
    <row r="139" spans="1:26" s="213" customFormat="1">
      <c r="A139" s="208" t="s">
        <v>497</v>
      </c>
      <c r="B139" s="209">
        <f>COUNTA($B$1:B138)</f>
        <v>130</v>
      </c>
      <c r="C139" s="210" t="s">
        <v>301</v>
      </c>
      <c r="D139" s="215"/>
      <c r="E139" s="212"/>
      <c r="F139" s="209"/>
      <c r="G139" s="210" t="s">
        <v>498</v>
      </c>
      <c r="H139" s="210"/>
      <c r="I139" s="210" t="s">
        <v>55</v>
      </c>
      <c r="J139" s="210" t="s">
        <v>107</v>
      </c>
      <c r="K139" s="209">
        <v>0</v>
      </c>
      <c r="L139" s="210" t="s">
        <v>98</v>
      </c>
      <c r="M139" s="214"/>
      <c r="N139" s="210" t="s">
        <v>99</v>
      </c>
      <c r="O139" s="210"/>
      <c r="P139" s="210"/>
      <c r="Q139" s="210"/>
      <c r="R139" s="210">
        <f t="shared" si="1"/>
        <v>0</v>
      </c>
      <c r="S139" s="210"/>
      <c r="T139" s="210" t="s">
        <v>2</v>
      </c>
      <c r="U139" s="210"/>
      <c r="V139" s="210"/>
      <c r="W139" s="210"/>
      <c r="X139" s="210"/>
      <c r="Y139" s="210"/>
      <c r="Z139" s="210"/>
    </row>
    <row r="140" spans="1:26" s="213" customFormat="1">
      <c r="A140" s="208" t="s">
        <v>497</v>
      </c>
      <c r="B140" s="209">
        <f>COUNTA($B$1:B139)</f>
        <v>131</v>
      </c>
      <c r="C140" s="210" t="s">
        <v>924</v>
      </c>
      <c r="D140" s="215"/>
      <c r="E140" s="212"/>
      <c r="F140" s="209"/>
      <c r="G140" s="210" t="s">
        <v>498</v>
      </c>
      <c r="H140" s="210"/>
      <c r="I140" s="210" t="s">
        <v>55</v>
      </c>
      <c r="J140" s="210" t="s">
        <v>838</v>
      </c>
      <c r="K140" s="209">
        <v>0</v>
      </c>
      <c r="L140" s="210" t="s">
        <v>98</v>
      </c>
      <c r="M140" s="214"/>
      <c r="N140" s="210" t="s">
        <v>99</v>
      </c>
      <c r="O140" s="210"/>
      <c r="P140" s="210"/>
      <c r="Q140" s="210"/>
      <c r="R140" s="210">
        <f t="shared" si="1"/>
        <v>0</v>
      </c>
      <c r="S140" s="210"/>
      <c r="T140" s="210" t="s">
        <v>2</v>
      </c>
      <c r="U140" s="210"/>
      <c r="V140" s="210"/>
      <c r="W140" s="210"/>
      <c r="X140" s="210"/>
      <c r="Y140" s="210"/>
      <c r="Z140" s="210"/>
    </row>
    <row r="141" spans="1:26" s="213" customFormat="1">
      <c r="A141" s="208" t="s">
        <v>497</v>
      </c>
      <c r="B141" s="209">
        <f>COUNTA($B$1:B140)</f>
        <v>132</v>
      </c>
      <c r="C141" s="210" t="s">
        <v>909</v>
      </c>
      <c r="D141" s="211"/>
      <c r="E141" s="212" t="s">
        <v>154</v>
      </c>
      <c r="F141" s="209"/>
      <c r="G141" s="210" t="s">
        <v>498</v>
      </c>
      <c r="H141" s="210"/>
      <c r="I141" s="210" t="s">
        <v>55</v>
      </c>
      <c r="J141" s="210" t="s">
        <v>911</v>
      </c>
      <c r="K141" s="209">
        <v>0</v>
      </c>
      <c r="L141" s="210" t="s">
        <v>98</v>
      </c>
      <c r="M141" s="214"/>
      <c r="N141" s="210" t="s">
        <v>99</v>
      </c>
      <c r="O141" s="210"/>
      <c r="P141" s="210"/>
      <c r="Q141" s="210"/>
      <c r="R141" s="216"/>
      <c r="S141" s="212"/>
      <c r="T141" s="210"/>
      <c r="U141" s="210"/>
      <c r="V141" s="210"/>
      <c r="W141" s="210"/>
      <c r="X141" s="210"/>
      <c r="Y141" s="210"/>
      <c r="Z141" s="210"/>
    </row>
    <row r="142" spans="1:26" s="213" customFormat="1">
      <c r="A142" s="208" t="s">
        <v>497</v>
      </c>
      <c r="B142" s="209">
        <f>COUNTA($B$1:B141)</f>
        <v>133</v>
      </c>
      <c r="C142" s="210" t="s">
        <v>310</v>
      </c>
      <c r="D142" s="215"/>
      <c r="E142" s="212"/>
      <c r="F142" s="209"/>
      <c r="G142" s="210" t="s">
        <v>498</v>
      </c>
      <c r="H142" s="210"/>
      <c r="I142" s="210" t="s">
        <v>55</v>
      </c>
      <c r="J142" s="210" t="s">
        <v>574</v>
      </c>
      <c r="K142" s="209">
        <v>0</v>
      </c>
      <c r="L142" s="210" t="s">
        <v>98</v>
      </c>
      <c r="M142" s="214"/>
      <c r="N142" s="210" t="s">
        <v>99</v>
      </c>
      <c r="O142" s="210"/>
      <c r="P142" s="210"/>
      <c r="Q142" s="210"/>
      <c r="R142" s="210">
        <f>S130</f>
        <v>0</v>
      </c>
      <c r="S142" s="210"/>
      <c r="T142" s="210" t="s">
        <v>2</v>
      </c>
      <c r="U142" s="210"/>
      <c r="V142" s="210"/>
      <c r="W142" s="210"/>
      <c r="X142" s="210"/>
      <c r="Y142" s="210"/>
      <c r="Z142" s="210"/>
    </row>
    <row r="143" spans="1:26" s="16" customFormat="1" outlineLevel="1">
      <c r="A143" s="85" t="s">
        <v>497</v>
      </c>
      <c r="B143" s="72">
        <f>COUNTA($B$1:B142)</f>
        <v>134</v>
      </c>
      <c r="C143" s="73" t="s">
        <v>220</v>
      </c>
      <c r="D143" s="73"/>
      <c r="E143" s="73"/>
      <c r="F143" s="72"/>
      <c r="G143" s="73" t="s">
        <v>498</v>
      </c>
      <c r="H143" s="73"/>
      <c r="I143" s="73" t="s">
        <v>55</v>
      </c>
      <c r="J143" s="73" t="s">
        <v>221</v>
      </c>
      <c r="K143" s="72">
        <v>0</v>
      </c>
      <c r="L143" s="73" t="s">
        <v>0</v>
      </c>
      <c r="M143" s="82" t="s">
        <v>288</v>
      </c>
      <c r="N143" s="73"/>
      <c r="O143" s="73"/>
      <c r="P143" s="73"/>
      <c r="Q143" s="73"/>
      <c r="R143" s="84"/>
      <c r="S143" s="73"/>
      <c r="T143" s="73"/>
      <c r="U143" s="73"/>
      <c r="V143" s="73"/>
      <c r="W143" s="73"/>
      <c r="X143" s="73"/>
      <c r="Y143" s="73"/>
      <c r="Z143" s="73"/>
    </row>
    <row r="144" spans="1:26" s="17" customFormat="1">
      <c r="A144" s="85" t="s">
        <v>497</v>
      </c>
      <c r="B144" s="72">
        <f>COUNTA($B$1:B143)</f>
        <v>135</v>
      </c>
      <c r="C144" s="73" t="s">
        <v>103</v>
      </c>
      <c r="D144" s="73"/>
      <c r="E144" s="73"/>
      <c r="F144" s="72"/>
      <c r="G144" s="73" t="s">
        <v>498</v>
      </c>
      <c r="H144" s="73"/>
      <c r="I144" s="73" t="s">
        <v>55</v>
      </c>
      <c r="J144" s="73" t="s">
        <v>105</v>
      </c>
      <c r="K144" s="72">
        <v>0</v>
      </c>
      <c r="L144" s="73" t="s">
        <v>0</v>
      </c>
      <c r="M144" s="82" t="s">
        <v>291</v>
      </c>
      <c r="N144" s="73"/>
      <c r="O144" s="73"/>
      <c r="P144" s="73"/>
      <c r="Q144" s="73"/>
      <c r="R144" s="84"/>
      <c r="S144" s="73"/>
      <c r="T144" s="73"/>
      <c r="U144" s="73"/>
      <c r="V144" s="73"/>
      <c r="W144" s="73"/>
      <c r="X144" s="73"/>
      <c r="Y144" s="73"/>
      <c r="Z144" s="73"/>
    </row>
    <row r="145" spans="1:26" s="17" customFormat="1">
      <c r="A145" s="85" t="s">
        <v>497</v>
      </c>
      <c r="B145" s="72">
        <f>COUNTA($B$1:B144)</f>
        <v>136</v>
      </c>
      <c r="C145" s="73" t="s">
        <v>224</v>
      </c>
      <c r="D145" s="73"/>
      <c r="E145" s="73"/>
      <c r="F145" s="72"/>
      <c r="G145" s="73" t="s">
        <v>498</v>
      </c>
      <c r="H145" s="73"/>
      <c r="I145" s="73" t="s">
        <v>55</v>
      </c>
      <c r="J145" s="73" t="s">
        <v>83</v>
      </c>
      <c r="K145" s="72">
        <v>0</v>
      </c>
      <c r="L145" s="73" t="s">
        <v>0</v>
      </c>
      <c r="M145" s="82" t="s">
        <v>294</v>
      </c>
      <c r="N145" s="73"/>
      <c r="O145" s="73"/>
      <c r="P145" s="73"/>
      <c r="Q145" s="73"/>
      <c r="R145" s="84"/>
      <c r="S145" s="73"/>
      <c r="T145" s="73"/>
      <c r="U145" s="73"/>
      <c r="V145" s="73"/>
      <c r="W145" s="73"/>
      <c r="X145" s="73"/>
      <c r="Y145" s="73"/>
      <c r="Z145" s="73"/>
    </row>
    <row r="146" spans="1:26" s="17" customFormat="1">
      <c r="A146" s="85" t="s">
        <v>497</v>
      </c>
      <c r="B146" s="72">
        <f>COUNTA($B$1:B145)</f>
        <v>137</v>
      </c>
      <c r="C146" s="73" t="s">
        <v>226</v>
      </c>
      <c r="D146" s="83"/>
      <c r="E146" s="84"/>
      <c r="F146" s="72"/>
      <c r="G146" s="73" t="s">
        <v>498</v>
      </c>
      <c r="H146" s="73"/>
      <c r="I146" s="73"/>
      <c r="J146" s="73"/>
      <c r="K146" s="72"/>
      <c r="L146" s="73" t="s">
        <v>227</v>
      </c>
      <c r="M146" s="74" t="s">
        <v>79</v>
      </c>
      <c r="N146" s="73"/>
      <c r="O146" s="73"/>
      <c r="P146" s="73"/>
      <c r="Q146" s="73"/>
      <c r="R146" s="73"/>
      <c r="S146" s="84"/>
      <c r="T146" s="73"/>
      <c r="U146" s="73"/>
      <c r="V146" s="73"/>
      <c r="W146" s="73"/>
      <c r="X146" s="84"/>
      <c r="Y146" s="84"/>
      <c r="Z146" s="84"/>
    </row>
    <row r="147" spans="1:26" s="17" customFormat="1">
      <c r="A147" s="85" t="s">
        <v>497</v>
      </c>
      <c r="B147" s="72">
        <f>COUNTA($B$1:B146)</f>
        <v>138</v>
      </c>
      <c r="C147" s="73" t="s">
        <v>67</v>
      </c>
      <c r="D147" s="73"/>
      <c r="E147" s="73"/>
      <c r="F147" s="72"/>
      <c r="G147" s="73" t="s">
        <v>498</v>
      </c>
      <c r="H147" s="73"/>
      <c r="I147" s="73"/>
      <c r="J147" s="73"/>
      <c r="K147" s="72"/>
      <c r="L147" s="73" t="s">
        <v>67</v>
      </c>
      <c r="M147" s="74">
        <v>10</v>
      </c>
      <c r="N147" s="73"/>
      <c r="O147" s="73"/>
      <c r="P147" s="73"/>
      <c r="Q147" s="73"/>
      <c r="R147" s="74"/>
      <c r="S147" s="73"/>
      <c r="T147" s="73"/>
      <c r="U147" s="73"/>
      <c r="V147" s="73"/>
      <c r="W147" s="73"/>
      <c r="X147" s="73"/>
      <c r="Y147" s="73"/>
      <c r="Z147" s="73"/>
    </row>
    <row r="148" spans="1:26" s="17" customFormat="1">
      <c r="A148" s="85" t="s">
        <v>497</v>
      </c>
      <c r="B148" s="72">
        <f>COUNTA($B$1:B147)</f>
        <v>139</v>
      </c>
      <c r="C148" s="73" t="s">
        <v>417</v>
      </c>
      <c r="D148" s="73"/>
      <c r="E148" s="73"/>
      <c r="F148" s="72"/>
      <c r="G148" s="73" t="s">
        <v>498</v>
      </c>
      <c r="H148" s="73"/>
      <c r="I148" s="73" t="s">
        <v>55</v>
      </c>
      <c r="J148" s="73" t="s">
        <v>418</v>
      </c>
      <c r="K148" s="72">
        <v>0</v>
      </c>
      <c r="L148" s="73" t="s">
        <v>147</v>
      </c>
      <c r="M148" s="74"/>
      <c r="N148" s="73"/>
      <c r="O148" s="73"/>
      <c r="P148" s="73"/>
      <c r="Q148" s="73"/>
      <c r="R148" s="73"/>
      <c r="S148" s="84"/>
      <c r="T148" s="73"/>
      <c r="U148" s="73"/>
      <c r="V148" s="73"/>
      <c r="W148" s="73"/>
      <c r="X148" s="84"/>
      <c r="Y148" s="84"/>
      <c r="Z148" s="84"/>
    </row>
    <row r="149" spans="1:26" s="17" customFormat="1">
      <c r="A149" s="85" t="s">
        <v>497</v>
      </c>
      <c r="B149" s="72">
        <f>COUNTA($B$1:B148)</f>
        <v>140</v>
      </c>
      <c r="C149" s="73" t="s">
        <v>67</v>
      </c>
      <c r="D149" s="73"/>
      <c r="E149" s="73"/>
      <c r="F149" s="72"/>
      <c r="G149" s="73" t="s">
        <v>498</v>
      </c>
      <c r="H149" s="73"/>
      <c r="I149" s="73"/>
      <c r="J149" s="73"/>
      <c r="K149" s="72"/>
      <c r="L149" s="73" t="s">
        <v>67</v>
      </c>
      <c r="M149" s="74">
        <v>5</v>
      </c>
      <c r="N149" s="73"/>
      <c r="O149" s="73"/>
      <c r="P149" s="73"/>
      <c r="Q149" s="73"/>
      <c r="R149" s="74"/>
      <c r="S149" s="73"/>
      <c r="T149" s="73"/>
      <c r="U149" s="73"/>
      <c r="V149" s="73"/>
      <c r="W149" s="73"/>
      <c r="X149" s="73"/>
      <c r="Y149" s="73"/>
      <c r="Z149" s="73"/>
    </row>
    <row r="150" spans="1:26" s="17" customFormat="1">
      <c r="A150" s="85" t="s">
        <v>497</v>
      </c>
      <c r="B150" s="72">
        <f>COUNTA($B$1:B149)</f>
        <v>141</v>
      </c>
      <c r="C150" s="73" t="s">
        <v>85</v>
      </c>
      <c r="D150" s="73"/>
      <c r="E150" s="73"/>
      <c r="F150" s="72"/>
      <c r="G150" s="73" t="s">
        <v>498</v>
      </c>
      <c r="H150" s="73"/>
      <c r="I150" s="73" t="s">
        <v>55</v>
      </c>
      <c r="J150" s="73" t="s">
        <v>87</v>
      </c>
      <c r="K150" s="72">
        <v>0</v>
      </c>
      <c r="L150" s="73" t="s">
        <v>147</v>
      </c>
      <c r="M150" s="74"/>
      <c r="N150" s="73"/>
      <c r="O150" s="73"/>
      <c r="P150" s="73"/>
      <c r="Q150" s="73"/>
      <c r="R150" s="74"/>
      <c r="S150" s="73"/>
      <c r="T150" s="73"/>
      <c r="U150" s="73"/>
      <c r="V150" s="73"/>
      <c r="W150" s="73"/>
      <c r="X150" s="73"/>
      <c r="Y150" s="73"/>
      <c r="Z150" s="73"/>
    </row>
    <row r="151" spans="1:26" s="17" customFormat="1">
      <c r="A151" s="85" t="s">
        <v>497</v>
      </c>
      <c r="B151" s="72">
        <f>COUNTA($B$1:B150)</f>
        <v>142</v>
      </c>
      <c r="C151" s="73" t="s">
        <v>67</v>
      </c>
      <c r="D151" s="73"/>
      <c r="E151" s="73"/>
      <c r="F151" s="72"/>
      <c r="G151" s="73" t="s">
        <v>498</v>
      </c>
      <c r="H151" s="73"/>
      <c r="I151" s="73"/>
      <c r="J151" s="73"/>
      <c r="K151" s="72"/>
      <c r="L151" s="73" t="s">
        <v>67</v>
      </c>
      <c r="M151" s="74">
        <v>10</v>
      </c>
      <c r="N151" s="73"/>
      <c r="O151" s="73"/>
      <c r="P151" s="73"/>
      <c r="Q151" s="73"/>
      <c r="R151" s="179"/>
      <c r="S151" s="73"/>
      <c r="T151" s="73"/>
      <c r="U151" s="73"/>
      <c r="V151" s="73"/>
      <c r="W151" s="73"/>
      <c r="X151" s="73"/>
      <c r="Y151" s="73"/>
      <c r="Z151" s="73"/>
    </row>
    <row r="152" spans="1:26" s="17" customFormat="1">
      <c r="A152" s="85" t="s">
        <v>497</v>
      </c>
      <c r="B152" s="72">
        <f>COUNTA($B$1:B151)</f>
        <v>143</v>
      </c>
      <c r="C152" s="73" t="s">
        <v>805</v>
      </c>
      <c r="D152" s="83"/>
      <c r="E152" s="84"/>
      <c r="F152" s="72"/>
      <c r="G152" s="73" t="s">
        <v>498</v>
      </c>
      <c r="H152" s="73"/>
      <c r="I152" s="73" t="s">
        <v>55</v>
      </c>
      <c r="J152" s="73" t="s">
        <v>807</v>
      </c>
      <c r="K152" s="72">
        <v>0</v>
      </c>
      <c r="L152" s="73" t="s">
        <v>98</v>
      </c>
      <c r="M152" s="73"/>
      <c r="N152" s="73" t="s">
        <v>99</v>
      </c>
      <c r="O152" s="73"/>
      <c r="P152" s="73"/>
      <c r="Q152" s="73"/>
      <c r="R152" s="74" t="s">
        <v>806</v>
      </c>
      <c r="S152" s="73"/>
      <c r="T152" s="73" t="s">
        <v>2</v>
      </c>
      <c r="U152" s="73"/>
      <c r="V152" s="73"/>
      <c r="W152" s="73"/>
      <c r="X152" s="73"/>
      <c r="Y152" s="73"/>
      <c r="Z152" s="73"/>
    </row>
    <row r="153" spans="1:26" s="17" customFormat="1">
      <c r="A153" s="85" t="s">
        <v>497</v>
      </c>
      <c r="B153" s="72">
        <f>COUNTA($B$1:B152)</f>
        <v>144</v>
      </c>
      <c r="C153" s="73" t="s">
        <v>228</v>
      </c>
      <c r="D153" s="73"/>
      <c r="E153" s="73"/>
      <c r="F153" s="72"/>
      <c r="G153" s="73" t="s">
        <v>498</v>
      </c>
      <c r="H153" s="73"/>
      <c r="I153" s="73" t="s">
        <v>55</v>
      </c>
      <c r="J153" s="73" t="s">
        <v>229</v>
      </c>
      <c r="K153" s="72">
        <v>0</v>
      </c>
      <c r="L153" s="73" t="s">
        <v>0</v>
      </c>
      <c r="M153" s="82" t="s">
        <v>230</v>
      </c>
      <c r="N153" s="73"/>
      <c r="O153" s="73"/>
      <c r="P153" s="73"/>
      <c r="Q153" s="73"/>
      <c r="R153" s="84"/>
      <c r="S153" s="73"/>
      <c r="T153" s="73"/>
      <c r="U153" s="73"/>
      <c r="V153" s="73"/>
      <c r="W153" s="73"/>
      <c r="X153" s="73"/>
      <c r="Y153" s="73"/>
      <c r="Z153" s="73"/>
    </row>
    <row r="154" spans="1:26" s="17" customFormat="1">
      <c r="A154" s="85" t="s">
        <v>497</v>
      </c>
      <c r="B154" s="72">
        <f>COUNTA($B$1:B153)</f>
        <v>145</v>
      </c>
      <c r="C154" s="73" t="s">
        <v>89</v>
      </c>
      <c r="D154" s="73"/>
      <c r="E154" s="73"/>
      <c r="F154" s="72"/>
      <c r="G154" s="73" t="s">
        <v>498</v>
      </c>
      <c r="H154" s="73"/>
      <c r="I154" s="73" t="s">
        <v>55</v>
      </c>
      <c r="J154" s="73" t="s">
        <v>231</v>
      </c>
      <c r="K154" s="72">
        <v>0</v>
      </c>
      <c r="L154" s="73" t="s">
        <v>0</v>
      </c>
      <c r="M154" s="82" t="s">
        <v>816</v>
      </c>
      <c r="N154" s="73"/>
      <c r="O154" s="73"/>
      <c r="P154" s="73"/>
      <c r="Q154" s="73"/>
      <c r="R154" s="84"/>
      <c r="S154" s="73"/>
      <c r="T154" s="73"/>
      <c r="U154" s="73"/>
      <c r="V154" s="73"/>
      <c r="W154" s="73"/>
      <c r="X154" s="73"/>
      <c r="Y154" s="73"/>
      <c r="Z154" s="73"/>
    </row>
    <row r="155" spans="1:26" s="17" customFormat="1">
      <c r="A155" s="85" t="s">
        <v>497</v>
      </c>
      <c r="B155" s="72">
        <f>COUNTA($B$1:B154)</f>
        <v>146</v>
      </c>
      <c r="C155" s="73" t="s">
        <v>232</v>
      </c>
      <c r="D155" s="73"/>
      <c r="E155" s="73"/>
      <c r="F155" s="72"/>
      <c r="G155" s="73" t="s">
        <v>498</v>
      </c>
      <c r="H155" s="73"/>
      <c r="I155" s="73" t="s">
        <v>55</v>
      </c>
      <c r="J155" s="73" t="s">
        <v>233</v>
      </c>
      <c r="K155" s="72">
        <v>0</v>
      </c>
      <c r="L155" s="73" t="s">
        <v>0</v>
      </c>
      <c r="M155" s="82" t="s">
        <v>818</v>
      </c>
      <c r="N155" s="73"/>
      <c r="O155" s="73"/>
      <c r="P155" s="73"/>
      <c r="Q155" s="73"/>
      <c r="R155" s="84"/>
      <c r="S155" s="73"/>
      <c r="T155" s="73"/>
      <c r="U155" s="73"/>
      <c r="V155" s="73"/>
      <c r="W155" s="73"/>
      <c r="X155" s="73"/>
      <c r="Y155" s="73"/>
      <c r="Z155" s="73"/>
    </row>
    <row r="156" spans="1:26" s="17" customFormat="1">
      <c r="A156" s="85" t="s">
        <v>497</v>
      </c>
      <c r="B156" s="72">
        <f>COUNTA($B$1:B155)</f>
        <v>147</v>
      </c>
      <c r="C156" s="73" t="s">
        <v>235</v>
      </c>
      <c r="D156" s="73"/>
      <c r="E156" s="73"/>
      <c r="F156" s="72"/>
      <c r="G156" s="73" t="s">
        <v>498</v>
      </c>
      <c r="H156" s="73"/>
      <c r="I156" s="73" t="s">
        <v>55</v>
      </c>
      <c r="J156" s="73" t="s">
        <v>236</v>
      </c>
      <c r="K156" s="72">
        <v>0</v>
      </c>
      <c r="L156" s="73" t="s">
        <v>0</v>
      </c>
      <c r="M156" s="82" t="s">
        <v>282</v>
      </c>
      <c r="N156" s="73"/>
      <c r="O156" s="73"/>
      <c r="P156" s="73"/>
      <c r="Q156" s="73"/>
      <c r="R156" s="84"/>
      <c r="S156" s="73"/>
      <c r="T156" s="73"/>
      <c r="U156" s="73"/>
      <c r="V156" s="73"/>
      <c r="W156" s="73"/>
      <c r="X156" s="73"/>
      <c r="Y156" s="73"/>
      <c r="Z156" s="73"/>
    </row>
    <row r="157" spans="1:26" s="17" customFormat="1">
      <c r="A157" s="85" t="s">
        <v>497</v>
      </c>
      <c r="B157" s="72">
        <f>COUNTA($B$1:B156)</f>
        <v>148</v>
      </c>
      <c r="C157" s="73" t="s">
        <v>238</v>
      </c>
      <c r="D157" s="73"/>
      <c r="E157" s="73"/>
      <c r="F157" s="72"/>
      <c r="G157" s="73" t="s">
        <v>498</v>
      </c>
      <c r="H157" s="73"/>
      <c r="I157" s="73" t="s">
        <v>55</v>
      </c>
      <c r="J157" s="73" t="s">
        <v>90</v>
      </c>
      <c r="K157" s="72">
        <v>0</v>
      </c>
      <c r="L157" s="73" t="s">
        <v>0</v>
      </c>
      <c r="M157" s="82" t="s">
        <v>283</v>
      </c>
      <c r="N157" s="73"/>
      <c r="O157" s="73"/>
      <c r="P157" s="73"/>
      <c r="Q157" s="73"/>
      <c r="R157" s="84"/>
      <c r="S157" s="73"/>
      <c r="T157" s="73"/>
      <c r="U157" s="73"/>
      <c r="V157" s="73"/>
      <c r="W157" s="73"/>
      <c r="X157" s="73"/>
      <c r="Y157" s="73"/>
      <c r="Z157" s="73"/>
    </row>
    <row r="158" spans="1:26" s="17" customFormat="1">
      <c r="A158" s="85" t="s">
        <v>497</v>
      </c>
      <c r="B158" s="72">
        <f>COUNTA($B$1:B157)</f>
        <v>149</v>
      </c>
      <c r="C158" s="73" t="s">
        <v>240</v>
      </c>
      <c r="D158" s="73"/>
      <c r="E158" s="73"/>
      <c r="F158" s="72"/>
      <c r="G158" s="73" t="s">
        <v>498</v>
      </c>
      <c r="H158" s="73"/>
      <c r="I158" s="73" t="s">
        <v>55</v>
      </c>
      <c r="J158" s="73" t="s">
        <v>241</v>
      </c>
      <c r="K158" s="72">
        <v>0</v>
      </c>
      <c r="L158" s="73" t="s">
        <v>0</v>
      </c>
      <c r="M158" s="82" t="s">
        <v>242</v>
      </c>
      <c r="N158" s="73"/>
      <c r="O158" s="73"/>
      <c r="P158" s="73"/>
      <c r="Q158" s="73"/>
      <c r="R158" s="84"/>
      <c r="S158" s="73"/>
      <c r="T158" s="73"/>
      <c r="U158" s="73"/>
      <c r="V158" s="73"/>
      <c r="W158" s="73"/>
      <c r="X158" s="73"/>
      <c r="Y158" s="73"/>
      <c r="Z158" s="73"/>
    </row>
    <row r="159" spans="1:26" s="17" customFormat="1">
      <c r="A159" s="85" t="s">
        <v>497</v>
      </c>
      <c r="B159" s="72">
        <f>COUNTA($B$1:B158)</f>
        <v>150</v>
      </c>
      <c r="C159" s="73" t="s">
        <v>226</v>
      </c>
      <c r="D159" s="83"/>
      <c r="E159" s="84"/>
      <c r="F159" s="72"/>
      <c r="G159" s="73" t="s">
        <v>498</v>
      </c>
      <c r="H159" s="73"/>
      <c r="I159" s="73"/>
      <c r="J159" s="73"/>
      <c r="K159" s="72"/>
      <c r="L159" s="73" t="s">
        <v>227</v>
      </c>
      <c r="M159" s="74" t="s">
        <v>79</v>
      </c>
      <c r="N159" s="73"/>
      <c r="O159" s="73"/>
      <c r="P159" s="73"/>
      <c r="Q159" s="73"/>
      <c r="R159" s="73"/>
      <c r="S159" s="73"/>
      <c r="T159" s="73"/>
      <c r="U159" s="73"/>
      <c r="V159" s="73"/>
      <c r="W159" s="73"/>
      <c r="X159" s="73"/>
      <c r="Y159" s="73"/>
      <c r="Z159" s="73"/>
    </row>
    <row r="160" spans="1:26" s="17" customFormat="1">
      <c r="A160" s="85" t="s">
        <v>497</v>
      </c>
      <c r="B160" s="72">
        <f>COUNTA($B$1:B159)</f>
        <v>151</v>
      </c>
      <c r="C160" s="73" t="s">
        <v>85</v>
      </c>
      <c r="D160" s="73"/>
      <c r="E160" s="73"/>
      <c r="F160" s="72"/>
      <c r="G160" s="73" t="s">
        <v>498</v>
      </c>
      <c r="H160" s="73"/>
      <c r="I160" s="73" t="s">
        <v>55</v>
      </c>
      <c r="J160" s="73" t="s">
        <v>87</v>
      </c>
      <c r="K160" s="72">
        <v>0</v>
      </c>
      <c r="L160" s="73" t="s">
        <v>147</v>
      </c>
      <c r="M160" s="74"/>
      <c r="N160" s="73"/>
      <c r="O160" s="73"/>
      <c r="P160" s="73"/>
      <c r="Q160" s="73"/>
      <c r="R160" s="73"/>
      <c r="S160" s="73"/>
      <c r="T160" s="73"/>
      <c r="U160" s="73"/>
      <c r="V160" s="73"/>
      <c r="W160" s="73"/>
      <c r="X160" s="73"/>
      <c r="Y160" s="73"/>
      <c r="Z160" s="73"/>
    </row>
    <row r="161" spans="1:26" s="17" customFormat="1">
      <c r="A161" s="85" t="s">
        <v>497</v>
      </c>
      <c r="B161" s="72">
        <f>COUNTA($B$1:B160)</f>
        <v>152</v>
      </c>
      <c r="C161" s="73" t="s">
        <v>67</v>
      </c>
      <c r="D161" s="73"/>
      <c r="E161" s="73"/>
      <c r="F161" s="72"/>
      <c r="G161" s="73" t="s">
        <v>498</v>
      </c>
      <c r="H161" s="73"/>
      <c r="I161" s="73"/>
      <c r="J161" s="73"/>
      <c r="K161" s="72"/>
      <c r="L161" s="73" t="s">
        <v>67</v>
      </c>
      <c r="M161" s="74">
        <v>10</v>
      </c>
      <c r="N161" s="73"/>
      <c r="O161" s="73"/>
      <c r="P161" s="73"/>
      <c r="Q161" s="73"/>
      <c r="R161" s="73"/>
      <c r="S161" s="73"/>
      <c r="T161" s="73"/>
      <c r="U161" s="73"/>
      <c r="V161" s="73"/>
      <c r="W161" s="73"/>
      <c r="X161" s="73"/>
      <c r="Y161" s="73"/>
      <c r="Z161" s="73"/>
    </row>
    <row r="162" spans="1:26" s="17" customFormat="1">
      <c r="A162" s="85" t="s">
        <v>497</v>
      </c>
      <c r="B162" s="72">
        <f>COUNTA($B$1:B161)</f>
        <v>153</v>
      </c>
      <c r="C162" s="73" t="s">
        <v>810</v>
      </c>
      <c r="D162" s="83"/>
      <c r="E162" s="84"/>
      <c r="F162" s="72"/>
      <c r="G162" s="73" t="s">
        <v>498</v>
      </c>
      <c r="H162" s="73"/>
      <c r="I162" s="73" t="s">
        <v>55</v>
      </c>
      <c r="J162" s="73" t="s">
        <v>807</v>
      </c>
      <c r="K162" s="72">
        <v>0</v>
      </c>
      <c r="L162" s="73" t="s">
        <v>98</v>
      </c>
      <c r="M162" s="73"/>
      <c r="N162" s="73" t="s">
        <v>99</v>
      </c>
      <c r="O162" s="73"/>
      <c r="P162" s="73"/>
      <c r="Q162" s="73"/>
      <c r="R162" s="74" t="s">
        <v>808</v>
      </c>
      <c r="S162" s="73"/>
      <c r="T162" s="73" t="s">
        <v>2</v>
      </c>
      <c r="U162" s="73"/>
      <c r="V162" s="73"/>
      <c r="W162" s="73"/>
      <c r="X162" s="73"/>
      <c r="Y162" s="73"/>
      <c r="Z162" s="73"/>
    </row>
    <row r="163" spans="1:26" s="17" customFormat="1">
      <c r="A163" s="85" t="s">
        <v>497</v>
      </c>
      <c r="B163" s="72">
        <f>COUNTA($B$1:B162)</f>
        <v>154</v>
      </c>
      <c r="C163" s="73" t="s">
        <v>811</v>
      </c>
      <c r="D163" s="73"/>
      <c r="E163" s="73"/>
      <c r="F163" s="72"/>
      <c r="G163" s="73" t="s">
        <v>498</v>
      </c>
      <c r="H163" s="73"/>
      <c r="I163" s="73" t="s">
        <v>55</v>
      </c>
      <c r="J163" s="73" t="s">
        <v>233</v>
      </c>
      <c r="K163" s="72">
        <v>0</v>
      </c>
      <c r="L163" s="73" t="s">
        <v>0</v>
      </c>
      <c r="M163" s="82" t="s">
        <v>281</v>
      </c>
      <c r="N163" s="73"/>
      <c r="O163" s="73"/>
      <c r="P163" s="73"/>
      <c r="Q163" s="73"/>
      <c r="R163" s="84"/>
      <c r="S163" s="73"/>
      <c r="T163" s="73"/>
      <c r="U163" s="73"/>
      <c r="V163" s="73"/>
      <c r="W163" s="73"/>
      <c r="X163" s="73"/>
      <c r="Y163" s="73"/>
      <c r="Z163" s="73"/>
    </row>
    <row r="164" spans="1:26" s="17" customFormat="1">
      <c r="A164" s="85" t="s">
        <v>497</v>
      </c>
      <c r="B164" s="72">
        <f>COUNTA($B$1:B163)</f>
        <v>155</v>
      </c>
      <c r="C164" s="73" t="s">
        <v>226</v>
      </c>
      <c r="D164" s="83"/>
      <c r="E164" s="84"/>
      <c r="F164" s="72"/>
      <c r="G164" s="73" t="s">
        <v>498</v>
      </c>
      <c r="H164" s="73"/>
      <c r="I164" s="73"/>
      <c r="J164" s="73"/>
      <c r="K164" s="72"/>
      <c r="L164" s="73" t="s">
        <v>227</v>
      </c>
      <c r="M164" s="74" t="s">
        <v>79</v>
      </c>
      <c r="N164" s="73"/>
      <c r="O164" s="73"/>
      <c r="P164" s="73"/>
      <c r="Q164" s="73"/>
      <c r="R164" s="73"/>
      <c r="S164" s="73"/>
      <c r="T164" s="73"/>
      <c r="U164" s="73"/>
      <c r="V164" s="73"/>
      <c r="W164" s="73"/>
      <c r="X164" s="73"/>
      <c r="Y164" s="73"/>
      <c r="Z164" s="73"/>
    </row>
    <row r="165" spans="1:26" s="17" customFormat="1">
      <c r="A165" s="85" t="s">
        <v>497</v>
      </c>
      <c r="B165" s="72">
        <f>COUNTA($B$1:B164)</f>
        <v>156</v>
      </c>
      <c r="C165" s="73" t="s">
        <v>85</v>
      </c>
      <c r="D165" s="73"/>
      <c r="E165" s="73"/>
      <c r="F165" s="72"/>
      <c r="G165" s="73" t="s">
        <v>498</v>
      </c>
      <c r="H165" s="73"/>
      <c r="I165" s="73" t="s">
        <v>55</v>
      </c>
      <c r="J165" s="73" t="s">
        <v>87</v>
      </c>
      <c r="K165" s="72">
        <v>0</v>
      </c>
      <c r="L165" s="73" t="s">
        <v>147</v>
      </c>
      <c r="M165" s="74"/>
      <c r="N165" s="73"/>
      <c r="O165" s="73"/>
      <c r="P165" s="73"/>
      <c r="Q165" s="73"/>
      <c r="R165" s="74"/>
      <c r="S165" s="73"/>
      <c r="T165" s="73"/>
      <c r="U165" s="73"/>
      <c r="V165" s="73"/>
      <c r="W165" s="73"/>
      <c r="X165" s="73"/>
      <c r="Y165" s="73"/>
      <c r="Z165" s="73"/>
    </row>
    <row r="166" spans="1:26" s="17" customFormat="1">
      <c r="A166" s="85" t="s">
        <v>497</v>
      </c>
      <c r="B166" s="72">
        <f>COUNTA($B$1:B165)</f>
        <v>157</v>
      </c>
      <c r="C166" s="73" t="s">
        <v>67</v>
      </c>
      <c r="D166" s="73"/>
      <c r="E166" s="73"/>
      <c r="F166" s="72"/>
      <c r="G166" s="73" t="s">
        <v>498</v>
      </c>
      <c r="H166" s="73"/>
      <c r="I166" s="73"/>
      <c r="J166" s="73"/>
      <c r="K166" s="72"/>
      <c r="L166" s="73" t="s">
        <v>67</v>
      </c>
      <c r="M166" s="74">
        <v>10</v>
      </c>
      <c r="N166" s="73"/>
      <c r="O166" s="73"/>
      <c r="P166" s="73"/>
      <c r="Q166" s="73"/>
      <c r="R166" s="74"/>
      <c r="S166" s="73"/>
      <c r="T166" s="73"/>
      <c r="U166" s="73"/>
      <c r="V166" s="73"/>
      <c r="W166" s="73"/>
      <c r="X166" s="73"/>
      <c r="Y166" s="73"/>
      <c r="Z166" s="73"/>
    </row>
    <row r="167" spans="1:26" s="17" customFormat="1">
      <c r="A167" s="30" t="s">
        <v>91</v>
      </c>
      <c r="B167" s="31"/>
      <c r="C167" s="31"/>
      <c r="D167" s="32"/>
      <c r="E167" s="32"/>
      <c r="F167" s="31"/>
      <c r="G167" s="32"/>
      <c r="H167" s="32"/>
      <c r="I167" s="32"/>
      <c r="J167" s="32"/>
      <c r="K167" s="31"/>
      <c r="L167" s="32"/>
      <c r="M167" s="32"/>
      <c r="N167" s="32"/>
      <c r="O167" s="32"/>
      <c r="P167" s="32"/>
      <c r="Q167" s="32"/>
      <c r="R167" s="32"/>
      <c r="S167" s="32"/>
      <c r="T167" s="32"/>
      <c r="U167" s="32"/>
      <c r="V167" s="32"/>
      <c r="W167" s="32"/>
      <c r="X167" s="32"/>
      <c r="Y167" s="32"/>
      <c r="Z167" s="32"/>
    </row>
    <row r="168" spans="1:26" s="17" customFormat="1">
      <c r="A168" s="85" t="s">
        <v>497</v>
      </c>
      <c r="B168" s="72">
        <f>COUNTA($B$1:B167)</f>
        <v>158</v>
      </c>
      <c r="C168" s="73" t="s">
        <v>295</v>
      </c>
      <c r="D168" s="86"/>
      <c r="E168" s="84"/>
      <c r="F168" s="72"/>
      <c r="G168" s="73" t="s">
        <v>498</v>
      </c>
      <c r="H168" s="73"/>
      <c r="I168" s="73" t="s">
        <v>55</v>
      </c>
      <c r="J168" s="73" t="s">
        <v>296</v>
      </c>
      <c r="K168" s="72">
        <v>0</v>
      </c>
      <c r="L168" s="73" t="s">
        <v>98</v>
      </c>
      <c r="M168" s="74"/>
      <c r="N168" s="73" t="s">
        <v>99</v>
      </c>
      <c r="O168" s="73"/>
      <c r="P168" s="73"/>
      <c r="Q168" s="73"/>
      <c r="R168" s="73" t="str">
        <f>TEXT(M84,"")</f>
        <v>Destination1</v>
      </c>
      <c r="S168" s="73"/>
      <c r="T168" s="73" t="s">
        <v>2</v>
      </c>
      <c r="U168" s="73"/>
      <c r="V168" s="73"/>
      <c r="W168" s="73"/>
      <c r="X168" s="73"/>
      <c r="Y168" s="73"/>
      <c r="Z168" s="73"/>
    </row>
    <row r="169" spans="1:26" s="17" customFormat="1">
      <c r="A169" s="85" t="str">
        <f>IF(Global!B2="QA","Y","N")</f>
        <v>N</v>
      </c>
      <c r="B169" s="72">
        <f>COUNTA($B$1:B168)</f>
        <v>159</v>
      </c>
      <c r="C169" s="73" t="s">
        <v>297</v>
      </c>
      <c r="D169" s="86"/>
      <c r="E169" s="84"/>
      <c r="F169" s="72"/>
      <c r="G169" s="73" t="s">
        <v>498</v>
      </c>
      <c r="H169" s="73"/>
      <c r="I169" s="73" t="s">
        <v>55</v>
      </c>
      <c r="J169" s="73" t="s">
        <v>298</v>
      </c>
      <c r="K169" s="72">
        <v>2</v>
      </c>
      <c r="L169" s="73" t="s">
        <v>98</v>
      </c>
      <c r="M169" s="74"/>
      <c r="N169" s="73" t="s">
        <v>99</v>
      </c>
      <c r="O169" s="73"/>
      <c r="P169" s="73"/>
      <c r="Q169" s="73"/>
      <c r="R169" s="73" t="str">
        <f>TEXT(M87,"mm/dd/yyyy")</f>
        <v>DepDate1</v>
      </c>
      <c r="S169" s="73"/>
      <c r="T169" s="73" t="s">
        <v>2</v>
      </c>
      <c r="U169" s="73"/>
      <c r="V169" s="73"/>
      <c r="W169" s="73"/>
      <c r="X169" s="73"/>
      <c r="Y169" s="73"/>
      <c r="Z169" s="73"/>
    </row>
    <row r="170" spans="1:26" s="17" customFormat="1">
      <c r="A170" s="85" t="str">
        <f>A169</f>
        <v>N</v>
      </c>
      <c r="B170" s="72">
        <f>COUNTA($B$1:B169)</f>
        <v>160</v>
      </c>
      <c r="C170" s="73" t="s">
        <v>299</v>
      </c>
      <c r="D170" s="86"/>
      <c r="E170" s="84"/>
      <c r="F170" s="72"/>
      <c r="G170" s="73" t="s">
        <v>498</v>
      </c>
      <c r="H170" s="73"/>
      <c r="I170" s="73" t="s">
        <v>55</v>
      </c>
      <c r="J170" s="73" t="s">
        <v>300</v>
      </c>
      <c r="K170" s="72">
        <v>2</v>
      </c>
      <c r="L170" s="73" t="s">
        <v>98</v>
      </c>
      <c r="M170" s="74"/>
      <c r="N170" s="73" t="s">
        <v>99</v>
      </c>
      <c r="O170" s="73"/>
      <c r="P170" s="73"/>
      <c r="Q170" s="73"/>
      <c r="R170" s="73" t="str">
        <f>TEXT(M88,"mm/dd/yyyy")</f>
        <v>RetDate1</v>
      </c>
      <c r="S170" s="73"/>
      <c r="T170" s="73" t="s">
        <v>2</v>
      </c>
      <c r="U170" s="73"/>
      <c r="V170" s="73"/>
      <c r="W170" s="73"/>
      <c r="X170" s="73"/>
      <c r="Y170" s="73"/>
      <c r="Z170" s="73"/>
    </row>
    <row r="171" spans="1:26" s="17" customFormat="1">
      <c r="A171" s="85" t="str">
        <f>A170</f>
        <v>N</v>
      </c>
      <c r="B171" s="72">
        <f>COUNTA($B$1:B170)</f>
        <v>161</v>
      </c>
      <c r="C171" s="73" t="s">
        <v>301</v>
      </c>
      <c r="D171" s="86"/>
      <c r="E171" s="84"/>
      <c r="F171" s="72"/>
      <c r="G171" s="73" t="s">
        <v>498</v>
      </c>
      <c r="H171" s="73"/>
      <c r="I171" s="73" t="s">
        <v>55</v>
      </c>
      <c r="J171" s="73" t="s">
        <v>107</v>
      </c>
      <c r="K171" s="72">
        <v>2</v>
      </c>
      <c r="L171" s="73" t="s">
        <v>98</v>
      </c>
      <c r="M171" s="74"/>
      <c r="N171" s="73" t="s">
        <v>99</v>
      </c>
      <c r="O171" s="73"/>
      <c r="P171" s="73"/>
      <c r="Q171" s="73"/>
      <c r="R171" s="73" t="s">
        <v>124</v>
      </c>
      <c r="S171" s="73"/>
      <c r="T171" s="73" t="s">
        <v>2</v>
      </c>
      <c r="U171" s="73"/>
      <c r="V171" s="73"/>
      <c r="W171" s="73"/>
      <c r="X171" s="73"/>
      <c r="Y171" s="73"/>
      <c r="Z171" s="73"/>
    </row>
    <row r="172" spans="1:26" s="17" customFormat="1">
      <c r="A172" s="85" t="str">
        <f>IF(OR(Global!B2="UAT",Global!B2="PROD"),"Y","N")</f>
        <v>Y</v>
      </c>
      <c r="B172" s="72">
        <f>COUNTA($B$1:B171)</f>
        <v>162</v>
      </c>
      <c r="C172" s="73" t="s">
        <v>297</v>
      </c>
      <c r="D172" s="86"/>
      <c r="E172" s="84"/>
      <c r="F172" s="72"/>
      <c r="G172" s="73" t="s">
        <v>498</v>
      </c>
      <c r="H172" s="73"/>
      <c r="I172" s="73" t="s">
        <v>55</v>
      </c>
      <c r="J172" s="73" t="s">
        <v>824</v>
      </c>
      <c r="K172" s="72">
        <v>0</v>
      </c>
      <c r="L172" s="73" t="s">
        <v>98</v>
      </c>
      <c r="M172" s="74"/>
      <c r="N172" s="73" t="s">
        <v>99</v>
      </c>
      <c r="O172" s="73"/>
      <c r="P172" s="73"/>
      <c r="Q172" s="73"/>
      <c r="R172" s="73" t="str">
        <f>TEXT(M87,"mm/dd/yyyy")</f>
        <v>DepDate1</v>
      </c>
      <c r="S172" s="73"/>
      <c r="T172" s="73" t="s">
        <v>2</v>
      </c>
      <c r="U172" s="73"/>
      <c r="V172" s="73"/>
      <c r="W172" s="73"/>
      <c r="X172" s="73"/>
      <c r="Y172" s="73"/>
      <c r="Z172" s="73"/>
    </row>
    <row r="173" spans="1:26" s="17" customFormat="1">
      <c r="A173" s="85" t="str">
        <f>A172</f>
        <v>Y</v>
      </c>
      <c r="B173" s="72">
        <f>COUNTA($B$1:B172)</f>
        <v>163</v>
      </c>
      <c r="C173" s="73" t="s">
        <v>299</v>
      </c>
      <c r="D173" s="86"/>
      <c r="E173" s="84"/>
      <c r="F173" s="72"/>
      <c r="G173" s="73" t="s">
        <v>498</v>
      </c>
      <c r="H173" s="73"/>
      <c r="I173" s="73" t="s">
        <v>55</v>
      </c>
      <c r="J173" s="73" t="s">
        <v>825</v>
      </c>
      <c r="K173" s="72">
        <v>0</v>
      </c>
      <c r="L173" s="73" t="s">
        <v>98</v>
      </c>
      <c r="M173" s="74"/>
      <c r="N173" s="73" t="s">
        <v>99</v>
      </c>
      <c r="O173" s="73"/>
      <c r="P173" s="73"/>
      <c r="Q173" s="73"/>
      <c r="R173" s="73" t="str">
        <f>TEXT(M88,"mm/dd/yyyy")</f>
        <v>RetDate1</v>
      </c>
      <c r="S173" s="73"/>
      <c r="T173" s="73" t="s">
        <v>2</v>
      </c>
      <c r="U173" s="73"/>
      <c r="V173" s="73"/>
      <c r="W173" s="73"/>
      <c r="X173" s="73"/>
      <c r="Y173" s="73"/>
      <c r="Z173" s="73"/>
    </row>
    <row r="174" spans="1:26" s="17" customFormat="1">
      <c r="A174" s="85" t="str">
        <f>A173</f>
        <v>Y</v>
      </c>
      <c r="B174" s="72">
        <f>COUNTA($B$1:B173)</f>
        <v>164</v>
      </c>
      <c r="C174" s="73" t="s">
        <v>301</v>
      </c>
      <c r="D174" s="86"/>
      <c r="E174" s="84"/>
      <c r="F174" s="72"/>
      <c r="G174" s="73" t="s">
        <v>498</v>
      </c>
      <c r="H174" s="73"/>
      <c r="I174" s="73" t="s">
        <v>55</v>
      </c>
      <c r="J174" s="73" t="s">
        <v>826</v>
      </c>
      <c r="K174" s="72">
        <v>0</v>
      </c>
      <c r="L174" s="73" t="s">
        <v>98</v>
      </c>
      <c r="M174" s="74"/>
      <c r="N174" s="73" t="s">
        <v>99</v>
      </c>
      <c r="O174" s="73"/>
      <c r="P174" s="73"/>
      <c r="Q174" s="73"/>
      <c r="R174" s="73" t="s">
        <v>124</v>
      </c>
      <c r="S174" s="73"/>
      <c r="T174" s="73" t="s">
        <v>2</v>
      </c>
      <c r="U174" s="73"/>
      <c r="V174" s="73"/>
      <c r="W174" s="73"/>
      <c r="X174" s="73"/>
      <c r="Y174" s="73"/>
      <c r="Z174" s="73"/>
    </row>
    <row r="175" spans="1:26" s="17" customFormat="1">
      <c r="A175" s="85" t="s">
        <v>497</v>
      </c>
      <c r="B175" s="72">
        <f>COUNTA($B$1:B174)</f>
        <v>165</v>
      </c>
      <c r="C175" s="73" t="s">
        <v>511</v>
      </c>
      <c r="D175" s="83"/>
      <c r="E175" s="84" t="s">
        <v>154</v>
      </c>
      <c r="F175" s="72"/>
      <c r="G175" s="73" t="s">
        <v>498</v>
      </c>
      <c r="H175" s="73"/>
      <c r="I175" s="73" t="s">
        <v>55</v>
      </c>
      <c r="J175" s="73" t="s">
        <v>512</v>
      </c>
      <c r="K175" s="72">
        <v>0</v>
      </c>
      <c r="L175" s="73" t="s">
        <v>98</v>
      </c>
      <c r="M175" s="74"/>
      <c r="N175" s="73" t="s">
        <v>99</v>
      </c>
      <c r="O175" s="73"/>
      <c r="P175" s="73"/>
      <c r="Q175" s="73"/>
      <c r="R175" s="87" t="s">
        <v>199</v>
      </c>
      <c r="S175" s="84"/>
      <c r="T175" s="73" t="s">
        <v>2</v>
      </c>
      <c r="U175" s="73"/>
      <c r="V175" s="73"/>
      <c r="W175" s="73"/>
      <c r="X175" s="73"/>
      <c r="Y175" s="73"/>
      <c r="Z175" s="73"/>
    </row>
    <row r="176" spans="1:26" s="17" customFormat="1">
      <c r="A176" s="85" t="s">
        <v>497</v>
      </c>
      <c r="B176" s="72">
        <f>COUNTA($B$1:B175)</f>
        <v>166</v>
      </c>
      <c r="C176" s="73" t="s">
        <v>310</v>
      </c>
      <c r="D176" s="83"/>
      <c r="E176" s="84"/>
      <c r="F176" s="72"/>
      <c r="G176" s="73" t="s">
        <v>498</v>
      </c>
      <c r="H176" s="73"/>
      <c r="I176" s="73" t="s">
        <v>55</v>
      </c>
      <c r="J176" s="73" t="s">
        <v>311</v>
      </c>
      <c r="K176" s="72">
        <v>0</v>
      </c>
      <c r="L176" s="73" t="s">
        <v>98</v>
      </c>
      <c r="M176" s="74"/>
      <c r="N176" s="73" t="s">
        <v>99</v>
      </c>
      <c r="O176" s="73"/>
      <c r="P176" s="73"/>
      <c r="Q176" s="73"/>
      <c r="R176" s="74"/>
      <c r="S176" s="73"/>
      <c r="T176" s="73"/>
      <c r="U176" s="73"/>
      <c r="V176" s="73"/>
      <c r="W176" s="73"/>
      <c r="X176" s="73"/>
      <c r="Y176" s="73"/>
      <c r="Z176" s="73"/>
    </row>
    <row r="177" spans="1:26" s="17" customFormat="1">
      <c r="A177" s="85" t="s">
        <v>497</v>
      </c>
      <c r="B177" s="72">
        <f>COUNTA($B$1:B176)</f>
        <v>167</v>
      </c>
      <c r="C177" s="73" t="s">
        <v>67</v>
      </c>
      <c r="D177" s="73"/>
      <c r="E177" s="73"/>
      <c r="F177" s="72"/>
      <c r="G177" s="73" t="s">
        <v>498</v>
      </c>
      <c r="H177" s="73"/>
      <c r="I177" s="73"/>
      <c r="J177" s="73"/>
      <c r="K177" s="72"/>
      <c r="L177" s="73" t="s">
        <v>67</v>
      </c>
      <c r="M177" s="74">
        <v>2</v>
      </c>
      <c r="N177" s="73"/>
      <c r="O177" s="73"/>
      <c r="P177" s="73"/>
      <c r="Q177" s="73"/>
      <c r="R177" s="74"/>
      <c r="S177" s="73"/>
      <c r="T177" s="73"/>
      <c r="U177" s="73"/>
      <c r="V177" s="73"/>
      <c r="W177" s="73"/>
      <c r="X177" s="73"/>
      <c r="Y177" s="73"/>
      <c r="Z177" s="73"/>
    </row>
    <row r="178" spans="1:26" s="17" customFormat="1">
      <c r="A178" s="85" t="s">
        <v>497</v>
      </c>
      <c r="B178" s="72">
        <f>COUNTA($B$1:B177)</f>
        <v>168</v>
      </c>
      <c r="C178" s="73" t="s">
        <v>93</v>
      </c>
      <c r="D178" s="73"/>
      <c r="E178" s="73"/>
      <c r="F178" s="72"/>
      <c r="G178" s="73" t="s">
        <v>498</v>
      </c>
      <c r="H178" s="73"/>
      <c r="I178" s="73" t="s">
        <v>55</v>
      </c>
      <c r="J178" s="73" t="s">
        <v>92</v>
      </c>
      <c r="K178" s="72">
        <v>0</v>
      </c>
      <c r="L178" s="73" t="s">
        <v>0</v>
      </c>
      <c r="M178" s="82" t="s">
        <v>261</v>
      </c>
      <c r="N178" s="73"/>
      <c r="O178" s="73"/>
      <c r="P178" s="73"/>
      <c r="Q178" s="73"/>
      <c r="R178" s="84"/>
      <c r="S178" s="73"/>
      <c r="T178" s="73"/>
      <c r="U178" s="73"/>
      <c r="V178" s="73"/>
      <c r="W178" s="73"/>
      <c r="X178" s="73"/>
      <c r="Y178" s="73"/>
      <c r="Z178" s="73"/>
    </row>
    <row r="179" spans="1:26" s="17" customFormat="1">
      <c r="A179" s="85" t="s">
        <v>497</v>
      </c>
      <c r="B179" s="72">
        <f>COUNTA($B$1:B178)</f>
        <v>169</v>
      </c>
      <c r="C179" s="73" t="s">
        <v>262</v>
      </c>
      <c r="D179" s="73"/>
      <c r="E179" s="73"/>
      <c r="F179" s="72"/>
      <c r="G179" s="73" t="s">
        <v>498</v>
      </c>
      <c r="H179" s="73"/>
      <c r="I179" s="73"/>
      <c r="J179" s="73"/>
      <c r="K179" s="72">
        <v>2</v>
      </c>
      <c r="L179" s="73" t="s">
        <v>95</v>
      </c>
      <c r="M179" s="73"/>
      <c r="N179" s="73"/>
      <c r="O179" s="73"/>
      <c r="P179" s="73"/>
      <c r="Q179" s="73"/>
      <c r="R179" s="84"/>
      <c r="S179" s="73"/>
      <c r="T179" s="73"/>
      <c r="U179" s="73"/>
      <c r="V179" s="73"/>
      <c r="W179" s="73"/>
      <c r="X179" s="73"/>
      <c r="Y179" s="73"/>
      <c r="Z179" s="73"/>
    </row>
    <row r="180" spans="1:26" s="17" customFormat="1">
      <c r="A180" s="85" t="s">
        <v>497</v>
      </c>
      <c r="B180" s="72">
        <f>COUNTA($B$1:B179)</f>
        <v>170</v>
      </c>
      <c r="C180" s="73" t="s">
        <v>94</v>
      </c>
      <c r="D180" s="73"/>
      <c r="E180" s="73"/>
      <c r="F180" s="72"/>
      <c r="G180" s="73" t="s">
        <v>498</v>
      </c>
      <c r="H180" s="73"/>
      <c r="I180" s="73" t="s">
        <v>55</v>
      </c>
      <c r="J180" s="73" t="s">
        <v>263</v>
      </c>
      <c r="K180" s="72">
        <v>0</v>
      </c>
      <c r="L180" s="73" t="s">
        <v>0</v>
      </c>
      <c r="M180" s="82" t="s">
        <v>264</v>
      </c>
      <c r="N180" s="73"/>
      <c r="O180" s="73"/>
      <c r="P180" s="73"/>
      <c r="Q180" s="73"/>
      <c r="R180" s="84"/>
      <c r="S180" s="73"/>
      <c r="T180" s="73"/>
      <c r="U180" s="73"/>
      <c r="V180" s="73"/>
      <c r="W180" s="73"/>
      <c r="X180" s="73"/>
      <c r="Y180" s="73"/>
      <c r="Z180" s="73"/>
    </row>
    <row r="181" spans="1:26" s="17" customFormat="1">
      <c r="A181" s="85" t="s">
        <v>497</v>
      </c>
      <c r="B181" s="72">
        <f>COUNTA($B$1:B180)</f>
        <v>171</v>
      </c>
      <c r="C181" s="73" t="s">
        <v>262</v>
      </c>
      <c r="D181" s="73"/>
      <c r="E181" s="73"/>
      <c r="F181" s="72"/>
      <c r="G181" s="73" t="s">
        <v>498</v>
      </c>
      <c r="H181" s="73"/>
      <c r="I181" s="73"/>
      <c r="J181" s="73"/>
      <c r="K181" s="72">
        <v>0</v>
      </c>
      <c r="L181" s="73" t="s">
        <v>96</v>
      </c>
      <c r="M181" s="73"/>
      <c r="N181" s="73"/>
      <c r="O181" s="73"/>
      <c r="P181" s="73"/>
      <c r="Q181" s="73"/>
      <c r="R181" s="84"/>
      <c r="S181" s="73"/>
      <c r="T181" s="73"/>
      <c r="U181" s="73"/>
      <c r="V181" s="73"/>
      <c r="W181" s="73"/>
      <c r="X181" s="73"/>
      <c r="Y181" s="73"/>
      <c r="Z181" s="73"/>
    </row>
    <row r="182" spans="1:26" s="17" customFormat="1">
      <c r="A182" s="85" t="s">
        <v>497</v>
      </c>
      <c r="B182" s="72">
        <f>COUNTA($B$1:B181)</f>
        <v>172</v>
      </c>
      <c r="C182" s="73" t="s">
        <v>262</v>
      </c>
      <c r="D182" s="73"/>
      <c r="E182" s="73"/>
      <c r="F182" s="72"/>
      <c r="G182" s="73" t="s">
        <v>498</v>
      </c>
      <c r="H182" s="73"/>
      <c r="I182" s="73"/>
      <c r="J182" s="73"/>
      <c r="K182" s="72">
        <v>2</v>
      </c>
      <c r="L182" s="73" t="s">
        <v>95</v>
      </c>
      <c r="M182" s="73"/>
      <c r="N182" s="73"/>
      <c r="O182" s="73"/>
      <c r="P182" s="73"/>
      <c r="Q182" s="73"/>
      <c r="R182" s="84"/>
      <c r="S182" s="73"/>
      <c r="T182" s="73"/>
      <c r="U182" s="73"/>
      <c r="V182" s="73"/>
      <c r="W182" s="73"/>
      <c r="X182" s="73"/>
      <c r="Y182" s="73"/>
      <c r="Z182" s="73"/>
    </row>
    <row r="183" spans="1:26" s="17" customFormat="1">
      <c r="A183" s="234" t="s">
        <v>21</v>
      </c>
      <c r="B183" s="235">
        <f>COUNTA($B$1:B182)</f>
        <v>173</v>
      </c>
      <c r="C183" s="236" t="s">
        <v>226</v>
      </c>
      <c r="D183" s="83"/>
      <c r="E183" s="84"/>
      <c r="F183" s="72"/>
      <c r="G183" s="73" t="s">
        <v>498</v>
      </c>
      <c r="H183" s="73"/>
      <c r="I183" s="73"/>
      <c r="J183" s="73"/>
      <c r="K183" s="72"/>
      <c r="L183" s="73" t="s">
        <v>227</v>
      </c>
      <c r="M183" s="74" t="s">
        <v>79</v>
      </c>
      <c r="N183" s="73"/>
      <c r="O183" s="73"/>
      <c r="P183" s="73"/>
      <c r="Q183" s="73"/>
      <c r="R183" s="73"/>
      <c r="S183" s="73"/>
      <c r="T183" s="73"/>
      <c r="U183" s="73"/>
      <c r="V183" s="73"/>
      <c r="W183" s="73"/>
      <c r="X183" s="73"/>
      <c r="Y183" s="73"/>
      <c r="Z183" s="73"/>
    </row>
    <row r="184" spans="1:26" s="17" customFormat="1">
      <c r="A184" s="234" t="s">
        <v>21</v>
      </c>
      <c r="B184" s="235">
        <f>COUNTA($B$1:B183)</f>
        <v>174</v>
      </c>
      <c r="C184" s="236" t="s">
        <v>265</v>
      </c>
      <c r="D184" s="73"/>
      <c r="E184" s="73"/>
      <c r="F184" s="72"/>
      <c r="G184" s="73" t="s">
        <v>498</v>
      </c>
      <c r="H184" s="73"/>
      <c r="I184" s="73"/>
      <c r="J184" s="73"/>
      <c r="K184" s="72"/>
      <c r="L184" s="73" t="s">
        <v>227</v>
      </c>
      <c r="M184" s="82" t="s">
        <v>266</v>
      </c>
      <c r="N184" s="73"/>
      <c r="O184" s="73"/>
      <c r="P184" s="73"/>
      <c r="Q184" s="73"/>
      <c r="R184" s="84"/>
      <c r="S184" s="73"/>
      <c r="T184" s="73"/>
      <c r="U184" s="73"/>
      <c r="V184" s="73"/>
      <c r="W184" s="73"/>
      <c r="X184" s="73"/>
      <c r="Y184" s="73"/>
      <c r="Z184" s="73"/>
    </row>
    <row r="185" spans="1:26" s="17" customFormat="1">
      <c r="A185" s="234" t="s">
        <v>21</v>
      </c>
      <c r="B185" s="235">
        <f>COUNTA($B$1:B184)</f>
        <v>175</v>
      </c>
      <c r="C185" s="236" t="s">
        <v>267</v>
      </c>
      <c r="D185" s="73"/>
      <c r="E185" s="73"/>
      <c r="F185" s="72"/>
      <c r="G185" s="73" t="s">
        <v>498</v>
      </c>
      <c r="H185" s="73"/>
      <c r="I185" s="73"/>
      <c r="J185" s="73"/>
      <c r="K185" s="72"/>
      <c r="L185" s="73" t="s">
        <v>227</v>
      </c>
      <c r="M185" s="82" t="s">
        <v>268</v>
      </c>
      <c r="N185" s="73"/>
      <c r="O185" s="73"/>
      <c r="P185" s="73"/>
      <c r="Q185" s="73"/>
      <c r="R185" s="84"/>
      <c r="S185" s="73"/>
      <c r="T185" s="73"/>
      <c r="U185" s="73"/>
      <c r="V185" s="73"/>
      <c r="W185" s="73"/>
      <c r="X185" s="73"/>
      <c r="Y185" s="73"/>
      <c r="Z185" s="73"/>
    </row>
    <row r="186" spans="1:26" s="17" customFormat="1">
      <c r="A186" s="234" t="s">
        <v>21</v>
      </c>
      <c r="B186" s="235">
        <f>COUNTA($B$1:B185)</f>
        <v>176</v>
      </c>
      <c r="C186" s="236" t="s">
        <v>226</v>
      </c>
      <c r="D186" s="83"/>
      <c r="E186" s="84"/>
      <c r="F186" s="72"/>
      <c r="G186" s="73" t="s">
        <v>498</v>
      </c>
      <c r="H186" s="73"/>
      <c r="I186" s="73"/>
      <c r="J186" s="73"/>
      <c r="K186" s="72"/>
      <c r="L186" s="73" t="s">
        <v>227</v>
      </c>
      <c r="M186" s="74" t="s">
        <v>79</v>
      </c>
      <c r="N186" s="73"/>
      <c r="O186" s="73"/>
      <c r="P186" s="73"/>
      <c r="Q186" s="73"/>
      <c r="R186" s="73"/>
      <c r="S186" s="73"/>
      <c r="T186" s="73"/>
      <c r="U186" s="73"/>
      <c r="V186" s="73"/>
      <c r="W186" s="73"/>
      <c r="X186" s="73"/>
      <c r="Y186" s="73"/>
      <c r="Z186" s="73"/>
    </row>
    <row r="187" spans="1:26" s="19" customFormat="1" outlineLevel="1">
      <c r="A187" s="33" t="s">
        <v>497</v>
      </c>
      <c r="B187" s="34">
        <f>COUNTA($B$1:B186)</f>
        <v>177</v>
      </c>
      <c r="C187" s="35" t="s">
        <v>948</v>
      </c>
      <c r="D187" s="35"/>
      <c r="E187" s="35"/>
      <c r="F187" s="34"/>
      <c r="G187" s="35" t="s">
        <v>498</v>
      </c>
      <c r="H187" s="35"/>
      <c r="I187" s="35" t="s">
        <v>55</v>
      </c>
      <c r="J187" s="35" t="s">
        <v>949</v>
      </c>
      <c r="K187" s="34">
        <v>0</v>
      </c>
      <c r="L187" s="35" t="s">
        <v>34</v>
      </c>
      <c r="M187" s="35"/>
      <c r="N187" s="35"/>
      <c r="O187" s="35"/>
      <c r="P187" s="35"/>
      <c r="Q187" s="35"/>
      <c r="R187" s="35"/>
      <c r="S187" s="35"/>
      <c r="T187" s="35"/>
      <c r="U187" s="35"/>
      <c r="V187" s="35"/>
      <c r="W187" s="35"/>
      <c r="X187" s="35"/>
      <c r="Y187" s="35"/>
      <c r="Z187" s="35"/>
    </row>
    <row r="188" spans="1:26" s="19" customFormat="1" outlineLevel="1">
      <c r="A188" s="33" t="s">
        <v>497</v>
      </c>
      <c r="B188" s="34">
        <f>COUNTA($B$1:B187)</f>
        <v>178</v>
      </c>
      <c r="C188" s="35" t="s">
        <v>67</v>
      </c>
      <c r="D188" s="35"/>
      <c r="E188" s="35"/>
      <c r="F188" s="34"/>
      <c r="G188" s="35" t="s">
        <v>498</v>
      </c>
      <c r="H188" s="35"/>
      <c r="I188" s="35"/>
      <c r="J188" s="35"/>
      <c r="K188" s="34"/>
      <c r="L188" s="35" t="s">
        <v>67</v>
      </c>
      <c r="M188" s="36">
        <v>2</v>
      </c>
      <c r="N188" s="35"/>
      <c r="O188" s="35"/>
      <c r="P188" s="35"/>
      <c r="Q188" s="35"/>
      <c r="R188" s="35"/>
      <c r="S188" s="35"/>
      <c r="T188" s="35"/>
      <c r="U188" s="35"/>
      <c r="V188" s="35"/>
      <c r="W188" s="35"/>
      <c r="X188" s="35"/>
      <c r="Y188" s="35"/>
      <c r="Z188" s="35"/>
    </row>
    <row r="189" spans="1:26" s="19" customFormat="1" outlineLevel="1">
      <c r="A189" s="33" t="s">
        <v>497</v>
      </c>
      <c r="B189" s="34">
        <f>COUNTA($B$1:B188)</f>
        <v>179</v>
      </c>
      <c r="C189" s="35" t="s">
        <v>952</v>
      </c>
      <c r="D189" s="35"/>
      <c r="E189" s="35"/>
      <c r="F189" s="34"/>
      <c r="G189" s="35" t="s">
        <v>498</v>
      </c>
      <c r="H189" s="35"/>
      <c r="I189" s="35" t="s">
        <v>55</v>
      </c>
      <c r="J189" s="35" t="s">
        <v>949</v>
      </c>
      <c r="K189" s="34">
        <v>0</v>
      </c>
      <c r="L189" s="35" t="s">
        <v>951</v>
      </c>
      <c r="M189" s="50" t="s">
        <v>266</v>
      </c>
      <c r="N189" s="35"/>
      <c r="O189" s="35"/>
      <c r="P189" s="35"/>
      <c r="Q189" s="35"/>
      <c r="R189" s="35"/>
      <c r="S189" s="35"/>
      <c r="T189" s="35"/>
      <c r="U189" s="35"/>
      <c r="V189" s="35"/>
      <c r="W189" s="35"/>
      <c r="X189" s="35"/>
      <c r="Y189" s="35"/>
      <c r="Z189" s="35"/>
    </row>
    <row r="190" spans="1:26" s="19" customFormat="1" outlineLevel="1">
      <c r="A190" s="33" t="s">
        <v>497</v>
      </c>
      <c r="B190" s="34">
        <f>COUNTA($B$1:B189)</f>
        <v>180</v>
      </c>
      <c r="C190" s="35" t="s">
        <v>953</v>
      </c>
      <c r="D190" s="35"/>
      <c r="E190" s="35"/>
      <c r="F190" s="34"/>
      <c r="G190" s="35" t="s">
        <v>498</v>
      </c>
      <c r="H190" s="35"/>
      <c r="I190" s="35" t="s">
        <v>55</v>
      </c>
      <c r="J190" s="35" t="s">
        <v>949</v>
      </c>
      <c r="K190" s="34">
        <v>0</v>
      </c>
      <c r="L190" s="35" t="s">
        <v>951</v>
      </c>
      <c r="M190" s="50" t="s">
        <v>268</v>
      </c>
      <c r="N190" s="35"/>
      <c r="O190" s="35"/>
      <c r="P190" s="35"/>
      <c r="Q190" s="35"/>
      <c r="R190" s="35"/>
      <c r="S190" s="35"/>
      <c r="T190" s="35"/>
      <c r="U190" s="35"/>
      <c r="V190" s="35"/>
      <c r="W190" s="35"/>
      <c r="X190" s="35"/>
      <c r="Y190" s="35"/>
      <c r="Z190" s="35"/>
    </row>
    <row r="191" spans="1:26" s="17" customFormat="1">
      <c r="A191" s="33" t="s">
        <v>497</v>
      </c>
      <c r="B191" s="34">
        <f>COUNTA($B$1:B190)</f>
        <v>181</v>
      </c>
      <c r="C191" s="248" t="s">
        <v>226</v>
      </c>
      <c r="D191" s="83"/>
      <c r="E191" s="84"/>
      <c r="F191" s="72"/>
      <c r="G191" s="73" t="s">
        <v>498</v>
      </c>
      <c r="H191" s="73"/>
      <c r="I191" s="73"/>
      <c r="J191" s="73"/>
      <c r="K191" s="72"/>
      <c r="L191" s="73" t="s">
        <v>227</v>
      </c>
      <c r="M191" s="74" t="s">
        <v>79</v>
      </c>
      <c r="N191" s="73"/>
      <c r="O191" s="73"/>
      <c r="P191" s="73"/>
      <c r="Q191" s="73"/>
      <c r="R191" s="73"/>
      <c r="S191" s="73"/>
      <c r="T191" s="73"/>
      <c r="U191" s="73"/>
      <c r="V191" s="73"/>
      <c r="W191" s="73"/>
      <c r="X191" s="73"/>
      <c r="Y191" s="73"/>
      <c r="Z191" s="73"/>
    </row>
    <row r="192" spans="1:26" s="19" customFormat="1" outlineLevel="1">
      <c r="A192" s="33" t="s">
        <v>497</v>
      </c>
      <c r="B192" s="34">
        <f>COUNTA($B$1:B191)</f>
        <v>182</v>
      </c>
      <c r="C192" s="35" t="s">
        <v>67</v>
      </c>
      <c r="D192" s="35"/>
      <c r="E192" s="35"/>
      <c r="F192" s="34"/>
      <c r="G192" s="35" t="s">
        <v>498</v>
      </c>
      <c r="H192" s="35"/>
      <c r="I192" s="35"/>
      <c r="J192" s="35"/>
      <c r="K192" s="34"/>
      <c r="L192" s="35" t="s">
        <v>67</v>
      </c>
      <c r="M192" s="36">
        <v>2</v>
      </c>
      <c r="N192" s="35"/>
      <c r="O192" s="35"/>
      <c r="P192" s="35"/>
      <c r="Q192" s="35"/>
      <c r="R192" s="35"/>
      <c r="S192" s="35"/>
      <c r="T192" s="35"/>
      <c r="U192" s="35"/>
      <c r="V192" s="35"/>
      <c r="W192" s="35"/>
      <c r="X192" s="35"/>
      <c r="Y192" s="35"/>
      <c r="Z192" s="35"/>
    </row>
    <row r="193" spans="1:26" s="17" customFormat="1">
      <c r="A193" s="85" t="s">
        <v>497</v>
      </c>
      <c r="B193" s="34">
        <f>COUNTA($B$1:B192)</f>
        <v>183</v>
      </c>
      <c r="C193" s="73" t="s">
        <v>262</v>
      </c>
      <c r="D193" s="73"/>
      <c r="E193" s="73"/>
      <c r="F193" s="72"/>
      <c r="G193" s="73" t="s">
        <v>498</v>
      </c>
      <c r="H193" s="73"/>
      <c r="I193" s="73"/>
      <c r="J193" s="73"/>
      <c r="K193" s="72">
        <v>0</v>
      </c>
      <c r="L193" s="73" t="s">
        <v>96</v>
      </c>
      <c r="M193" s="73"/>
      <c r="N193" s="73"/>
      <c r="O193" s="73"/>
      <c r="P193" s="73"/>
      <c r="Q193" s="73"/>
      <c r="R193" s="84"/>
      <c r="S193" s="73"/>
      <c r="T193" s="73"/>
      <c r="U193" s="73"/>
      <c r="V193" s="73"/>
      <c r="W193" s="73"/>
      <c r="X193" s="73"/>
      <c r="Y193" s="73"/>
      <c r="Z193" s="73"/>
    </row>
    <row r="194" spans="1:26" s="17" customFormat="1">
      <c r="A194" s="85" t="s">
        <v>497</v>
      </c>
      <c r="B194" s="72">
        <f>COUNTA($B$1:B193)</f>
        <v>184</v>
      </c>
      <c r="C194" s="73" t="s">
        <v>67</v>
      </c>
      <c r="D194" s="73"/>
      <c r="E194" s="73"/>
      <c r="F194" s="72"/>
      <c r="G194" s="73" t="s">
        <v>498</v>
      </c>
      <c r="H194" s="73"/>
      <c r="I194" s="73"/>
      <c r="J194" s="73"/>
      <c r="K194" s="72"/>
      <c r="L194" s="73" t="s">
        <v>67</v>
      </c>
      <c r="M194" s="74">
        <v>2</v>
      </c>
      <c r="N194" s="73"/>
      <c r="O194" s="73"/>
      <c r="P194" s="73"/>
      <c r="Q194" s="73"/>
      <c r="R194" s="74"/>
      <c r="S194" s="73"/>
      <c r="T194" s="73"/>
      <c r="U194" s="73"/>
      <c r="V194" s="73"/>
      <c r="W194" s="73"/>
      <c r="X194" s="73"/>
      <c r="Y194" s="73"/>
      <c r="Z194" s="73"/>
    </row>
    <row r="195" spans="1:26" s="17" customFormat="1">
      <c r="A195" s="85" t="s">
        <v>497</v>
      </c>
      <c r="B195" s="72">
        <f>COUNTA($B$1:B194)</f>
        <v>185</v>
      </c>
      <c r="C195" s="73" t="s">
        <v>312</v>
      </c>
      <c r="D195" s="83"/>
      <c r="E195" s="84" t="s">
        <v>154</v>
      </c>
      <c r="F195" s="72"/>
      <c r="G195" s="73" t="s">
        <v>498</v>
      </c>
      <c r="H195" s="73"/>
      <c r="I195" s="73" t="s">
        <v>55</v>
      </c>
      <c r="J195" s="73" t="s">
        <v>313</v>
      </c>
      <c r="K195" s="72">
        <v>0</v>
      </c>
      <c r="L195" s="73" t="s">
        <v>147</v>
      </c>
      <c r="M195" s="74"/>
      <c r="N195" s="73"/>
      <c r="O195" s="73"/>
      <c r="P195" s="73"/>
      <c r="Q195" s="73"/>
      <c r="R195" s="73"/>
      <c r="S195" s="73"/>
      <c r="T195" s="73"/>
      <c r="U195" s="73"/>
      <c r="V195" s="73"/>
      <c r="W195" s="73"/>
      <c r="X195" s="73"/>
      <c r="Y195" s="73"/>
      <c r="Z195" s="73"/>
    </row>
    <row r="196" spans="1:26" s="17" customFormat="1">
      <c r="A196" s="85" t="s">
        <v>497</v>
      </c>
      <c r="B196" s="72">
        <f>COUNTA($B$1:B195)</f>
        <v>186</v>
      </c>
      <c r="C196" s="73" t="s">
        <v>67</v>
      </c>
      <c r="D196" s="73"/>
      <c r="E196" s="73"/>
      <c r="F196" s="72"/>
      <c r="G196" s="73" t="s">
        <v>498</v>
      </c>
      <c r="H196" s="73"/>
      <c r="I196" s="73"/>
      <c r="J196" s="73"/>
      <c r="K196" s="72"/>
      <c r="L196" s="73" t="s">
        <v>67</v>
      </c>
      <c r="M196" s="74">
        <v>2</v>
      </c>
      <c r="N196" s="73"/>
      <c r="O196" s="73"/>
      <c r="P196" s="73"/>
      <c r="Q196" s="73"/>
      <c r="R196" s="74"/>
      <c r="S196" s="73"/>
      <c r="T196" s="73"/>
      <c r="U196" s="73"/>
      <c r="V196" s="73"/>
      <c r="W196" s="73"/>
      <c r="X196" s="73"/>
      <c r="Y196" s="73"/>
      <c r="Z196" s="73"/>
    </row>
    <row r="197" spans="1:26" s="17" customFormat="1">
      <c r="A197" s="85" t="str" cm="1">
        <f t="array" ref="A197">_xlfn.IFS(Global!B2="QA","bln680922",Global!B2="UAT","bln680922",Global!B2="PROD","N")</f>
        <v>bln680922</v>
      </c>
      <c r="B197" s="72">
        <f>COUNTA($B$1:B196)</f>
        <v>187</v>
      </c>
      <c r="C197" s="73" t="s">
        <v>190</v>
      </c>
      <c r="D197" s="73"/>
      <c r="E197" s="73"/>
      <c r="F197" s="72"/>
      <c r="G197" s="73" t="s">
        <v>498</v>
      </c>
      <c r="H197" s="73"/>
      <c r="I197" s="73" t="s">
        <v>55</v>
      </c>
      <c r="J197" s="73" t="s">
        <v>87</v>
      </c>
      <c r="K197" s="72">
        <v>0</v>
      </c>
      <c r="L197" s="73" t="s">
        <v>147</v>
      </c>
      <c r="M197" s="74"/>
      <c r="N197" s="73"/>
      <c r="O197" s="73"/>
      <c r="P197" s="73"/>
      <c r="Q197" s="73"/>
      <c r="R197" s="73"/>
      <c r="S197" s="73"/>
      <c r="T197" s="73"/>
      <c r="U197" s="73"/>
      <c r="V197" s="73"/>
      <c r="W197" s="73"/>
      <c r="X197" s="73"/>
      <c r="Y197" s="73"/>
      <c r="Z197" s="73"/>
    </row>
    <row r="198" spans="1:26" s="17" customFormat="1">
      <c r="A198" s="85" t="str">
        <f>A197</f>
        <v>bln680922</v>
      </c>
      <c r="B198" s="72">
        <f>COUNTA($B$1:B197)</f>
        <v>188</v>
      </c>
      <c r="C198" s="73" t="s">
        <v>67</v>
      </c>
      <c r="D198" s="73"/>
      <c r="E198" s="73"/>
      <c r="F198" s="72"/>
      <c r="G198" s="73" t="s">
        <v>498</v>
      </c>
      <c r="H198" s="73"/>
      <c r="I198" s="73"/>
      <c r="J198" s="73"/>
      <c r="K198" s="72"/>
      <c r="L198" s="73" t="s">
        <v>67</v>
      </c>
      <c r="M198" s="74">
        <v>10</v>
      </c>
      <c r="N198" s="73"/>
      <c r="O198" s="73"/>
      <c r="P198" s="73"/>
      <c r="Q198" s="73"/>
      <c r="R198" s="74"/>
      <c r="S198" s="73"/>
      <c r="T198" s="73"/>
      <c r="U198" s="73"/>
      <c r="V198" s="73"/>
      <c r="W198" s="73"/>
      <c r="X198" s="73"/>
      <c r="Y198" s="73"/>
      <c r="Z198" s="73"/>
    </row>
    <row r="199" spans="1:26" s="17" customFormat="1">
      <c r="A199" s="30" t="s">
        <v>100</v>
      </c>
      <c r="B199" s="31"/>
      <c r="C199" s="31"/>
      <c r="D199" s="32"/>
      <c r="E199" s="32"/>
      <c r="F199" s="31"/>
      <c r="G199" s="32"/>
      <c r="H199" s="32"/>
      <c r="I199" s="32"/>
      <c r="J199" s="32"/>
      <c r="K199" s="31"/>
      <c r="L199" s="32"/>
      <c r="M199" s="32"/>
      <c r="N199" s="32"/>
      <c r="O199" s="32"/>
      <c r="P199" s="32"/>
      <c r="Q199" s="32"/>
      <c r="R199" s="32"/>
      <c r="S199" s="32"/>
      <c r="T199" s="32"/>
      <c r="U199" s="32"/>
      <c r="V199" s="32"/>
      <c r="W199" s="32"/>
      <c r="X199" s="32"/>
      <c r="Y199" s="32"/>
      <c r="Z199" s="32"/>
    </row>
    <row r="200" spans="1:26" s="17" customFormat="1">
      <c r="A200" s="85" t="str">
        <f>A198</f>
        <v>bln680922</v>
      </c>
      <c r="B200" s="72">
        <f>COUNTA($B$1:B199)</f>
        <v>189</v>
      </c>
      <c r="C200" s="73" t="s">
        <v>67</v>
      </c>
      <c r="D200" s="73"/>
      <c r="E200" s="73"/>
      <c r="F200" s="72"/>
      <c r="G200" s="73" t="s">
        <v>498</v>
      </c>
      <c r="H200" s="73"/>
      <c r="I200" s="73"/>
      <c r="J200" s="73"/>
      <c r="K200" s="72"/>
      <c r="L200" s="73" t="s">
        <v>67</v>
      </c>
      <c r="M200" s="74">
        <v>3</v>
      </c>
      <c r="N200" s="73"/>
      <c r="O200" s="73"/>
      <c r="P200" s="73"/>
      <c r="Q200" s="73"/>
      <c r="R200" s="74"/>
      <c r="S200" s="73"/>
      <c r="T200" s="73"/>
      <c r="U200" s="73"/>
      <c r="V200" s="73"/>
      <c r="W200" s="73"/>
      <c r="X200" s="73"/>
      <c r="Y200" s="73"/>
      <c r="Z200" s="73"/>
    </row>
    <row r="201" spans="1:26" s="17" customFormat="1">
      <c r="A201" s="85" t="str">
        <f>A200</f>
        <v>bln680922</v>
      </c>
      <c r="B201" s="72">
        <f>COUNTA($B$1:B200)</f>
        <v>190</v>
      </c>
      <c r="C201" s="73" t="s">
        <v>314</v>
      </c>
      <c r="D201" s="73"/>
      <c r="E201" s="73"/>
      <c r="F201" s="72"/>
      <c r="G201" s="73" t="s">
        <v>498</v>
      </c>
      <c r="H201" s="73"/>
      <c r="I201" s="73" t="s">
        <v>55</v>
      </c>
      <c r="J201" s="73" t="s">
        <v>315</v>
      </c>
      <c r="K201" s="72">
        <v>0</v>
      </c>
      <c r="L201" s="73" t="s">
        <v>98</v>
      </c>
      <c r="M201" s="73"/>
      <c r="N201" s="73" t="s">
        <v>99</v>
      </c>
      <c r="O201" s="73"/>
      <c r="P201" s="73"/>
      <c r="Q201" s="73"/>
      <c r="R201" s="87" t="s">
        <v>316</v>
      </c>
      <c r="S201" s="73"/>
      <c r="T201" s="73" t="s">
        <v>2</v>
      </c>
      <c r="U201" s="73"/>
      <c r="V201" s="73"/>
      <c r="W201" s="73"/>
      <c r="X201" s="73"/>
      <c r="Y201" s="73"/>
      <c r="Z201" s="73"/>
    </row>
    <row r="202" spans="1:26" s="17" customFormat="1">
      <c r="A202" s="85" t="str">
        <f t="shared" ref="A202:A205" si="2">A201</f>
        <v>bln680922</v>
      </c>
      <c r="B202" s="72">
        <f>COUNTA($B$1:B201)</f>
        <v>191</v>
      </c>
      <c r="C202" s="88" t="s">
        <v>317</v>
      </c>
      <c r="D202" s="89"/>
      <c r="E202" s="90" t="s">
        <v>154</v>
      </c>
      <c r="F202" s="91"/>
      <c r="G202" s="88" t="s">
        <v>498</v>
      </c>
      <c r="H202" s="88"/>
      <c r="I202" s="88" t="s">
        <v>55</v>
      </c>
      <c r="J202" s="88" t="s">
        <v>318</v>
      </c>
      <c r="K202" s="91"/>
      <c r="L202" s="88" t="s">
        <v>98</v>
      </c>
      <c r="M202" s="88"/>
      <c r="N202" s="88" t="s">
        <v>99</v>
      </c>
      <c r="O202" s="88"/>
      <c r="P202" s="88"/>
      <c r="Q202" s="88"/>
      <c r="R202" s="90" t="s">
        <v>319</v>
      </c>
      <c r="S202" s="90" t="s">
        <v>319</v>
      </c>
      <c r="T202" s="88" t="s">
        <v>2</v>
      </c>
      <c r="U202" s="88"/>
      <c r="V202" s="88"/>
      <c r="W202" s="73"/>
      <c r="X202" s="73"/>
      <c r="Y202" s="73"/>
      <c r="Z202" s="73"/>
    </row>
    <row r="203" spans="1:26" s="17" customFormat="1">
      <c r="A203" s="85" t="str">
        <f t="shared" si="2"/>
        <v>bln680922</v>
      </c>
      <c r="B203" s="72">
        <f>COUNTA($B$1:B202)</f>
        <v>192</v>
      </c>
      <c r="C203" s="88" t="s">
        <v>320</v>
      </c>
      <c r="D203" s="89"/>
      <c r="E203" s="90" t="s">
        <v>154</v>
      </c>
      <c r="F203" s="91"/>
      <c r="G203" s="88" t="s">
        <v>498</v>
      </c>
      <c r="H203" s="88"/>
      <c r="I203" s="88" t="s">
        <v>55</v>
      </c>
      <c r="J203" s="88" t="s">
        <v>321</v>
      </c>
      <c r="K203" s="91"/>
      <c r="L203" s="88" t="s">
        <v>98</v>
      </c>
      <c r="M203" s="88"/>
      <c r="N203" s="88" t="s">
        <v>99</v>
      </c>
      <c r="O203" s="88"/>
      <c r="P203" s="88"/>
      <c r="Q203" s="88"/>
      <c r="R203" s="90" t="s">
        <v>322</v>
      </c>
      <c r="S203" s="90" t="s">
        <v>322</v>
      </c>
      <c r="T203" s="88" t="s">
        <v>2</v>
      </c>
      <c r="U203" s="88"/>
      <c r="V203" s="88"/>
      <c r="W203" s="73"/>
      <c r="X203" s="73"/>
      <c r="Y203" s="73"/>
      <c r="Z203" s="73"/>
    </row>
    <row r="204" spans="1:26" s="17" customFormat="1">
      <c r="A204" s="85" t="str">
        <f t="shared" si="2"/>
        <v>bln680922</v>
      </c>
      <c r="B204" s="72">
        <f>COUNTA($B$1:B203)</f>
        <v>193</v>
      </c>
      <c r="C204" s="88" t="s">
        <v>323</v>
      </c>
      <c r="D204" s="89"/>
      <c r="E204" s="90"/>
      <c r="F204" s="91"/>
      <c r="G204" s="88" t="s">
        <v>498</v>
      </c>
      <c r="H204" s="88"/>
      <c r="I204" s="88" t="s">
        <v>55</v>
      </c>
      <c r="J204" s="88" t="s">
        <v>324</v>
      </c>
      <c r="K204" s="91"/>
      <c r="L204" s="88" t="s">
        <v>98</v>
      </c>
      <c r="M204" s="88"/>
      <c r="N204" s="88" t="s">
        <v>99</v>
      </c>
      <c r="O204" s="88"/>
      <c r="P204" s="88"/>
      <c r="Q204" s="88"/>
      <c r="R204" s="90" t="s">
        <v>101</v>
      </c>
      <c r="S204" s="88"/>
      <c r="T204" s="88" t="s">
        <v>2</v>
      </c>
      <c r="U204" s="88"/>
      <c r="V204" s="88"/>
      <c r="W204" s="73"/>
      <c r="X204" s="73"/>
      <c r="Y204" s="73"/>
      <c r="Z204" s="73"/>
    </row>
    <row r="205" spans="1:26" s="17" customFormat="1">
      <c r="A205" s="85" t="str">
        <f t="shared" si="2"/>
        <v>bln680922</v>
      </c>
      <c r="B205" s="72">
        <f>COUNTA($B$1:B204)</f>
        <v>194</v>
      </c>
      <c r="C205" s="88" t="s">
        <v>325</v>
      </c>
      <c r="D205" s="89"/>
      <c r="E205" s="90"/>
      <c r="F205" s="91"/>
      <c r="G205" s="88" t="s">
        <v>498</v>
      </c>
      <c r="H205" s="88"/>
      <c r="I205" s="88" t="s">
        <v>55</v>
      </c>
      <c r="J205" s="88" t="s">
        <v>326</v>
      </c>
      <c r="K205" s="91"/>
      <c r="L205" s="88" t="s">
        <v>98</v>
      </c>
      <c r="M205" s="88"/>
      <c r="N205" s="88" t="s">
        <v>99</v>
      </c>
      <c r="O205" s="88"/>
      <c r="P205" s="88"/>
      <c r="Q205" s="88"/>
      <c r="R205" s="90" t="s">
        <v>322</v>
      </c>
      <c r="S205" s="88"/>
      <c r="T205" s="88" t="s">
        <v>2</v>
      </c>
      <c r="U205" s="88"/>
      <c r="V205" s="88"/>
      <c r="W205" s="73"/>
      <c r="X205" s="84"/>
      <c r="Y205" s="84"/>
      <c r="Z205" s="84"/>
    </row>
    <row r="206" spans="1:26" s="17" customFormat="1">
      <c r="A206" s="85" t="str">
        <f t="shared" ref="A206:A228" si="3">A205</f>
        <v>bln680922</v>
      </c>
      <c r="B206" s="72">
        <f>COUNTA($B$1:B205)</f>
        <v>195</v>
      </c>
      <c r="C206" s="73" t="s">
        <v>327</v>
      </c>
      <c r="D206" s="83"/>
      <c r="E206" s="84"/>
      <c r="F206" s="72"/>
      <c r="G206" s="73" t="s">
        <v>498</v>
      </c>
      <c r="H206" s="73"/>
      <c r="I206" s="73" t="s">
        <v>55</v>
      </c>
      <c r="J206" s="73" t="s">
        <v>328</v>
      </c>
      <c r="K206" s="72">
        <v>0</v>
      </c>
      <c r="L206" s="73" t="s">
        <v>98</v>
      </c>
      <c r="M206" s="73"/>
      <c r="N206" s="73" t="s">
        <v>99</v>
      </c>
      <c r="O206" s="73"/>
      <c r="P206" s="73"/>
      <c r="Q206" s="73"/>
      <c r="R206" s="73"/>
      <c r="S206" s="73" t="s">
        <v>329</v>
      </c>
      <c r="T206" s="73"/>
      <c r="U206" s="73"/>
      <c r="V206" s="73"/>
      <c r="W206" s="73"/>
      <c r="X206" s="73"/>
      <c r="Y206" s="73"/>
      <c r="Z206" s="73"/>
    </row>
    <row r="207" spans="1:26" s="17" customFormat="1">
      <c r="A207" s="85" t="str">
        <f t="shared" si="3"/>
        <v>bln680922</v>
      </c>
      <c r="B207" s="72">
        <f>COUNTA($B$1:B206)</f>
        <v>196</v>
      </c>
      <c r="C207" s="73" t="s">
        <v>330</v>
      </c>
      <c r="D207" s="73"/>
      <c r="E207" s="73"/>
      <c r="F207" s="72"/>
      <c r="G207" s="73" t="s">
        <v>498</v>
      </c>
      <c r="H207" s="73"/>
      <c r="I207" s="73" t="s">
        <v>55</v>
      </c>
      <c r="J207" s="73" t="s">
        <v>107</v>
      </c>
      <c r="K207" s="72"/>
      <c r="L207" s="73" t="s">
        <v>98</v>
      </c>
      <c r="M207" s="74"/>
      <c r="N207" s="73" t="s">
        <v>99</v>
      </c>
      <c r="O207" s="73"/>
      <c r="P207" s="73"/>
      <c r="Q207" s="73"/>
      <c r="R207" s="74" t="s">
        <v>124</v>
      </c>
      <c r="S207" s="73"/>
      <c r="T207" s="73" t="s">
        <v>2</v>
      </c>
      <c r="U207" s="73"/>
      <c r="V207" s="73"/>
      <c r="W207" s="73"/>
      <c r="X207" s="84"/>
      <c r="Y207" s="84"/>
      <c r="Z207" s="84"/>
    </row>
    <row r="208" spans="1:26" s="17" customFormat="1">
      <c r="A208" s="85" t="str">
        <f t="shared" si="3"/>
        <v>bln680922</v>
      </c>
      <c r="B208" s="72">
        <f>COUNTA($B$1:B207)</f>
        <v>197</v>
      </c>
      <c r="C208" s="73" t="s">
        <v>331</v>
      </c>
      <c r="D208" s="73"/>
      <c r="E208" s="73"/>
      <c r="F208" s="72"/>
      <c r="G208" s="73" t="s">
        <v>498</v>
      </c>
      <c r="H208" s="73"/>
      <c r="I208" s="73" t="s">
        <v>55</v>
      </c>
      <c r="J208" s="73" t="s">
        <v>332</v>
      </c>
      <c r="K208" s="72"/>
      <c r="L208" s="73" t="s">
        <v>98</v>
      </c>
      <c r="M208" s="74"/>
      <c r="N208" s="73" t="s">
        <v>99</v>
      </c>
      <c r="O208" s="73"/>
      <c r="P208" s="73"/>
      <c r="Q208" s="73"/>
      <c r="R208" s="84" t="s">
        <v>333</v>
      </c>
      <c r="S208" s="73"/>
      <c r="T208" s="73" t="s">
        <v>2</v>
      </c>
      <c r="U208" s="73"/>
      <c r="V208" s="73"/>
      <c r="W208" s="73"/>
      <c r="X208" s="73"/>
      <c r="Y208" s="73"/>
      <c r="Z208" s="73"/>
    </row>
    <row r="209" spans="1:26" s="17" customFormat="1">
      <c r="A209" s="85" t="str">
        <f t="shared" si="3"/>
        <v>bln680922</v>
      </c>
      <c r="B209" s="72">
        <f>COUNTA($B$1:B208)</f>
        <v>198</v>
      </c>
      <c r="C209" s="73" t="s">
        <v>334</v>
      </c>
      <c r="D209" s="73"/>
      <c r="E209" s="73"/>
      <c r="F209" s="72"/>
      <c r="G209" s="73" t="s">
        <v>498</v>
      </c>
      <c r="H209" s="73"/>
      <c r="I209" s="73" t="s">
        <v>55</v>
      </c>
      <c r="J209" s="73" t="s">
        <v>335</v>
      </c>
      <c r="K209" s="72"/>
      <c r="L209" s="73" t="s">
        <v>98</v>
      </c>
      <c r="M209" s="74"/>
      <c r="N209" s="73" t="s">
        <v>99</v>
      </c>
      <c r="O209" s="73"/>
      <c r="P209" s="73"/>
      <c r="Q209" s="73"/>
      <c r="R209" s="84" t="s">
        <v>336</v>
      </c>
      <c r="S209" s="73"/>
      <c r="T209" s="73" t="s">
        <v>2</v>
      </c>
      <c r="U209" s="73"/>
      <c r="V209" s="73"/>
      <c r="W209" s="73"/>
      <c r="X209" s="84"/>
      <c r="Y209" s="84"/>
      <c r="Z209" s="84"/>
    </row>
    <row r="210" spans="1:26" s="17" customFormat="1">
      <c r="A210" s="85" t="str">
        <f t="shared" si="3"/>
        <v>bln680922</v>
      </c>
      <c r="B210" s="72">
        <f>COUNTA($B$1:B209)</f>
        <v>199</v>
      </c>
      <c r="C210" s="73" t="s">
        <v>337</v>
      </c>
      <c r="D210" s="73"/>
      <c r="E210" s="73"/>
      <c r="F210" s="72"/>
      <c r="G210" s="73" t="s">
        <v>498</v>
      </c>
      <c r="H210" s="73"/>
      <c r="I210" s="73" t="s">
        <v>55</v>
      </c>
      <c r="J210" s="73" t="s">
        <v>338</v>
      </c>
      <c r="K210" s="72"/>
      <c r="L210" s="73" t="s">
        <v>98</v>
      </c>
      <c r="M210" s="74"/>
      <c r="N210" s="73" t="s">
        <v>99</v>
      </c>
      <c r="O210" s="73"/>
      <c r="P210" s="73"/>
      <c r="Q210" s="73"/>
      <c r="R210" s="84" t="s">
        <v>339</v>
      </c>
      <c r="S210" s="73"/>
      <c r="T210" s="73" t="s">
        <v>2</v>
      </c>
      <c r="U210" s="73"/>
      <c r="V210" s="73"/>
      <c r="W210" s="73"/>
      <c r="X210" s="73"/>
      <c r="Y210" s="73"/>
      <c r="Z210" s="73"/>
    </row>
    <row r="211" spans="1:26" s="17" customFormat="1">
      <c r="A211" s="85" t="str">
        <f t="shared" si="3"/>
        <v>bln680922</v>
      </c>
      <c r="B211" s="72">
        <f>COUNTA($B$1:B210)</f>
        <v>200</v>
      </c>
      <c r="C211" s="73" t="s">
        <v>340</v>
      </c>
      <c r="D211" s="73"/>
      <c r="E211" s="73"/>
      <c r="F211" s="72"/>
      <c r="G211" s="73" t="s">
        <v>498</v>
      </c>
      <c r="H211" s="73"/>
      <c r="I211" s="73" t="s">
        <v>55</v>
      </c>
      <c r="J211" s="73" t="s">
        <v>341</v>
      </c>
      <c r="K211" s="72"/>
      <c r="L211" s="73" t="s">
        <v>98</v>
      </c>
      <c r="M211" s="74"/>
      <c r="N211" s="73" t="s">
        <v>99</v>
      </c>
      <c r="O211" s="73"/>
      <c r="P211" s="73"/>
      <c r="Q211" s="73"/>
      <c r="R211" s="84" t="s">
        <v>342</v>
      </c>
      <c r="S211" s="73"/>
      <c r="T211" s="73" t="s">
        <v>2</v>
      </c>
      <c r="U211" s="73"/>
      <c r="V211" s="73"/>
      <c r="W211" s="73"/>
      <c r="X211" s="84"/>
      <c r="Y211" s="84"/>
      <c r="Z211" s="84"/>
    </row>
    <row r="212" spans="1:26" s="17" customFormat="1">
      <c r="A212" s="85" t="str">
        <f t="shared" si="3"/>
        <v>bln680922</v>
      </c>
      <c r="B212" s="72">
        <f>COUNTA($B$1:B211)</f>
        <v>201</v>
      </c>
      <c r="C212" s="73" t="s">
        <v>343</v>
      </c>
      <c r="D212" s="73"/>
      <c r="E212" s="73"/>
      <c r="F212" s="72"/>
      <c r="G212" s="73" t="s">
        <v>498</v>
      </c>
      <c r="H212" s="73"/>
      <c r="I212" s="73" t="s">
        <v>55</v>
      </c>
      <c r="J212" s="73" t="s">
        <v>344</v>
      </c>
      <c r="K212" s="72"/>
      <c r="L212" s="73" t="s">
        <v>98</v>
      </c>
      <c r="M212" s="74"/>
      <c r="N212" s="73" t="s">
        <v>99</v>
      </c>
      <c r="O212" s="73"/>
      <c r="P212" s="73"/>
      <c r="Q212" s="73"/>
      <c r="R212" s="84" t="s">
        <v>345</v>
      </c>
      <c r="S212" s="73"/>
      <c r="T212" s="73" t="s">
        <v>2</v>
      </c>
      <c r="U212" s="73"/>
      <c r="V212" s="73"/>
      <c r="W212" s="73"/>
      <c r="X212" s="73"/>
      <c r="Y212" s="73"/>
      <c r="Z212" s="73"/>
    </row>
    <row r="213" spans="1:26" s="17" customFormat="1">
      <c r="A213" s="85" t="str">
        <f t="shared" si="3"/>
        <v>bln680922</v>
      </c>
      <c r="B213" s="72">
        <f>COUNTA($B$1:B212)</f>
        <v>202</v>
      </c>
      <c r="C213" s="73" t="s">
        <v>346</v>
      </c>
      <c r="D213" s="73"/>
      <c r="E213" s="73"/>
      <c r="F213" s="72"/>
      <c r="G213" s="73" t="s">
        <v>498</v>
      </c>
      <c r="H213" s="73"/>
      <c r="I213" s="73" t="s">
        <v>55</v>
      </c>
      <c r="J213" s="73" t="s">
        <v>347</v>
      </c>
      <c r="K213" s="72"/>
      <c r="L213" s="73" t="s">
        <v>98</v>
      </c>
      <c r="M213" s="74"/>
      <c r="N213" s="73" t="s">
        <v>99</v>
      </c>
      <c r="O213" s="73"/>
      <c r="P213" s="73"/>
      <c r="Q213" s="73"/>
      <c r="R213" s="84" t="s">
        <v>348</v>
      </c>
      <c r="S213" s="73"/>
      <c r="T213" s="73" t="s">
        <v>2</v>
      </c>
      <c r="U213" s="73"/>
      <c r="V213" s="73"/>
      <c r="W213" s="73"/>
      <c r="X213" s="84"/>
      <c r="Y213" s="84"/>
      <c r="Z213" s="84"/>
    </row>
    <row r="214" spans="1:26" s="17" customFormat="1">
      <c r="A214" s="85" t="str">
        <f t="shared" si="3"/>
        <v>bln680922</v>
      </c>
      <c r="B214" s="72">
        <f>COUNTA($B$1:B213)</f>
        <v>203</v>
      </c>
      <c r="C214" s="73" t="s">
        <v>349</v>
      </c>
      <c r="D214" s="73"/>
      <c r="E214" s="73"/>
      <c r="F214" s="72"/>
      <c r="G214" s="73" t="s">
        <v>498</v>
      </c>
      <c r="H214" s="73"/>
      <c r="I214" s="73" t="s">
        <v>55</v>
      </c>
      <c r="J214" s="73" t="s">
        <v>350</v>
      </c>
      <c r="K214" s="72"/>
      <c r="L214" s="73" t="s">
        <v>98</v>
      </c>
      <c r="M214" s="74"/>
      <c r="N214" s="73" t="s">
        <v>99</v>
      </c>
      <c r="O214" s="73"/>
      <c r="P214" s="73"/>
      <c r="Q214" s="73"/>
      <c r="R214" s="84" t="s">
        <v>351</v>
      </c>
      <c r="S214" s="73"/>
      <c r="T214" s="73" t="s">
        <v>2</v>
      </c>
      <c r="U214" s="73"/>
      <c r="V214" s="73"/>
      <c r="W214" s="73"/>
      <c r="X214" s="73"/>
      <c r="Y214" s="73"/>
      <c r="Z214" s="73"/>
    </row>
    <row r="215" spans="1:26" s="17" customFormat="1">
      <c r="A215" s="85" t="str">
        <f t="shared" si="3"/>
        <v>bln680922</v>
      </c>
      <c r="B215" s="72">
        <f>COUNTA($B$1:B214)</f>
        <v>204</v>
      </c>
      <c r="C215" s="73" t="s">
        <v>352</v>
      </c>
      <c r="D215" s="73"/>
      <c r="E215" s="73"/>
      <c r="F215" s="72"/>
      <c r="G215" s="73" t="s">
        <v>498</v>
      </c>
      <c r="H215" s="73"/>
      <c r="I215" s="73" t="s">
        <v>55</v>
      </c>
      <c r="J215" s="73" t="s">
        <v>353</v>
      </c>
      <c r="K215" s="72"/>
      <c r="L215" s="73" t="s">
        <v>98</v>
      </c>
      <c r="M215" s="74"/>
      <c r="N215" s="73" t="s">
        <v>99</v>
      </c>
      <c r="O215" s="73"/>
      <c r="P215" s="73"/>
      <c r="Q215" s="73"/>
      <c r="R215" s="74" t="str">
        <f>TEXT(M84,"0")</f>
        <v>Destination1</v>
      </c>
      <c r="S215" s="73"/>
      <c r="T215" s="73" t="s">
        <v>2</v>
      </c>
      <c r="U215" s="73"/>
      <c r="V215" s="73"/>
      <c r="W215" s="73"/>
      <c r="X215" s="73"/>
      <c r="Y215" s="73"/>
      <c r="Z215" s="73"/>
    </row>
    <row r="216" spans="1:26" s="17" customFormat="1">
      <c r="A216" s="85" t="str">
        <f t="shared" si="3"/>
        <v>bln680922</v>
      </c>
      <c r="B216" s="72">
        <f>COUNTA($B$1:B215)</f>
        <v>205</v>
      </c>
      <c r="C216" s="73" t="s">
        <v>354</v>
      </c>
      <c r="D216" s="73"/>
      <c r="E216" s="73"/>
      <c r="F216" s="72"/>
      <c r="G216" s="73" t="s">
        <v>498</v>
      </c>
      <c r="H216" s="73"/>
      <c r="I216" s="73" t="s">
        <v>55</v>
      </c>
      <c r="J216" s="73" t="s">
        <v>355</v>
      </c>
      <c r="K216" s="72"/>
      <c r="L216" s="73" t="s">
        <v>98</v>
      </c>
      <c r="M216" s="74"/>
      <c r="N216" s="73" t="s">
        <v>99</v>
      </c>
      <c r="O216" s="73"/>
      <c r="P216" s="73"/>
      <c r="Q216" s="73"/>
      <c r="R216" s="74" t="str">
        <f>TEXT(M87,"mm/dd/yyyy")</f>
        <v>DepDate1</v>
      </c>
      <c r="S216" s="73"/>
      <c r="T216" s="73" t="s">
        <v>2</v>
      </c>
      <c r="U216" s="73"/>
      <c r="V216" s="73"/>
      <c r="W216" s="73"/>
      <c r="X216" s="73"/>
      <c r="Y216" s="73"/>
      <c r="Z216" s="73"/>
    </row>
    <row r="217" spans="1:26" s="17" customFormat="1">
      <c r="A217" s="85" t="str">
        <f t="shared" si="3"/>
        <v>bln680922</v>
      </c>
      <c r="B217" s="72">
        <f>COUNTA($B$1:B216)</f>
        <v>206</v>
      </c>
      <c r="C217" s="73" t="s">
        <v>356</v>
      </c>
      <c r="D217" s="73"/>
      <c r="E217" s="73"/>
      <c r="F217" s="72"/>
      <c r="G217" s="73" t="s">
        <v>498</v>
      </c>
      <c r="H217" s="73"/>
      <c r="I217" s="73" t="s">
        <v>55</v>
      </c>
      <c r="J217" s="73" t="s">
        <v>357</v>
      </c>
      <c r="K217" s="72"/>
      <c r="L217" s="73" t="s">
        <v>98</v>
      </c>
      <c r="M217" s="74"/>
      <c r="N217" s="73" t="s">
        <v>99</v>
      </c>
      <c r="O217" s="73"/>
      <c r="P217" s="73"/>
      <c r="Q217" s="73"/>
      <c r="R217" s="74" t="str">
        <f>TEXT(M88,"mm/dd/yyyy")</f>
        <v>RetDate1</v>
      </c>
      <c r="S217" s="73"/>
      <c r="T217" s="73" t="s">
        <v>2</v>
      </c>
      <c r="U217" s="73"/>
      <c r="V217" s="73"/>
      <c r="W217" s="73"/>
      <c r="X217" s="73"/>
      <c r="Y217" s="73"/>
      <c r="Z217" s="73"/>
    </row>
    <row r="218" spans="1:26" s="17" customFormat="1">
      <c r="A218" s="85" t="str">
        <f t="shared" si="3"/>
        <v>bln680922</v>
      </c>
      <c r="B218" s="72">
        <f>COUNTA($B$1:B217)</f>
        <v>207</v>
      </c>
      <c r="C218" s="73" t="s">
        <v>358</v>
      </c>
      <c r="D218" s="73"/>
      <c r="E218" s="73"/>
      <c r="F218" s="72"/>
      <c r="G218" s="73" t="s">
        <v>498</v>
      </c>
      <c r="H218" s="73"/>
      <c r="I218" s="73" t="s">
        <v>55</v>
      </c>
      <c r="J218" s="73" t="s">
        <v>359</v>
      </c>
      <c r="K218" s="72"/>
      <c r="L218" s="73" t="s">
        <v>98</v>
      </c>
      <c r="M218" s="74"/>
      <c r="N218" s="73" t="s">
        <v>99</v>
      </c>
      <c r="O218" s="73"/>
      <c r="P218" s="73"/>
      <c r="Q218" s="73"/>
      <c r="R218" s="74" t="s">
        <v>124</v>
      </c>
      <c r="S218" s="84"/>
      <c r="T218" s="73" t="s">
        <v>2</v>
      </c>
      <c r="U218" s="73"/>
      <c r="V218" s="73"/>
      <c r="W218" s="73"/>
      <c r="X218" s="73"/>
      <c r="Y218" s="73"/>
      <c r="Z218" s="73"/>
    </row>
    <row r="219" spans="1:26" s="17" customFormat="1">
      <c r="A219" s="85" t="str">
        <f t="shared" si="3"/>
        <v>bln680922</v>
      </c>
      <c r="B219" s="72">
        <f>COUNTA($B$1:B218)</f>
        <v>208</v>
      </c>
      <c r="C219" s="73" t="s">
        <v>360</v>
      </c>
      <c r="D219" s="73"/>
      <c r="E219" s="73"/>
      <c r="F219" s="72"/>
      <c r="G219" s="73" t="s">
        <v>498</v>
      </c>
      <c r="H219" s="73"/>
      <c r="I219" s="73" t="s">
        <v>55</v>
      </c>
      <c r="J219" s="73" t="s">
        <v>361</v>
      </c>
      <c r="K219" s="72"/>
      <c r="L219" s="73" t="s">
        <v>98</v>
      </c>
      <c r="M219" s="74"/>
      <c r="N219" s="73" t="s">
        <v>99</v>
      </c>
      <c r="O219" s="73"/>
      <c r="P219" s="73"/>
      <c r="Q219" s="73"/>
      <c r="R219" s="74"/>
      <c r="S219" s="73"/>
      <c r="T219" s="73"/>
      <c r="U219" s="73"/>
      <c r="V219" s="73"/>
      <c r="W219" s="73"/>
      <c r="X219" s="73"/>
      <c r="Y219" s="73"/>
      <c r="Z219" s="73"/>
    </row>
    <row r="220" spans="1:26" s="17" customFormat="1">
      <c r="A220" s="85" t="str">
        <f t="shared" si="3"/>
        <v>bln680922</v>
      </c>
      <c r="B220" s="72">
        <f>COUNTA($B$1:B219)</f>
        <v>209</v>
      </c>
      <c r="C220" s="73" t="s">
        <v>362</v>
      </c>
      <c r="D220" s="73"/>
      <c r="E220" s="73"/>
      <c r="F220" s="72"/>
      <c r="G220" s="73" t="s">
        <v>498</v>
      </c>
      <c r="H220" s="73"/>
      <c r="I220" s="73" t="s">
        <v>55</v>
      </c>
      <c r="J220" s="73" t="s">
        <v>363</v>
      </c>
      <c r="K220" s="72"/>
      <c r="L220" s="73" t="s">
        <v>98</v>
      </c>
      <c r="M220" s="74"/>
      <c r="N220" s="73" t="s">
        <v>99</v>
      </c>
      <c r="O220" s="73"/>
      <c r="P220" s="73"/>
      <c r="Q220" s="73"/>
      <c r="R220" s="74"/>
      <c r="S220" s="73"/>
      <c r="T220" s="73"/>
      <c r="U220" s="73"/>
      <c r="V220" s="73"/>
      <c r="W220" s="73"/>
      <c r="X220" s="73"/>
      <c r="Y220" s="73"/>
      <c r="Z220" s="73"/>
    </row>
    <row r="221" spans="1:26" s="17" customFormat="1">
      <c r="A221" s="85" t="str">
        <f t="shared" si="3"/>
        <v>bln680922</v>
      </c>
      <c r="B221" s="72">
        <f>COUNTA($B$1:B220)</f>
        <v>210</v>
      </c>
      <c r="C221" s="73" t="s">
        <v>364</v>
      </c>
      <c r="D221" s="73"/>
      <c r="E221" s="73"/>
      <c r="F221" s="72"/>
      <c r="G221" s="73" t="s">
        <v>498</v>
      </c>
      <c r="H221" s="73"/>
      <c r="I221" s="73" t="s">
        <v>55</v>
      </c>
      <c r="J221" s="73" t="s">
        <v>365</v>
      </c>
      <c r="K221" s="72"/>
      <c r="L221" s="73" t="s">
        <v>98</v>
      </c>
      <c r="M221" s="74"/>
      <c r="N221" s="73" t="s">
        <v>99</v>
      </c>
      <c r="O221" s="73"/>
      <c r="P221" s="73"/>
      <c r="Q221" s="73"/>
      <c r="R221" s="87" t="str">
        <f>TEXT(M145,"mm/dd/yyyy")</f>
        <v>BirthDate1</v>
      </c>
      <c r="S221" s="73"/>
      <c r="T221" s="73" t="s">
        <v>2</v>
      </c>
      <c r="U221" s="73"/>
      <c r="V221" s="73"/>
      <c r="W221" s="73"/>
      <c r="X221" s="73"/>
      <c r="Y221" s="73"/>
      <c r="Z221" s="73"/>
    </row>
    <row r="222" spans="1:26" s="17" customFormat="1">
      <c r="A222" s="85" t="str">
        <f t="shared" si="3"/>
        <v>bln680922</v>
      </c>
      <c r="B222" s="72">
        <f>COUNTA($B$1:B221)</f>
        <v>211</v>
      </c>
      <c r="C222" s="73" t="s">
        <v>366</v>
      </c>
      <c r="D222" s="73"/>
      <c r="E222" s="73"/>
      <c r="F222" s="72"/>
      <c r="G222" s="73" t="s">
        <v>498</v>
      </c>
      <c r="H222" s="73"/>
      <c r="I222" s="73" t="s">
        <v>55</v>
      </c>
      <c r="J222" s="73" t="s">
        <v>367</v>
      </c>
      <c r="K222" s="72"/>
      <c r="L222" s="73" t="s">
        <v>98</v>
      </c>
      <c r="M222" s="74"/>
      <c r="N222" s="73" t="s">
        <v>99</v>
      </c>
      <c r="O222" s="73"/>
      <c r="P222" s="73"/>
      <c r="Q222" s="73"/>
      <c r="R222" s="87" t="str">
        <f>TEXT(M156,"0")</f>
        <v>Phone1</v>
      </c>
      <c r="S222" s="73"/>
      <c r="T222" s="73" t="s">
        <v>2</v>
      </c>
      <c r="U222" s="73"/>
      <c r="V222" s="73"/>
      <c r="W222" s="73"/>
      <c r="X222" s="73"/>
      <c r="Y222" s="73"/>
      <c r="Z222" s="73"/>
    </row>
    <row r="223" spans="1:26" s="17" customFormat="1">
      <c r="A223" s="85" t="str">
        <f t="shared" si="3"/>
        <v>bln680922</v>
      </c>
      <c r="B223" s="72">
        <f>COUNTA($B$1:B222)</f>
        <v>212</v>
      </c>
      <c r="C223" s="73" t="s">
        <v>368</v>
      </c>
      <c r="D223" s="73"/>
      <c r="E223" s="73"/>
      <c r="F223" s="72"/>
      <c r="G223" s="73" t="s">
        <v>498</v>
      </c>
      <c r="H223" s="73"/>
      <c r="I223" s="73" t="s">
        <v>55</v>
      </c>
      <c r="J223" s="73" t="s">
        <v>369</v>
      </c>
      <c r="K223" s="72">
        <v>2</v>
      </c>
      <c r="L223" s="73" t="s">
        <v>98</v>
      </c>
      <c r="M223" s="74"/>
      <c r="N223" s="73" t="s">
        <v>99</v>
      </c>
      <c r="O223" s="73"/>
      <c r="P223" s="73"/>
      <c r="Q223" s="73"/>
      <c r="R223" s="74" t="s">
        <v>124</v>
      </c>
      <c r="S223" s="73"/>
      <c r="T223" s="73" t="s">
        <v>2</v>
      </c>
      <c r="U223" s="73"/>
      <c r="V223" s="73"/>
      <c r="W223" s="73"/>
      <c r="X223" s="73"/>
      <c r="Y223" s="73"/>
      <c r="Z223" s="73"/>
    </row>
    <row r="224" spans="1:26" s="17" customFormat="1">
      <c r="A224" s="85" t="str">
        <f t="shared" si="3"/>
        <v>bln680922</v>
      </c>
      <c r="B224" s="72">
        <f>COUNTA($B$1:B223)</f>
        <v>213</v>
      </c>
      <c r="C224" s="73" t="s">
        <v>370</v>
      </c>
      <c r="D224" s="73"/>
      <c r="E224" s="73"/>
      <c r="F224" s="72"/>
      <c r="G224" s="73" t="s">
        <v>498</v>
      </c>
      <c r="H224" s="73"/>
      <c r="I224" s="73" t="s">
        <v>55</v>
      </c>
      <c r="J224" s="73" t="s">
        <v>371</v>
      </c>
      <c r="K224" s="72"/>
      <c r="L224" s="73" t="s">
        <v>98</v>
      </c>
      <c r="M224" s="74"/>
      <c r="N224" s="73" t="s">
        <v>99</v>
      </c>
      <c r="O224" s="73"/>
      <c r="P224" s="73"/>
      <c r="Q224" s="73"/>
      <c r="R224" s="74"/>
      <c r="S224" s="73"/>
      <c r="T224" s="73"/>
      <c r="U224" s="73"/>
      <c r="V224" s="73"/>
      <c r="W224" s="73"/>
      <c r="X224" s="73"/>
      <c r="Y224" s="73"/>
      <c r="Z224" s="73"/>
    </row>
    <row r="225" spans="1:26" s="17" customFormat="1">
      <c r="A225" s="85" t="str">
        <f t="shared" si="3"/>
        <v>bln680922</v>
      </c>
      <c r="B225" s="72">
        <f>COUNTA($B$1:B224)</f>
        <v>214</v>
      </c>
      <c r="C225" s="73" t="s">
        <v>513</v>
      </c>
      <c r="D225" s="73"/>
      <c r="E225" s="73"/>
      <c r="F225" s="72"/>
      <c r="G225" s="73" t="s">
        <v>498</v>
      </c>
      <c r="H225" s="73"/>
      <c r="I225" s="73" t="s">
        <v>55</v>
      </c>
      <c r="J225" s="73" t="s">
        <v>514</v>
      </c>
      <c r="K225" s="72"/>
      <c r="L225" s="73" t="s">
        <v>98</v>
      </c>
      <c r="M225" s="74"/>
      <c r="N225" s="73" t="s">
        <v>99</v>
      </c>
      <c r="O225" s="73"/>
      <c r="P225" s="73"/>
      <c r="Q225" s="73"/>
      <c r="R225" s="84" t="s">
        <v>199</v>
      </c>
      <c r="S225" s="73"/>
      <c r="T225" s="73" t="s">
        <v>2</v>
      </c>
      <c r="U225" s="73"/>
      <c r="V225" s="73"/>
      <c r="W225" s="73"/>
      <c r="X225" s="84"/>
      <c r="Y225" s="84"/>
      <c r="Z225" s="84"/>
    </row>
    <row r="226" spans="1:26" s="12" customFormat="1" ht="12.75" customHeight="1">
      <c r="A226" s="85" t="str">
        <f t="shared" si="3"/>
        <v>bln680922</v>
      </c>
      <c r="B226" s="72">
        <f>COUNTA($B$1:B225)</f>
        <v>215</v>
      </c>
      <c r="C226" s="73" t="s">
        <v>515</v>
      </c>
      <c r="D226" s="73"/>
      <c r="E226" s="73"/>
      <c r="F226" s="72"/>
      <c r="G226" s="73" t="s">
        <v>498</v>
      </c>
      <c r="H226" s="73"/>
      <c r="I226" s="73" t="s">
        <v>55</v>
      </c>
      <c r="J226" s="73" t="s">
        <v>516</v>
      </c>
      <c r="K226" s="72"/>
      <c r="L226" s="73" t="s">
        <v>98</v>
      </c>
      <c r="M226" s="74"/>
      <c r="N226" s="73" t="s">
        <v>99</v>
      </c>
      <c r="O226" s="73"/>
      <c r="P226" s="73"/>
      <c r="Q226" s="73"/>
      <c r="R226" s="84"/>
      <c r="S226" s="73"/>
      <c r="T226" s="73"/>
      <c r="U226" s="73"/>
      <c r="V226" s="73"/>
      <c r="W226" s="73"/>
      <c r="X226" s="84"/>
      <c r="Y226" s="84"/>
      <c r="Z226" s="84"/>
    </row>
    <row r="227" spans="1:26">
      <c r="A227" s="85" t="str">
        <f t="shared" si="3"/>
        <v>bln680922</v>
      </c>
      <c r="B227" s="72">
        <f>COUNTA($B$1:B226)</f>
        <v>216</v>
      </c>
      <c r="C227" s="73" t="s">
        <v>383</v>
      </c>
      <c r="D227" s="73"/>
      <c r="E227" s="73"/>
      <c r="F227" s="72"/>
      <c r="G227" s="73" t="s">
        <v>498</v>
      </c>
      <c r="H227" s="73"/>
      <c r="I227" s="73" t="s">
        <v>55</v>
      </c>
      <c r="J227" s="73" t="s">
        <v>384</v>
      </c>
      <c r="K227" s="72"/>
      <c r="L227" s="73" t="s">
        <v>98</v>
      </c>
      <c r="M227" s="74"/>
      <c r="N227" s="73" t="s">
        <v>99</v>
      </c>
      <c r="O227" s="73"/>
      <c r="P227" s="73"/>
      <c r="Q227" s="73"/>
      <c r="R227" s="74">
        <f>S176</f>
        <v>0</v>
      </c>
      <c r="S227" s="73"/>
      <c r="T227" s="73" t="s">
        <v>2</v>
      </c>
      <c r="U227" s="73"/>
      <c r="V227" s="73"/>
      <c r="W227" s="73"/>
      <c r="X227" s="73"/>
      <c r="Y227" s="73"/>
      <c r="Z227" s="73"/>
    </row>
    <row r="228" spans="1:26">
      <c r="A228" s="85" t="str">
        <f t="shared" si="3"/>
        <v>bln680922</v>
      </c>
      <c r="B228" s="72">
        <f>COUNTA($B$1:B227)</f>
        <v>217</v>
      </c>
      <c r="C228" s="88" t="s">
        <v>67</v>
      </c>
      <c r="D228" s="89"/>
      <c r="E228" s="90" t="s">
        <v>154</v>
      </c>
      <c r="F228" s="91"/>
      <c r="G228" s="88" t="s">
        <v>498</v>
      </c>
      <c r="H228" s="88"/>
      <c r="I228" s="88"/>
      <c r="J228" s="88"/>
      <c r="K228" s="91"/>
      <c r="L228" s="88" t="s">
        <v>67</v>
      </c>
      <c r="M228" s="92">
        <v>4</v>
      </c>
      <c r="N228" s="73"/>
      <c r="O228" s="73"/>
      <c r="P228" s="73"/>
      <c r="Q228" s="73"/>
      <c r="R228" s="74"/>
      <c r="S228" s="84"/>
      <c r="T228" s="73"/>
      <c r="U228" s="73"/>
      <c r="V228" s="73"/>
      <c r="W228" s="73"/>
      <c r="X228" s="84"/>
      <c r="Y228" s="84"/>
      <c r="Z228" s="84"/>
    </row>
    <row r="229" spans="1:26">
      <c r="A229" s="85" t="s">
        <v>21</v>
      </c>
      <c r="B229" s="72">
        <f>COUNTA($B$1:B228)</f>
        <v>218</v>
      </c>
      <c r="C229" s="88" t="s">
        <v>327</v>
      </c>
      <c r="D229" s="89"/>
      <c r="E229" s="90" t="s">
        <v>154</v>
      </c>
      <c r="F229" s="91"/>
      <c r="G229" s="88" t="s">
        <v>498</v>
      </c>
      <c r="H229" s="88"/>
      <c r="I229" s="88"/>
      <c r="J229" s="88"/>
      <c r="K229" s="91"/>
      <c r="L229" s="88" t="s">
        <v>396</v>
      </c>
      <c r="M229" s="88" t="s">
        <v>397</v>
      </c>
      <c r="N229" s="88"/>
      <c r="O229" s="88"/>
      <c r="P229" s="88"/>
      <c r="Q229" s="88"/>
      <c r="R229" s="88"/>
      <c r="S229" s="90"/>
      <c r="T229" s="88"/>
      <c r="U229" s="88"/>
      <c r="V229" s="88"/>
      <c r="W229" s="73"/>
      <c r="X229" s="84"/>
      <c r="Y229" s="84"/>
      <c r="Z229" s="84"/>
    </row>
    <row r="230" spans="1:26">
      <c r="A230" s="85" t="s">
        <v>21</v>
      </c>
      <c r="B230" s="72">
        <f>COUNTA($B$1:B229)</f>
        <v>219</v>
      </c>
      <c r="C230" s="88" t="s">
        <v>327</v>
      </c>
      <c r="D230" s="89"/>
      <c r="E230" s="90" t="s">
        <v>154</v>
      </c>
      <c r="F230" s="91"/>
      <c r="G230" s="88" t="s">
        <v>498</v>
      </c>
      <c r="H230" s="88"/>
      <c r="I230" s="88"/>
      <c r="J230" s="88"/>
      <c r="K230" s="91"/>
      <c r="L230" s="88" t="s">
        <v>398</v>
      </c>
      <c r="M230" s="88" t="s">
        <v>399</v>
      </c>
      <c r="N230" s="88"/>
      <c r="O230" s="88"/>
      <c r="P230" s="88"/>
      <c r="Q230" s="88"/>
      <c r="R230" s="88"/>
      <c r="S230" s="90"/>
      <c r="T230" s="88"/>
      <c r="U230" s="88"/>
      <c r="V230" s="88"/>
      <c r="W230" s="73"/>
      <c r="X230" s="84"/>
      <c r="Y230" s="84"/>
      <c r="Z230" s="84"/>
    </row>
    <row r="231" spans="1:26" s="12" customFormat="1" ht="12.75" customHeight="1">
      <c r="A231" s="85" t="s">
        <v>21</v>
      </c>
      <c r="B231" s="72">
        <f>COUNTA($B$1:B230)</f>
        <v>220</v>
      </c>
      <c r="C231" s="88" t="s">
        <v>327</v>
      </c>
      <c r="D231" s="89"/>
      <c r="E231" s="90" t="s">
        <v>154</v>
      </c>
      <c r="F231" s="91"/>
      <c r="G231" s="88" t="s">
        <v>498</v>
      </c>
      <c r="H231" s="88"/>
      <c r="I231" s="88"/>
      <c r="J231" s="88"/>
      <c r="K231" s="91"/>
      <c r="L231" s="88" t="s">
        <v>393</v>
      </c>
      <c r="M231" s="88" t="str">
        <f ca="1">Global!B3 &amp; "ConfirmationPage.png"</f>
        <v>L:\Regression\Test Results\Temp_Results\AEM Regression\Travelex\UAT\Travel EX Migration_AEM Regression_UAT01Sep26101238\ConfirmationPage.png</v>
      </c>
      <c r="N231" s="88"/>
      <c r="O231" s="88"/>
      <c r="P231" s="88"/>
      <c r="Q231" s="88"/>
      <c r="R231" s="88"/>
      <c r="S231" s="90"/>
      <c r="T231" s="88"/>
      <c r="U231" s="88"/>
      <c r="V231" s="88"/>
      <c r="W231" s="73"/>
      <c r="X231" s="84"/>
      <c r="Y231" s="84"/>
      <c r="Z231" s="84"/>
    </row>
    <row r="232" spans="1:26">
      <c r="A232" s="85" t="s">
        <v>21</v>
      </c>
      <c r="B232" s="72">
        <f>COUNTA($B$1:B231)</f>
        <v>221</v>
      </c>
      <c r="C232" s="88" t="s">
        <v>67</v>
      </c>
      <c r="D232" s="89"/>
      <c r="E232" s="90" t="s">
        <v>154</v>
      </c>
      <c r="F232" s="91"/>
      <c r="G232" s="88" t="s">
        <v>498</v>
      </c>
      <c r="H232" s="88"/>
      <c r="I232" s="88"/>
      <c r="J232" s="88"/>
      <c r="K232" s="91"/>
      <c r="L232" s="88" t="s">
        <v>67</v>
      </c>
      <c r="M232" s="92">
        <v>4</v>
      </c>
      <c r="N232" s="73"/>
      <c r="O232" s="73"/>
      <c r="P232" s="73"/>
      <c r="Q232" s="73"/>
      <c r="R232" s="74"/>
      <c r="S232" s="84"/>
      <c r="T232" s="73"/>
      <c r="U232" s="73"/>
      <c r="V232" s="73"/>
      <c r="W232" s="73"/>
      <c r="X232" s="84"/>
      <c r="Y232" s="84"/>
      <c r="Z232" s="84"/>
    </row>
    <row r="233" spans="1:26" s="17" customFormat="1">
      <c r="A233" s="85" t="s">
        <v>21</v>
      </c>
      <c r="B233" s="72">
        <f>COUNTA($B$1:B232)</f>
        <v>222</v>
      </c>
      <c r="C233" s="88" t="s">
        <v>402</v>
      </c>
      <c r="D233" s="89"/>
      <c r="E233" s="90" t="s">
        <v>154</v>
      </c>
      <c r="F233" s="91"/>
      <c r="G233" s="88" t="s">
        <v>498</v>
      </c>
      <c r="H233" s="88"/>
      <c r="I233" s="88"/>
      <c r="J233" s="88"/>
      <c r="K233" s="91"/>
      <c r="L233" s="88" t="s">
        <v>398</v>
      </c>
      <c r="M233" s="88" t="s">
        <v>403</v>
      </c>
      <c r="N233" s="88"/>
      <c r="O233" s="88"/>
      <c r="P233" s="88"/>
      <c r="Q233" s="88"/>
      <c r="R233" s="88"/>
      <c r="S233" s="90"/>
      <c r="T233" s="88"/>
      <c r="U233" s="88"/>
      <c r="V233" s="88"/>
      <c r="W233" s="73"/>
      <c r="X233" s="73"/>
      <c r="Y233" s="73"/>
      <c r="Z233" s="73"/>
    </row>
    <row r="234" spans="1:26">
      <c r="A234" s="85" t="s">
        <v>21</v>
      </c>
      <c r="B234" s="72">
        <f>COUNTA($B$1:B233)</f>
        <v>223</v>
      </c>
      <c r="C234" s="88" t="s">
        <v>404</v>
      </c>
      <c r="D234" s="89"/>
      <c r="E234" s="90" t="s">
        <v>154</v>
      </c>
      <c r="F234" s="91"/>
      <c r="G234" s="88" t="s">
        <v>498</v>
      </c>
      <c r="H234" s="88"/>
      <c r="I234" s="88"/>
      <c r="J234" s="88"/>
      <c r="K234" s="91"/>
      <c r="L234" s="88" t="s">
        <v>393</v>
      </c>
      <c r="M234" s="88" t="str">
        <f ca="1">Global!B3 &amp; "ConfirmationMessage1.png"</f>
        <v>L:\Regression\Test Results\Temp_Results\AEM Regression\Travelex\UAT\Travel EX Migration_AEM Regression_UAT01Sep26101238\ConfirmationMessage1.png</v>
      </c>
      <c r="N234" s="88"/>
      <c r="O234" s="88"/>
      <c r="P234" s="88"/>
      <c r="Q234" s="88"/>
      <c r="R234" s="88"/>
      <c r="S234" s="90"/>
      <c r="T234" s="88"/>
      <c r="U234" s="88"/>
      <c r="V234" s="88"/>
      <c r="W234" s="73"/>
      <c r="X234" s="73"/>
      <c r="Y234" s="73"/>
      <c r="Z234" s="73"/>
    </row>
    <row r="235" spans="1:26" s="17" customFormat="1">
      <c r="A235" s="85" t="s">
        <v>21</v>
      </c>
      <c r="B235" s="72">
        <f>COUNTA($B$1:B234)</f>
        <v>224</v>
      </c>
      <c r="C235" s="88" t="s">
        <v>67</v>
      </c>
      <c r="D235" s="89"/>
      <c r="E235" s="90" t="s">
        <v>154</v>
      </c>
      <c r="F235" s="91"/>
      <c r="G235" s="88" t="s">
        <v>498</v>
      </c>
      <c r="H235" s="88"/>
      <c r="I235" s="88"/>
      <c r="J235" s="88"/>
      <c r="K235" s="91"/>
      <c r="L235" s="88" t="s">
        <v>67</v>
      </c>
      <c r="M235" s="92">
        <v>5</v>
      </c>
      <c r="N235" s="88"/>
      <c r="O235" s="88"/>
      <c r="P235" s="88"/>
      <c r="Q235" s="88"/>
      <c r="R235" s="92"/>
      <c r="S235" s="90"/>
      <c r="T235" s="88"/>
      <c r="U235" s="88"/>
      <c r="V235" s="88"/>
      <c r="W235" s="73"/>
      <c r="X235" s="84"/>
      <c r="Y235" s="84"/>
      <c r="Z235" s="84"/>
    </row>
    <row r="236" spans="1:26">
      <c r="A236" s="85" t="s">
        <v>21</v>
      </c>
      <c r="B236" s="72">
        <f>COUNTA($B$1:B235)</f>
        <v>225</v>
      </c>
      <c r="C236" s="88" t="s">
        <v>405</v>
      </c>
      <c r="D236" s="89"/>
      <c r="E236" s="90" t="s">
        <v>154</v>
      </c>
      <c r="F236" s="91"/>
      <c r="G236" s="88" t="s">
        <v>498</v>
      </c>
      <c r="H236" s="88"/>
      <c r="I236" s="88"/>
      <c r="J236" s="88"/>
      <c r="K236" s="91"/>
      <c r="L236" s="88" t="s">
        <v>398</v>
      </c>
      <c r="M236" s="88" t="s">
        <v>406</v>
      </c>
      <c r="N236" s="88"/>
      <c r="O236" s="88"/>
      <c r="P236" s="88"/>
      <c r="Q236" s="88"/>
      <c r="R236" s="88"/>
      <c r="S236" s="90"/>
      <c r="T236" s="88"/>
      <c r="U236" s="88"/>
      <c r="V236" s="88"/>
      <c r="W236" s="73"/>
      <c r="X236" s="73"/>
      <c r="Y236" s="73"/>
      <c r="Z236" s="73"/>
    </row>
    <row r="237" spans="1:26">
      <c r="A237" s="85" t="s">
        <v>21</v>
      </c>
      <c r="B237" s="72">
        <f>COUNTA($B$1:B236)</f>
        <v>226</v>
      </c>
      <c r="C237" s="88" t="s">
        <v>407</v>
      </c>
      <c r="D237" s="89"/>
      <c r="E237" s="90" t="s">
        <v>154</v>
      </c>
      <c r="F237" s="91"/>
      <c r="G237" s="88" t="s">
        <v>498</v>
      </c>
      <c r="H237" s="88"/>
      <c r="I237" s="88"/>
      <c r="J237" s="88"/>
      <c r="K237" s="91"/>
      <c r="L237" s="88" t="s">
        <v>393</v>
      </c>
      <c r="M237" s="88" t="str">
        <f ca="1">Global!B3 &amp; "ConfirmationMessage2.png"</f>
        <v>L:\Regression\Test Results\Temp_Results\AEM Regression\Travelex\UAT\Travel EX Migration_AEM Regression_UAT01Sep26101238\ConfirmationMessage2.png</v>
      </c>
      <c r="N237" s="88"/>
      <c r="O237" s="88"/>
      <c r="P237" s="88"/>
      <c r="Q237" s="88"/>
      <c r="R237" s="88"/>
      <c r="S237" s="90"/>
      <c r="T237" s="88"/>
      <c r="U237" s="88"/>
      <c r="V237" s="88"/>
      <c r="W237" s="73"/>
      <c r="X237" s="73"/>
      <c r="Y237" s="73"/>
      <c r="Z237" s="73"/>
    </row>
    <row r="238" spans="1:26">
      <c r="A238" s="85" t="s">
        <v>21</v>
      </c>
      <c r="B238" s="72">
        <f>COUNTA($B$1:B237)</f>
        <v>227</v>
      </c>
      <c r="C238" s="88" t="s">
        <v>67</v>
      </c>
      <c r="D238" s="89"/>
      <c r="E238" s="90" t="s">
        <v>154</v>
      </c>
      <c r="F238" s="91"/>
      <c r="G238" s="88" t="s">
        <v>498</v>
      </c>
      <c r="H238" s="88"/>
      <c r="I238" s="88"/>
      <c r="J238" s="88"/>
      <c r="K238" s="91"/>
      <c r="L238" s="88" t="s">
        <v>67</v>
      </c>
      <c r="M238" s="92">
        <v>5</v>
      </c>
      <c r="N238" s="88"/>
      <c r="O238" s="88"/>
      <c r="P238" s="88"/>
      <c r="Q238" s="88"/>
      <c r="R238" s="92"/>
      <c r="S238" s="90"/>
      <c r="T238" s="88"/>
      <c r="U238" s="88"/>
      <c r="V238" s="88"/>
      <c r="W238" s="73"/>
      <c r="X238" s="73"/>
      <c r="Y238" s="73"/>
      <c r="Z238" s="73"/>
    </row>
    <row r="239" spans="1:26">
      <c r="A239" s="85" t="s">
        <v>21</v>
      </c>
      <c r="B239" s="72">
        <f>COUNTA($B$1:B238)</f>
        <v>228</v>
      </c>
      <c r="C239" s="88" t="s">
        <v>405</v>
      </c>
      <c r="D239" s="89"/>
      <c r="E239" s="90" t="s">
        <v>154</v>
      </c>
      <c r="F239" s="91"/>
      <c r="G239" s="88" t="s">
        <v>498</v>
      </c>
      <c r="H239" s="88"/>
      <c r="I239" s="88"/>
      <c r="J239" s="88"/>
      <c r="K239" s="91"/>
      <c r="L239" s="88" t="s">
        <v>398</v>
      </c>
      <c r="M239" s="88" t="s">
        <v>406</v>
      </c>
      <c r="N239" s="88"/>
      <c r="O239" s="88"/>
      <c r="P239" s="88"/>
      <c r="Q239" s="88"/>
      <c r="R239" s="88"/>
      <c r="S239" s="90"/>
      <c r="T239" s="88"/>
      <c r="U239" s="88"/>
      <c r="V239" s="88"/>
      <c r="W239" s="73"/>
      <c r="X239" s="73"/>
      <c r="Y239" s="73"/>
      <c r="Z239" s="73"/>
    </row>
    <row r="240" spans="1:26">
      <c r="A240" s="85" t="s">
        <v>21</v>
      </c>
      <c r="B240" s="72">
        <f>COUNTA($B$1:B239)</f>
        <v>229</v>
      </c>
      <c r="C240" s="88" t="s">
        <v>408</v>
      </c>
      <c r="D240" s="89"/>
      <c r="E240" s="90" t="s">
        <v>154</v>
      </c>
      <c r="F240" s="91"/>
      <c r="G240" s="88" t="s">
        <v>498</v>
      </c>
      <c r="H240" s="88"/>
      <c r="I240" s="88"/>
      <c r="J240" s="88"/>
      <c r="K240" s="91"/>
      <c r="L240" s="88" t="s">
        <v>393</v>
      </c>
      <c r="M240" s="88" t="str">
        <f ca="1">Global!B3 &amp; "ConfirmationMessage3.png"</f>
        <v>L:\Regression\Test Results\Temp_Results\AEM Regression\Travelex\UAT\Travel EX Migration_AEM Regression_UAT01Sep26101238\ConfirmationMessage3.png</v>
      </c>
      <c r="N240" s="88"/>
      <c r="O240" s="88"/>
      <c r="P240" s="88"/>
      <c r="Q240" s="88"/>
      <c r="R240" s="88"/>
      <c r="S240" s="90"/>
      <c r="T240" s="88"/>
      <c r="U240" s="88"/>
      <c r="V240" s="88"/>
      <c r="W240" s="73"/>
      <c r="X240" s="73"/>
      <c r="Y240" s="73"/>
      <c r="Z240" s="73"/>
    </row>
    <row r="241" spans="1:26">
      <c r="A241" s="85" t="s">
        <v>21</v>
      </c>
      <c r="B241" s="72">
        <f>COUNTA($B$1:B240)</f>
        <v>230</v>
      </c>
      <c r="C241" s="88" t="s">
        <v>67</v>
      </c>
      <c r="D241" s="89"/>
      <c r="E241" s="90" t="s">
        <v>154</v>
      </c>
      <c r="F241" s="91"/>
      <c r="G241" s="88" t="s">
        <v>498</v>
      </c>
      <c r="H241" s="88"/>
      <c r="I241" s="88"/>
      <c r="J241" s="88"/>
      <c r="K241" s="91"/>
      <c r="L241" s="88" t="s">
        <v>67</v>
      </c>
      <c r="M241" s="92">
        <v>5</v>
      </c>
      <c r="N241" s="88"/>
      <c r="O241" s="88"/>
      <c r="P241" s="88"/>
      <c r="Q241" s="88"/>
      <c r="R241" s="92"/>
      <c r="S241" s="90"/>
      <c r="T241" s="88"/>
      <c r="U241" s="88"/>
      <c r="V241" s="88"/>
      <c r="W241" s="73"/>
      <c r="X241" s="84"/>
      <c r="Y241" s="84"/>
      <c r="Z241" s="84"/>
    </row>
    <row r="242" spans="1:26" s="20" customFormat="1" ht="12.75" customHeight="1">
      <c r="A242" s="85" t="s">
        <v>21</v>
      </c>
      <c r="B242" s="72">
        <f>COUNTA($B$1:B241)</f>
        <v>231</v>
      </c>
      <c r="C242" s="88" t="s">
        <v>405</v>
      </c>
      <c r="D242" s="89"/>
      <c r="E242" s="90" t="s">
        <v>154</v>
      </c>
      <c r="F242" s="91"/>
      <c r="G242" s="88" t="s">
        <v>498</v>
      </c>
      <c r="H242" s="88"/>
      <c r="I242" s="88"/>
      <c r="J242" s="88"/>
      <c r="K242" s="91"/>
      <c r="L242" s="88" t="s">
        <v>398</v>
      </c>
      <c r="M242" s="88" t="s">
        <v>409</v>
      </c>
      <c r="N242" s="88"/>
      <c r="O242" s="88"/>
      <c r="P242" s="88"/>
      <c r="Q242" s="88"/>
      <c r="R242" s="88"/>
      <c r="S242" s="90"/>
      <c r="T242" s="88"/>
      <c r="U242" s="88"/>
      <c r="V242" s="88"/>
      <c r="W242" s="73"/>
      <c r="X242" s="73"/>
      <c r="Y242" s="73"/>
      <c r="Z242" s="73"/>
    </row>
    <row r="243" spans="1:26" s="16" customFormat="1" outlineLevel="1">
      <c r="A243" s="85" t="s">
        <v>21</v>
      </c>
      <c r="B243" s="72">
        <f>COUNTA($B$1:B242)</f>
        <v>232</v>
      </c>
      <c r="C243" s="88" t="s">
        <v>410</v>
      </c>
      <c r="D243" s="89"/>
      <c r="E243" s="90" t="s">
        <v>154</v>
      </c>
      <c r="F243" s="91"/>
      <c r="G243" s="88" t="s">
        <v>498</v>
      </c>
      <c r="H243" s="88"/>
      <c r="I243" s="88"/>
      <c r="J243" s="88"/>
      <c r="K243" s="91"/>
      <c r="L243" s="88" t="s">
        <v>393</v>
      </c>
      <c r="M243" s="88" t="str">
        <f ca="1">Global!B3 &amp; "ConfirmationMessage4.png"</f>
        <v>L:\Regression\Test Results\Temp_Results\AEM Regression\Travelex\UAT\Travel EX Migration_AEM Regression_UAT01Sep26101238\ConfirmationMessage4.png</v>
      </c>
      <c r="N243" s="88"/>
      <c r="O243" s="88"/>
      <c r="P243" s="88"/>
      <c r="Q243" s="88"/>
      <c r="R243" s="88"/>
      <c r="S243" s="90"/>
      <c r="T243" s="88"/>
      <c r="U243" s="88"/>
      <c r="V243" s="88"/>
      <c r="W243" s="73"/>
      <c r="X243" s="73"/>
      <c r="Y243" s="73"/>
      <c r="Z243" s="73"/>
    </row>
    <row r="244" spans="1:26" s="16" customFormat="1" outlineLevel="1">
      <c r="A244" s="30" t="s">
        <v>411</v>
      </c>
      <c r="B244" s="31"/>
      <c r="C244" s="31"/>
      <c r="D244" s="32"/>
      <c r="E244" s="32"/>
      <c r="F244" s="31"/>
      <c r="G244" s="32"/>
      <c r="H244" s="32"/>
      <c r="I244" s="32"/>
      <c r="J244" s="32"/>
      <c r="K244" s="31"/>
      <c r="L244" s="32"/>
      <c r="M244" s="32"/>
      <c r="N244" s="32"/>
      <c r="O244" s="32"/>
      <c r="P244" s="32"/>
      <c r="Q244" s="32"/>
      <c r="R244" s="32"/>
      <c r="S244" s="32"/>
      <c r="T244" s="32"/>
      <c r="U244" s="32"/>
      <c r="V244" s="32"/>
      <c r="W244" s="32"/>
      <c r="X244" s="32"/>
      <c r="Y244" s="32"/>
      <c r="Z244" s="32"/>
    </row>
    <row r="245" spans="1:26" s="16" customFormat="1" outlineLevel="1">
      <c r="A245" s="85" t="s">
        <v>497</v>
      </c>
      <c r="B245" s="72">
        <f>COUNTA($B$1:B244)</f>
        <v>233</v>
      </c>
      <c r="C245" s="73" t="s">
        <v>97</v>
      </c>
      <c r="D245" s="73"/>
      <c r="E245" s="73"/>
      <c r="F245" s="72"/>
      <c r="G245" s="73" t="s">
        <v>498</v>
      </c>
      <c r="H245" s="73"/>
      <c r="I245" s="73"/>
      <c r="J245" s="73"/>
      <c r="K245" s="72"/>
      <c r="L245" s="73" t="s">
        <v>97</v>
      </c>
      <c r="M245" s="74"/>
      <c r="N245" s="73"/>
      <c r="O245" s="73"/>
      <c r="P245" s="73"/>
      <c r="Q245" s="73"/>
      <c r="R245" s="73"/>
      <c r="S245" s="73"/>
      <c r="T245" s="73"/>
      <c r="U245" s="73"/>
      <c r="V245" s="73"/>
      <c r="W245" s="73"/>
      <c r="X245" s="73"/>
      <c r="Y245" s="73"/>
      <c r="Z245" s="73"/>
    </row>
  </sheetData>
  <pageMargins left="0.7" right="0.7" top="0.75" bottom="0.75" header="0.3" footer="0.3"/>
  <pageSetup orientation="portrait" r:id="rId1"/>
  <headerFooter>
    <oddFooter>&amp;L_x000D_&amp;1#&amp;"Aptos"&amp;10&amp;K000000 INTERNAL USE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D366B-389F-4412-A87E-E4A801F754FC}">
  <sheetPr>
    <tabColor theme="7"/>
  </sheetPr>
  <dimension ref="A1:IL2"/>
  <sheetViews>
    <sheetView showGridLines="0" zoomScale="92" zoomScaleNormal="92" workbookViewId="0">
      <pane xSplit="2" ySplit="1" topLeftCell="C2" activePane="bottomRight" state="frozen"/>
      <selection pane="topRight" activeCell="C1" sqref="C1"/>
      <selection pane="bottomLeft" activeCell="A2" sqref="A2"/>
      <selection pane="bottomRight" activeCell="H3" sqref="H3"/>
    </sheetView>
  </sheetViews>
  <sheetFormatPr defaultColWidth="9.140625" defaultRowHeight="12.75"/>
  <cols>
    <col min="1" max="1" width="23.42578125" style="15" bestFit="1" customWidth="1"/>
    <col min="2" max="2" width="12" style="15" bestFit="1" customWidth="1"/>
    <col min="3" max="3" width="11.140625" style="15" customWidth="1"/>
    <col min="4" max="4" width="8.140625" style="15" bestFit="1" customWidth="1"/>
    <col min="5" max="5" width="15.5703125" style="15" bestFit="1" customWidth="1"/>
    <col min="6" max="7" width="18.42578125" style="15" customWidth="1"/>
    <col min="8" max="8" width="37.42578125" style="15" bestFit="1" customWidth="1"/>
    <col min="9" max="9" width="13.85546875" style="15" bestFit="1" customWidth="1"/>
    <col min="10" max="10" width="12.140625" style="15" bestFit="1" customWidth="1"/>
    <col min="11" max="11" width="11.140625" style="15" customWidth="1"/>
    <col min="12" max="12" width="41.42578125" style="15" bestFit="1" customWidth="1"/>
    <col min="13" max="13" width="19.140625" style="15" bestFit="1" customWidth="1"/>
    <col min="14" max="14" width="20" style="15" bestFit="1" customWidth="1"/>
    <col min="15" max="15" width="20" style="15" customWidth="1"/>
    <col min="16" max="16" width="20.85546875" style="15" bestFit="1" customWidth="1"/>
    <col min="17" max="17" width="20" style="15" customWidth="1"/>
    <col min="18" max="18" width="20.85546875" style="15" bestFit="1" customWidth="1"/>
    <col min="19" max="19" width="12.28515625" style="15" bestFit="1" customWidth="1"/>
    <col min="20" max="20" width="9.5703125" style="15" bestFit="1" customWidth="1"/>
    <col min="21" max="22" width="9.5703125" style="15" customWidth="1"/>
    <col min="23" max="23" width="15.85546875" style="15" customWidth="1"/>
    <col min="24" max="24" width="11.7109375" style="15" customWidth="1"/>
    <col min="25" max="25" width="13.85546875" style="15" bestFit="1" customWidth="1"/>
    <col min="26" max="26" width="19.140625" style="15" bestFit="1" customWidth="1"/>
    <col min="27" max="27" width="12.42578125" style="15" bestFit="1" customWidth="1"/>
    <col min="28" max="28" width="11.140625" style="15" bestFit="1" customWidth="1"/>
    <col min="29" max="29" width="14.5703125" style="15" bestFit="1" customWidth="1"/>
    <col min="30" max="30" width="14" style="15" bestFit="1" customWidth="1"/>
    <col min="31" max="31" width="13.42578125" style="15" bestFit="1" customWidth="1"/>
    <col min="32" max="32" width="9.7109375" style="15" bestFit="1" customWidth="1"/>
    <col min="33" max="33" width="7.85546875" style="15" bestFit="1" customWidth="1"/>
    <col min="34" max="34" width="9.7109375" style="15" bestFit="1" customWidth="1"/>
    <col min="35" max="35" width="7.85546875" style="15" bestFit="1" customWidth="1"/>
    <col min="36" max="36" width="9.7109375" style="15" bestFit="1" customWidth="1"/>
    <col min="37" max="37" width="7.85546875" style="15" bestFit="1" customWidth="1"/>
    <col min="38" max="41" width="14.85546875" style="15" bestFit="1" customWidth="1"/>
    <col min="42" max="43" width="17.85546875" style="15" customWidth="1"/>
    <col min="44" max="47" width="17.85546875" style="15" bestFit="1" customWidth="1"/>
    <col min="48" max="65" width="17.85546875" style="15" customWidth="1"/>
    <col min="66" max="69" width="22.85546875" style="15" bestFit="1" customWidth="1"/>
    <col min="70" max="71" width="18.42578125" style="15" bestFit="1" customWidth="1"/>
    <col min="72" max="72" width="28.5703125" style="15" bestFit="1" customWidth="1"/>
    <col min="73" max="73" width="27.28515625" style="15" bestFit="1" customWidth="1"/>
    <col min="74" max="76" width="18.42578125" style="15" customWidth="1"/>
    <col min="77" max="77" width="18.42578125" style="15" bestFit="1" customWidth="1"/>
    <col min="78" max="78" width="16.140625" style="15" bestFit="1" customWidth="1"/>
    <col min="79" max="16384" width="9.140625" style="15"/>
  </cols>
  <sheetData>
    <row r="1" spans="1:246" s="146" customFormat="1" ht="12.95" customHeight="1">
      <c r="A1" s="141" t="s">
        <v>78</v>
      </c>
      <c r="B1" s="142" t="s">
        <v>5</v>
      </c>
      <c r="C1" s="143" t="s">
        <v>84</v>
      </c>
      <c r="D1" s="143" t="s">
        <v>76</v>
      </c>
      <c r="E1" s="142" t="s">
        <v>497</v>
      </c>
      <c r="F1" s="142" t="s">
        <v>134</v>
      </c>
      <c r="G1" s="142" t="s">
        <v>11</v>
      </c>
      <c r="H1" s="142" t="s">
        <v>57</v>
      </c>
      <c r="I1" s="142" t="s">
        <v>604</v>
      </c>
      <c r="J1" s="142" t="s">
        <v>329</v>
      </c>
      <c r="K1" s="142" t="s">
        <v>139</v>
      </c>
      <c r="L1" s="142" t="s">
        <v>605</v>
      </c>
      <c r="M1" s="142" t="s">
        <v>152</v>
      </c>
      <c r="N1" s="142" t="s">
        <v>606</v>
      </c>
      <c r="O1" s="142" t="s">
        <v>274</v>
      </c>
      <c r="P1" s="142" t="s">
        <v>607</v>
      </c>
      <c r="Q1" s="142" t="s">
        <v>608</v>
      </c>
      <c r="R1" s="142" t="s">
        <v>609</v>
      </c>
      <c r="S1" s="142" t="s">
        <v>610</v>
      </c>
      <c r="T1" s="142" t="s">
        <v>611</v>
      </c>
      <c r="U1" s="142" t="s">
        <v>612</v>
      </c>
      <c r="V1" s="142" t="s">
        <v>613</v>
      </c>
      <c r="W1" s="142" t="s">
        <v>614</v>
      </c>
      <c r="X1" s="142" t="s">
        <v>615</v>
      </c>
      <c r="Y1" s="142" t="s">
        <v>616</v>
      </c>
      <c r="Z1" s="142" t="s">
        <v>617</v>
      </c>
      <c r="AA1" s="142" t="s">
        <v>618</v>
      </c>
      <c r="AB1" s="142" t="s">
        <v>619</v>
      </c>
      <c r="AC1" s="142" t="s">
        <v>620</v>
      </c>
      <c r="AD1" s="142" t="s">
        <v>621</v>
      </c>
      <c r="AE1" s="142" t="s">
        <v>622</v>
      </c>
      <c r="AF1" s="142" t="s">
        <v>623</v>
      </c>
      <c r="AG1" s="142" t="s">
        <v>624</v>
      </c>
      <c r="AH1" s="142" t="s">
        <v>625</v>
      </c>
      <c r="AI1" s="142" t="s">
        <v>626</v>
      </c>
      <c r="AJ1" s="142" t="s">
        <v>627</v>
      </c>
      <c r="AK1" s="142" t="s">
        <v>628</v>
      </c>
      <c r="AL1" s="142" t="s">
        <v>629</v>
      </c>
      <c r="AM1" s="142" t="s">
        <v>630</v>
      </c>
      <c r="AN1" s="142" t="s">
        <v>631</v>
      </c>
      <c r="AO1" s="142" t="s">
        <v>632</v>
      </c>
      <c r="AP1" s="142" t="s">
        <v>633</v>
      </c>
      <c r="AQ1" s="142" t="s">
        <v>634</v>
      </c>
      <c r="AR1" s="142" t="s">
        <v>635</v>
      </c>
      <c r="AS1" s="142" t="s">
        <v>636</v>
      </c>
      <c r="AT1" s="142" t="s">
        <v>637</v>
      </c>
      <c r="AU1" s="142" t="s">
        <v>638</v>
      </c>
      <c r="AV1" s="142" t="s">
        <v>155</v>
      </c>
      <c r="AW1" s="142" t="s">
        <v>440</v>
      </c>
      <c r="AX1" s="142" t="s">
        <v>275</v>
      </c>
      <c r="AY1" s="142" t="s">
        <v>157</v>
      </c>
      <c r="AZ1" s="142" t="s">
        <v>441</v>
      </c>
      <c r="BA1" s="142" t="s">
        <v>276</v>
      </c>
      <c r="BB1" s="142" t="s">
        <v>160</v>
      </c>
      <c r="BC1" s="142" t="s">
        <v>639</v>
      </c>
      <c r="BD1" s="142" t="s">
        <v>640</v>
      </c>
      <c r="BE1" s="142" t="s">
        <v>641</v>
      </c>
      <c r="BF1" s="142" t="s">
        <v>642</v>
      </c>
      <c r="BG1" s="142" t="s">
        <v>643</v>
      </c>
      <c r="BH1" s="142" t="s">
        <v>644</v>
      </c>
      <c r="BI1" s="142" t="s">
        <v>164</v>
      </c>
      <c r="BJ1" s="142" t="s">
        <v>278</v>
      </c>
      <c r="BK1" s="142" t="s">
        <v>645</v>
      </c>
      <c r="BL1" s="142" t="s">
        <v>646</v>
      </c>
      <c r="BM1" s="142" t="s">
        <v>647</v>
      </c>
      <c r="BN1" s="142" t="s">
        <v>648</v>
      </c>
      <c r="BO1" s="142" t="s">
        <v>649</v>
      </c>
      <c r="BP1" s="142" t="s">
        <v>650</v>
      </c>
      <c r="BQ1" s="142" t="s">
        <v>651</v>
      </c>
      <c r="BR1" s="142" t="s">
        <v>652</v>
      </c>
      <c r="BS1" s="142" t="s">
        <v>653</v>
      </c>
      <c r="BT1" s="142" t="s">
        <v>654</v>
      </c>
      <c r="BU1" s="142" t="s">
        <v>655</v>
      </c>
      <c r="BV1" s="142" t="s">
        <v>656</v>
      </c>
      <c r="BW1" s="142" t="s">
        <v>657</v>
      </c>
      <c r="BX1" s="142" t="s">
        <v>658</v>
      </c>
      <c r="BY1" s="142" t="s">
        <v>659</v>
      </c>
      <c r="BZ1" s="142" t="s">
        <v>660</v>
      </c>
      <c r="CA1" s="142" t="s">
        <v>661</v>
      </c>
      <c r="CB1" s="142" t="s">
        <v>662</v>
      </c>
      <c r="CC1" s="142" t="s">
        <v>663</v>
      </c>
      <c r="CD1" s="142" t="s">
        <v>664</v>
      </c>
      <c r="CE1" s="142" t="s">
        <v>665</v>
      </c>
      <c r="CF1" s="142" t="s">
        <v>666</v>
      </c>
      <c r="CG1" s="142" t="s">
        <v>667</v>
      </c>
      <c r="CH1" s="142" t="s">
        <v>668</v>
      </c>
      <c r="CI1" s="142" t="s">
        <v>669</v>
      </c>
      <c r="CJ1" s="142" t="s">
        <v>670</v>
      </c>
      <c r="CK1" s="142" t="s">
        <v>671</v>
      </c>
      <c r="CL1" s="142" t="s">
        <v>672</v>
      </c>
      <c r="CM1" s="142" t="s">
        <v>673</v>
      </c>
      <c r="CN1" s="142" t="s">
        <v>674</v>
      </c>
      <c r="CO1" s="142" t="s">
        <v>675</v>
      </c>
      <c r="CP1" s="142" t="s">
        <v>676</v>
      </c>
      <c r="CQ1" s="142" t="s">
        <v>677</v>
      </c>
      <c r="CR1" s="142" t="s">
        <v>678</v>
      </c>
      <c r="CS1" s="142" t="s">
        <v>679</v>
      </c>
      <c r="CT1" s="142" t="s">
        <v>680</v>
      </c>
      <c r="CU1" s="142" t="s">
        <v>681</v>
      </c>
      <c r="CV1" s="142" t="s">
        <v>682</v>
      </c>
      <c r="CW1" s="142" t="s">
        <v>683</v>
      </c>
      <c r="CX1" s="142" t="s">
        <v>684</v>
      </c>
      <c r="CY1" s="142" t="s">
        <v>685</v>
      </c>
      <c r="CZ1" s="142" t="s">
        <v>686</v>
      </c>
      <c r="DA1" s="142" t="s">
        <v>687</v>
      </c>
      <c r="DB1" s="142" t="s">
        <v>688</v>
      </c>
      <c r="DC1" s="142" t="s">
        <v>689</v>
      </c>
      <c r="DD1" s="142" t="s">
        <v>690</v>
      </c>
      <c r="DE1" s="142" t="s">
        <v>691</v>
      </c>
      <c r="DF1" s="142" t="s">
        <v>692</v>
      </c>
      <c r="DG1" s="142" t="s">
        <v>693</v>
      </c>
      <c r="DH1" s="142" t="s">
        <v>694</v>
      </c>
      <c r="DI1" s="142" t="s">
        <v>695</v>
      </c>
      <c r="DJ1" s="142" t="s">
        <v>696</v>
      </c>
      <c r="DK1" s="142" t="s">
        <v>167</v>
      </c>
      <c r="DL1" s="142" t="s">
        <v>170</v>
      </c>
      <c r="DM1" s="142" t="s">
        <v>697</v>
      </c>
      <c r="DN1" s="142" t="s">
        <v>174</v>
      </c>
      <c r="DO1" s="142" t="s">
        <v>177</v>
      </c>
      <c r="DP1" s="142" t="s">
        <v>288</v>
      </c>
      <c r="DQ1" s="142" t="s">
        <v>291</v>
      </c>
      <c r="DR1" s="142" t="s">
        <v>698</v>
      </c>
      <c r="DS1" s="142" t="s">
        <v>180</v>
      </c>
      <c r="DT1" s="142" t="s">
        <v>183</v>
      </c>
      <c r="DU1" s="142" t="s">
        <v>245</v>
      </c>
      <c r="DV1" s="142" t="s">
        <v>248</v>
      </c>
      <c r="DW1" s="142" t="s">
        <v>251</v>
      </c>
      <c r="DX1" s="142" t="s">
        <v>186</v>
      </c>
      <c r="DY1" s="142" t="s">
        <v>189</v>
      </c>
      <c r="DZ1" s="142" t="s">
        <v>254</v>
      </c>
      <c r="EA1" s="142" t="s">
        <v>257</v>
      </c>
      <c r="EB1" s="142" t="s">
        <v>260</v>
      </c>
      <c r="EC1" s="142" t="s">
        <v>699</v>
      </c>
      <c r="ED1" s="142" t="s">
        <v>700</v>
      </c>
      <c r="EE1" s="142" t="s">
        <v>701</v>
      </c>
      <c r="EF1" s="142" t="s">
        <v>702</v>
      </c>
      <c r="EG1" s="142" t="s">
        <v>703</v>
      </c>
      <c r="EH1" s="142" t="s">
        <v>704</v>
      </c>
      <c r="EI1" s="142" t="s">
        <v>705</v>
      </c>
      <c r="EJ1" s="142" t="s">
        <v>706</v>
      </c>
      <c r="EK1" s="142" t="s">
        <v>707</v>
      </c>
      <c r="EL1" s="142" t="s">
        <v>708</v>
      </c>
      <c r="EM1" s="142" t="s">
        <v>709</v>
      </c>
      <c r="EN1" s="142" t="s">
        <v>710</v>
      </c>
      <c r="EO1" s="142" t="s">
        <v>711</v>
      </c>
      <c r="EP1" s="142" t="s">
        <v>712</v>
      </c>
      <c r="EQ1" s="142" t="s">
        <v>713</v>
      </c>
      <c r="ER1" s="142" t="s">
        <v>714</v>
      </c>
      <c r="ES1" s="142" t="s">
        <v>715</v>
      </c>
      <c r="ET1" s="142" t="s">
        <v>716</v>
      </c>
      <c r="EU1" s="142" t="s">
        <v>717</v>
      </c>
      <c r="EV1" s="142" t="s">
        <v>718</v>
      </c>
      <c r="EW1" s="142" t="s">
        <v>719</v>
      </c>
      <c r="EX1" s="142" t="s">
        <v>720</v>
      </c>
      <c r="EY1" s="142" t="s">
        <v>721</v>
      </c>
      <c r="EZ1" s="142" t="s">
        <v>722</v>
      </c>
      <c r="FA1" s="142" t="s">
        <v>723</v>
      </c>
      <c r="FB1" s="142" t="s">
        <v>724</v>
      </c>
      <c r="FC1" s="142" t="s">
        <v>725</v>
      </c>
      <c r="FD1" s="142" t="s">
        <v>726</v>
      </c>
      <c r="FE1" s="142" t="s">
        <v>727</v>
      </c>
      <c r="FF1" s="142" t="s">
        <v>728</v>
      </c>
      <c r="FG1" s="142" t="s">
        <v>203</v>
      </c>
      <c r="FH1" s="142" t="s">
        <v>206</v>
      </c>
      <c r="FI1" s="142" t="s">
        <v>211</v>
      </c>
      <c r="FJ1" s="142" t="s">
        <v>212</v>
      </c>
      <c r="FK1" s="142" t="s">
        <v>214</v>
      </c>
      <c r="FL1" s="142" t="s">
        <v>215</v>
      </c>
      <c r="FM1" s="142" t="s">
        <v>527</v>
      </c>
      <c r="FN1" s="142" t="s">
        <v>528</v>
      </c>
      <c r="FO1" s="142" t="s">
        <v>529</v>
      </c>
      <c r="FP1" s="142" t="s">
        <v>530</v>
      </c>
      <c r="FQ1" s="142" t="s">
        <v>222</v>
      </c>
      <c r="FR1" s="142" t="s">
        <v>223</v>
      </c>
      <c r="FS1" s="142" t="s">
        <v>225</v>
      </c>
      <c r="FT1" s="142" t="s">
        <v>729</v>
      </c>
      <c r="FU1" s="142" t="s">
        <v>294</v>
      </c>
      <c r="FV1" s="142" t="s">
        <v>230</v>
      </c>
      <c r="FW1" s="142" t="s">
        <v>104</v>
      </c>
      <c r="FX1" s="142" t="s">
        <v>234</v>
      </c>
      <c r="FY1" s="142" t="s">
        <v>818</v>
      </c>
      <c r="FZ1" s="142" t="s">
        <v>816</v>
      </c>
      <c r="GA1" s="142" t="s">
        <v>281</v>
      </c>
      <c r="GB1" s="142" t="s">
        <v>237</v>
      </c>
      <c r="GC1" s="142" t="s">
        <v>282</v>
      </c>
      <c r="GD1" s="142" t="s">
        <v>239</v>
      </c>
      <c r="GE1" s="142" t="s">
        <v>283</v>
      </c>
      <c r="GF1" s="142" t="s">
        <v>242</v>
      </c>
      <c r="GG1" s="142" t="s">
        <v>261</v>
      </c>
      <c r="GH1" s="142" t="s">
        <v>264</v>
      </c>
      <c r="GI1" s="142" t="s">
        <v>730</v>
      </c>
      <c r="GJ1" s="142" t="s">
        <v>266</v>
      </c>
      <c r="GK1" s="142" t="s">
        <v>268</v>
      </c>
      <c r="GL1" s="144" t="s">
        <v>731</v>
      </c>
      <c r="GM1" s="144" t="s">
        <v>732</v>
      </c>
      <c r="GN1" s="144" t="s">
        <v>733</v>
      </c>
      <c r="GO1" s="144" t="s">
        <v>734</v>
      </c>
      <c r="GP1" s="144" t="s">
        <v>605</v>
      </c>
      <c r="GQ1" s="144" t="s">
        <v>735</v>
      </c>
      <c r="GR1" s="144" t="s">
        <v>736</v>
      </c>
      <c r="GS1" s="144" t="s">
        <v>737</v>
      </c>
      <c r="GT1" s="144" t="s">
        <v>738</v>
      </c>
      <c r="GU1" s="144" t="s">
        <v>736</v>
      </c>
      <c r="GV1" s="144" t="s">
        <v>739</v>
      </c>
      <c r="GW1" s="144" t="s">
        <v>740</v>
      </c>
      <c r="GX1" s="144" t="s">
        <v>736</v>
      </c>
      <c r="GY1" s="144" t="s">
        <v>741</v>
      </c>
      <c r="GZ1" s="144" t="s">
        <v>742</v>
      </c>
      <c r="HA1" s="144" t="s">
        <v>743</v>
      </c>
      <c r="HB1" s="144" t="s">
        <v>744</v>
      </c>
      <c r="HC1" s="144" t="s">
        <v>745</v>
      </c>
      <c r="HD1" s="144" t="s">
        <v>743</v>
      </c>
      <c r="HE1" s="144" t="s">
        <v>746</v>
      </c>
      <c r="HF1" s="144" t="s">
        <v>747</v>
      </c>
      <c r="HG1" s="144" t="s">
        <v>743</v>
      </c>
      <c r="HH1" s="144" t="s">
        <v>748</v>
      </c>
      <c r="HI1" s="144" t="s">
        <v>749</v>
      </c>
      <c r="HJ1" s="144" t="s">
        <v>743</v>
      </c>
      <c r="HK1" s="144" t="s">
        <v>750</v>
      </c>
      <c r="HL1" s="144" t="s">
        <v>751</v>
      </c>
      <c r="HM1" s="144" t="s">
        <v>752</v>
      </c>
      <c r="HN1" s="144" t="s">
        <v>753</v>
      </c>
      <c r="HO1" s="144" t="s">
        <v>754</v>
      </c>
      <c r="HP1" s="144" t="s">
        <v>755</v>
      </c>
      <c r="HQ1" s="144" t="s">
        <v>756</v>
      </c>
      <c r="HR1" s="144" t="s">
        <v>757</v>
      </c>
      <c r="HS1" s="144" t="s">
        <v>758</v>
      </c>
      <c r="HT1" s="144" t="s">
        <v>759</v>
      </c>
      <c r="HU1" s="144" t="s">
        <v>760</v>
      </c>
      <c r="HV1" s="144" t="s">
        <v>761</v>
      </c>
      <c r="HW1" s="144" t="s">
        <v>762</v>
      </c>
      <c r="HX1" s="144" t="s">
        <v>763</v>
      </c>
      <c r="HY1" s="144" t="s">
        <v>764</v>
      </c>
      <c r="HZ1" s="144" t="s">
        <v>765</v>
      </c>
      <c r="IA1" s="144" t="s">
        <v>766</v>
      </c>
      <c r="IB1" s="144" t="s">
        <v>767</v>
      </c>
      <c r="IC1" s="144" t="s">
        <v>768</v>
      </c>
      <c r="ID1" s="144" t="s">
        <v>769</v>
      </c>
      <c r="IE1" s="144" t="s">
        <v>770</v>
      </c>
      <c r="IF1" s="144" t="s">
        <v>771</v>
      </c>
      <c r="IG1" s="144" t="s">
        <v>772</v>
      </c>
      <c r="IH1" s="144" t="s">
        <v>773</v>
      </c>
      <c r="II1" s="145" t="s">
        <v>774</v>
      </c>
      <c r="IJ1" s="145" t="s">
        <v>775</v>
      </c>
      <c r="IK1" s="145" t="s">
        <v>776</v>
      </c>
      <c r="IL1" s="145" t="s">
        <v>777</v>
      </c>
    </row>
    <row r="2" spans="1:246" s="160" customFormat="1" ht="12.75" customHeight="1">
      <c r="A2" s="142" t="s">
        <v>497</v>
      </c>
      <c r="B2" s="142" t="s">
        <v>2</v>
      </c>
      <c r="C2" s="142" t="s">
        <v>2</v>
      </c>
      <c r="D2" s="142" t="s">
        <v>2</v>
      </c>
      <c r="E2" s="147" t="s">
        <v>2</v>
      </c>
      <c r="F2" s="147" t="s">
        <v>778</v>
      </c>
      <c r="G2" s="148" t="s">
        <v>801</v>
      </c>
      <c r="H2" s="185" t="str" cm="1">
        <f t="array" ref="H2">_xlfn.IFS(Global!B2="QA","https://departure.qa.insurancebytravelex.com",Global!B2="UAT","https://departure.uat.insurancebytravelex.com",Global!B2="PROD","https://departure.insurancebytravelex.com/")</f>
        <v>https://departure.uat.insurancebytravelex.com</v>
      </c>
      <c r="I2" s="149">
        <f t="shared" ref="I2" ca="1" si="0">TODAY()</f>
        <v>46266</v>
      </c>
      <c r="J2" s="149"/>
      <c r="K2" s="150"/>
      <c r="L2" s="150" t="s">
        <v>124</v>
      </c>
      <c r="M2" s="150" t="s">
        <v>781</v>
      </c>
      <c r="N2" s="150"/>
      <c r="O2" s="150" t="s">
        <v>782</v>
      </c>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c r="AP2" s="150"/>
      <c r="AQ2" s="150"/>
      <c r="AR2" s="150"/>
      <c r="AS2" s="150"/>
      <c r="AT2" s="150"/>
      <c r="AU2" s="150"/>
      <c r="AV2" s="151" t="str">
        <f t="shared" ref="AV2" ca="1" si="1">TEXT(I2+1,"mm/dd/yyyy")</f>
        <v>09/02/2026</v>
      </c>
      <c r="AW2" s="152" t="str">
        <f t="shared" ref="AW2" ca="1" si="2">TEXT(I2+7,"mm/dd/yyyy")</f>
        <v>09/08/2026</v>
      </c>
      <c r="AX2" s="153" t="str">
        <f t="shared" ref="AX2" ca="1" si="3">TEXT(I2+7,"mm/dd/yyyy")</f>
        <v>09/08/2026</v>
      </c>
      <c r="AY2" s="154" t="str">
        <f ca="1">TEXT(AV2+29,"mm/dd/yyyy")</f>
        <v>10/01/2026</v>
      </c>
      <c r="AZ2" s="152" t="str">
        <f t="shared" ref="AZ2" ca="1" si="4">TEXT(AW2+14,"mm/dd/yyyy")</f>
        <v>09/22/2026</v>
      </c>
      <c r="BA2" s="153" t="str">
        <f t="shared" ref="BA2" ca="1" si="5">TEXT(AV2+14,"mm/dd/yyyy")</f>
        <v>09/16/2026</v>
      </c>
      <c r="BB2" s="155" t="str">
        <f t="shared" ref="BB2" ca="1" si="6">TEXT(I2-1,"mm/dd/yyyy")</f>
        <v>08/31/2026</v>
      </c>
      <c r="BC2" s="155"/>
      <c r="BD2" s="155"/>
      <c r="BE2" s="155"/>
      <c r="BF2" s="155"/>
      <c r="BG2" s="155"/>
      <c r="BH2" s="155"/>
      <c r="BI2" s="156" t="s">
        <v>783</v>
      </c>
      <c r="BJ2" s="147" t="s">
        <v>784</v>
      </c>
      <c r="BK2" s="147" t="s">
        <v>785</v>
      </c>
      <c r="BL2" s="156"/>
      <c r="BM2" s="147"/>
      <c r="BN2" s="147"/>
      <c r="BO2" s="156"/>
      <c r="BP2" s="147"/>
      <c r="BQ2" s="147"/>
      <c r="BR2" s="156"/>
      <c r="BS2" s="147"/>
      <c r="BT2" s="147"/>
      <c r="BU2" s="156"/>
      <c r="BV2" s="147"/>
      <c r="BW2" s="147"/>
      <c r="BX2" s="156"/>
      <c r="BY2" s="147"/>
      <c r="BZ2" s="147"/>
      <c r="CA2" s="156"/>
      <c r="CB2" s="147"/>
      <c r="CC2" s="147"/>
      <c r="CD2" s="156"/>
      <c r="CE2" s="147"/>
      <c r="CF2" s="147"/>
      <c r="CG2" s="156"/>
      <c r="CH2" s="147"/>
      <c r="CI2" s="147"/>
      <c r="CJ2" s="156"/>
      <c r="CK2" s="147"/>
      <c r="CL2" s="147"/>
      <c r="CM2" s="156"/>
      <c r="CN2" s="147"/>
      <c r="CO2" s="147"/>
      <c r="CP2" s="156"/>
      <c r="CQ2" s="147"/>
      <c r="CR2" s="147"/>
      <c r="CS2" s="156"/>
      <c r="CT2" s="147"/>
      <c r="CU2" s="147"/>
      <c r="CV2" s="156"/>
      <c r="CW2" s="147"/>
      <c r="CX2" s="147"/>
      <c r="CY2" s="156"/>
      <c r="CZ2" s="147"/>
      <c r="DA2" s="147"/>
      <c r="DB2" s="156"/>
      <c r="DC2" s="147"/>
      <c r="DD2" s="147"/>
      <c r="DE2" s="156"/>
      <c r="DF2" s="147"/>
      <c r="DG2" s="147"/>
      <c r="DH2" s="156"/>
      <c r="DI2" s="147"/>
      <c r="DJ2" s="147"/>
      <c r="DK2" s="156" t="s">
        <v>786</v>
      </c>
      <c r="DL2" s="156" t="s">
        <v>787</v>
      </c>
      <c r="DM2" s="157" t="s">
        <v>88</v>
      </c>
      <c r="DN2" s="156" t="s">
        <v>86</v>
      </c>
      <c r="DO2" s="156" t="s">
        <v>788</v>
      </c>
      <c r="DP2" s="156" t="str">
        <f t="shared" ref="DP2" ca="1" si="7">"QAFIRSTNAME"&amp;CHAR(RANDBETWEEN(65,90))&amp;CHAR(RANDBETWEEN(65,90))</f>
        <v>QAFIRSTNAMEDY</v>
      </c>
      <c r="DQ2" s="156" t="str">
        <f t="shared" ref="DQ2" ca="1" si="8">"QALASTNAME"&amp;CHAR(RANDBETWEEN(65,90))&amp;CHAR(RANDBETWEEN(65,90))</f>
        <v>QALASTNAMEOH</v>
      </c>
      <c r="DR2" s="156" t="str">
        <f t="shared" ref="DR2" ca="1" si="9">TEXT(DATE(YEAR(TODAY())-DS2,MONTH(TODAY()),DAY(TODAY())),"MM/DD/YYYY")</f>
        <v>09/01/2000</v>
      </c>
      <c r="DS2" s="156" t="s">
        <v>789</v>
      </c>
      <c r="DT2" s="156" t="s">
        <v>788</v>
      </c>
      <c r="DU2" s="156" t="str">
        <f ca="1">"QAFIRSTNAME"&amp;CHAR(RANDBETWEEN(65,90))&amp;CHAR(RANDBETWEEN(65,90))</f>
        <v>QAFIRSTNAMEIE</v>
      </c>
      <c r="DV2" s="156" t="str">
        <f ca="1">"QALASTNAME"&amp;CHAR(RANDBETWEEN(65,90))&amp;CHAR(RANDBETWEEN(65,90))</f>
        <v>QALASTNAMENJ</v>
      </c>
      <c r="DW2" s="156" t="s">
        <v>790</v>
      </c>
      <c r="DX2" s="156"/>
      <c r="DY2" s="156"/>
      <c r="DZ2" s="156"/>
      <c r="EA2" s="156"/>
      <c r="EB2" s="156"/>
      <c r="EC2" s="156"/>
      <c r="ED2" s="156"/>
      <c r="EE2" s="156"/>
      <c r="EF2" s="156"/>
      <c r="EG2" s="156"/>
      <c r="EH2" s="156"/>
      <c r="EI2" s="156"/>
      <c r="EJ2" s="156"/>
      <c r="EK2" s="156"/>
      <c r="EL2" s="156"/>
      <c r="EM2" s="156"/>
      <c r="EN2" s="156"/>
      <c r="EO2" s="156"/>
      <c r="EP2" s="156"/>
      <c r="EQ2" s="156"/>
      <c r="ER2" s="156"/>
      <c r="ES2" s="156"/>
      <c r="ET2" s="156"/>
      <c r="EU2" s="156"/>
      <c r="EV2" s="156"/>
      <c r="EW2" s="156"/>
      <c r="EX2" s="156"/>
      <c r="EY2" s="156"/>
      <c r="EZ2" s="156"/>
      <c r="FA2" s="156"/>
      <c r="FB2" s="156"/>
      <c r="FC2" s="156"/>
      <c r="FD2" s="156"/>
      <c r="FE2" s="156"/>
      <c r="FF2" s="156"/>
      <c r="FG2" s="147" t="str">
        <f ca="1">TEXT(AX2,"mm/dd/yyyy")</f>
        <v>09/08/2026</v>
      </c>
      <c r="FH2" s="147" t="str">
        <f ca="1">TEXT(AX2+1,"mm/dd/yyyy")</f>
        <v>09/09/2026</v>
      </c>
      <c r="FI2" s="147" t="str">
        <f ca="1">TEXT(FH2+1,"mm/dd/yyyy")</f>
        <v>09/10/2026</v>
      </c>
      <c r="FJ2" s="147" t="str">
        <f t="shared" ref="FJ2:FL2" ca="1" si="10">TEXT(FI2+1,"mm/dd/yyyy")</f>
        <v>09/11/2026</v>
      </c>
      <c r="FK2" s="147" t="str">
        <f t="shared" ca="1" si="10"/>
        <v>09/12/2026</v>
      </c>
      <c r="FL2" s="147" t="str">
        <f t="shared" ca="1" si="10"/>
        <v>09/13/2026</v>
      </c>
      <c r="FM2" s="147" t="str">
        <f t="shared" ref="FM2" ca="1" si="11">TEXT(FL2+7,"mm/dd/yyyy")</f>
        <v>09/20/2026</v>
      </c>
      <c r="FN2" s="147" t="str">
        <f t="shared" ref="FN2:FP2" ca="1" si="12">TEXT(FM2+1,"mm/dd/yyyy")</f>
        <v>09/21/2026</v>
      </c>
      <c r="FO2" s="147" t="str">
        <f t="shared" ca="1" si="12"/>
        <v>09/22/2026</v>
      </c>
      <c r="FP2" s="147" t="str">
        <f t="shared" ca="1" si="12"/>
        <v>09/23/2026</v>
      </c>
      <c r="FQ2" s="156" t="str">
        <f t="shared" ref="FQ2" ca="1" si="13">"QAFIRSTNAME"&amp;CHAR(RANDBETWEEN(65,90))&amp;CHAR(RANDBETWEEN(65,90))</f>
        <v>QAFIRSTNAMERX</v>
      </c>
      <c r="FR2" s="147" t="str">
        <f t="shared" ref="FR2" ca="1" si="14">"QALASTNAME"&amp;CHAR(RANDBETWEEN(65,90))&amp;CHAR(RANDBETWEEN(65,90))</f>
        <v>QALASTNAMENF</v>
      </c>
      <c r="FS2" s="147" t="str">
        <f t="shared" ref="FS2" ca="1" si="15">TEXT(DATE(YEAR(TODAY())-DK2,MONTH(TODAY()),DAY(TODAY())),"MM/DD/YYYY")</f>
        <v>09/01/1916</v>
      </c>
      <c r="FT2" s="147"/>
      <c r="FU2" s="147" t="str">
        <f t="shared" ref="FU2" ca="1" si="16">TEXT(DATE(YEAR(TODAY())-DN2,MONTH(TODAY()),DAY(TODAY())),"MM/DD/YYYY")</f>
        <v>09/01/2008</v>
      </c>
      <c r="FV2" s="156" t="s">
        <v>791</v>
      </c>
      <c r="FW2" s="156" t="s">
        <v>813</v>
      </c>
      <c r="FX2" s="156" t="s">
        <v>812</v>
      </c>
      <c r="FY2" s="156" t="s">
        <v>819</v>
      </c>
      <c r="FZ2" s="156" t="s">
        <v>817</v>
      </c>
      <c r="GA2" s="156" t="s">
        <v>792</v>
      </c>
      <c r="GB2" s="156" t="s">
        <v>483</v>
      </c>
      <c r="GC2" s="156" t="s">
        <v>793</v>
      </c>
      <c r="GD2" s="158" t="s">
        <v>794</v>
      </c>
      <c r="GE2" s="158" t="s">
        <v>101</v>
      </c>
      <c r="GF2" s="156" t="s">
        <v>795</v>
      </c>
      <c r="GG2" s="147" t="s">
        <v>796</v>
      </c>
      <c r="GH2" s="156" t="s">
        <v>797</v>
      </c>
      <c r="GI2" s="156"/>
      <c r="GJ2" s="156" t="s">
        <v>106</v>
      </c>
      <c r="GK2" s="156" t="s">
        <v>798</v>
      </c>
      <c r="GL2" s="159"/>
      <c r="GM2" s="159"/>
      <c r="GN2" s="159"/>
      <c r="GO2" s="159"/>
      <c r="GP2" s="159"/>
      <c r="GQ2" s="159"/>
      <c r="GR2" s="159"/>
      <c r="GS2" s="159"/>
      <c r="GT2" s="159"/>
      <c r="GU2" s="159"/>
      <c r="GV2" s="159"/>
      <c r="GW2" s="159"/>
      <c r="GX2" s="159"/>
      <c r="GY2" s="159"/>
      <c r="GZ2" s="159"/>
      <c r="HA2" s="159"/>
      <c r="HB2" s="159"/>
      <c r="HC2" s="159"/>
      <c r="HD2" s="159"/>
      <c r="HE2" s="159"/>
      <c r="HF2" s="159"/>
      <c r="HG2" s="159"/>
      <c r="HH2" s="159"/>
      <c r="HI2" s="159"/>
      <c r="HJ2" s="159"/>
      <c r="HK2" s="159"/>
      <c r="HL2" s="159"/>
      <c r="HM2" s="159"/>
      <c r="HN2" s="159"/>
      <c r="HO2" s="159"/>
      <c r="HP2" s="159"/>
      <c r="HQ2" s="159"/>
      <c r="HR2" s="159"/>
      <c r="HS2" s="159"/>
      <c r="HT2" s="159"/>
      <c r="HU2" s="159"/>
      <c r="HV2" s="159"/>
      <c r="HW2" s="159"/>
      <c r="HX2" s="159"/>
      <c r="HY2" s="159"/>
      <c r="HZ2" s="159"/>
      <c r="IA2" s="159"/>
      <c r="IB2" s="159"/>
      <c r="IC2" s="159"/>
      <c r="ID2" s="159"/>
      <c r="IE2" s="159"/>
      <c r="IF2" s="159"/>
      <c r="IG2" s="159"/>
      <c r="IH2" s="159"/>
      <c r="II2" s="147"/>
      <c r="IJ2" s="147"/>
      <c r="IK2" s="147"/>
      <c r="IL2" s="147"/>
    </row>
  </sheetData>
  <conditionalFormatting sqref="A2:E2">
    <cfRule type="cellIs" dxfId="41" priority="5" stopIfTrue="1" operator="equal">
      <formula>"N"</formula>
    </cfRule>
    <cfRule type="cellIs" dxfId="40" priority="6" stopIfTrue="1" operator="equal">
      <formula>"Y"</formula>
    </cfRule>
  </conditionalFormatting>
  <conditionalFormatting sqref="E1">
    <cfRule type="cellIs" dxfId="39" priority="23" stopIfTrue="1" operator="equal">
      <formula>"N"</formula>
    </cfRule>
    <cfRule type="cellIs" dxfId="38" priority="24" stopIfTrue="1" operator="equal">
      <formula>"Y"</formula>
    </cfRule>
  </conditionalFormatting>
  <hyperlinks>
    <hyperlink ref="AV2" r:id="rId1" display="qa@travelguard.com" xr:uid="{0FEE1213-1ADD-4C14-B369-7362276FEA10}"/>
    <hyperlink ref="AX2" r:id="rId2" display="qa@travelguard.com" xr:uid="{017526F7-C307-4F28-A1FD-73D71F6867C0}"/>
    <hyperlink ref="BA2" r:id="rId3" display="qa@travelguard.com" xr:uid="{30B91F9F-9215-4CEE-A81A-AA8108A0435F}"/>
    <hyperlink ref="GD2" r:id="rId4" display="qa@travelex.com" xr:uid="{D1E1BA4C-C1DA-466D-8B72-760BB6C5F141}"/>
    <hyperlink ref="GE2" r:id="rId5" display="qa@travelex.com" xr:uid="{1E4A8DDB-48A1-4812-B74B-06607E192EA5}"/>
    <hyperlink ref="H2" r:id="rId6" display="https://departure.uat.insurancebytravelex.com/" xr:uid="{067AFC19-A990-4687-A727-C5BCD7B5230D}"/>
  </hyperlinks>
  <pageMargins left="0.7" right="0.7" top="0.75" bottom="0.75" header="0.3" footer="0.3"/>
  <pageSetup orientation="portrait" r:id="rId7"/>
  <headerFooter>
    <oddFooter>&amp;L_x000D_&amp;1#&amp;"Aptos"&amp;10&amp;K000000 INTERNAL USE ONLY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84AF0-920F-4234-AAE7-C77D48E519CB}">
  <sheetPr>
    <tabColor theme="8"/>
    <outlinePr summaryBelow="0"/>
  </sheetPr>
  <dimension ref="A1:Z285"/>
  <sheetViews>
    <sheetView showGridLines="0" zoomScale="85" zoomScaleNormal="85" workbookViewId="0">
      <pane ySplit="1" topLeftCell="A210" activePane="bottomLeft" state="frozen"/>
      <selection activeCell="E20" sqref="E20"/>
      <selection pane="bottomLeft" activeCell="C215" sqref="C215"/>
    </sheetView>
  </sheetViews>
  <sheetFormatPr defaultColWidth="9.140625" defaultRowHeight="12.75" outlineLevelRow="1"/>
  <cols>
    <col min="1" max="1" width="27.42578125" style="13" customWidth="1"/>
    <col min="2" max="2" width="12.42578125" style="14" bestFit="1" customWidth="1"/>
    <col min="3" max="3" width="23.140625" style="13" customWidth="1"/>
    <col min="4" max="4" width="8.5703125" style="13" customWidth="1"/>
    <col min="5" max="5" width="10.85546875" style="13" customWidth="1"/>
    <col min="6" max="6" width="10.42578125" style="13" customWidth="1"/>
    <col min="7" max="7" width="22.140625" style="13" bestFit="1" customWidth="1"/>
    <col min="8" max="9" width="9.140625" style="13"/>
    <col min="10" max="10" width="62.5703125" style="13" bestFit="1" customWidth="1"/>
    <col min="11" max="11" width="9.140625" style="13"/>
    <col min="12" max="12" width="14.140625" style="13" bestFit="1" customWidth="1"/>
    <col min="13" max="13" width="19" style="13" customWidth="1"/>
    <col min="14" max="14" width="15.5703125" style="13" bestFit="1" customWidth="1"/>
    <col min="15" max="15" width="7.85546875" style="13" customWidth="1"/>
    <col min="16" max="16" width="9.5703125" style="13" bestFit="1" customWidth="1"/>
    <col min="17" max="17" width="9.85546875" style="13" bestFit="1" customWidth="1"/>
    <col min="18" max="18" width="20.140625" style="13" customWidth="1"/>
    <col min="19" max="19" width="22.85546875" style="13" bestFit="1" customWidth="1"/>
    <col min="20" max="20" width="12" style="13" bestFit="1" customWidth="1"/>
    <col min="21" max="21" width="8.42578125" style="13" bestFit="1" customWidth="1"/>
    <col min="22" max="22" width="5.85546875" style="13" bestFit="1" customWidth="1"/>
    <col min="23" max="23" width="9" style="13" bestFit="1" customWidth="1"/>
    <col min="24" max="24" width="8.42578125" style="13" bestFit="1" customWidth="1"/>
    <col min="25" max="25" width="7.85546875" style="13" bestFit="1" customWidth="1"/>
    <col min="26" max="16384" width="9.140625" style="9"/>
  </cols>
  <sheetData>
    <row r="1" spans="1:26">
      <c r="A1" s="29" t="s">
        <v>5</v>
      </c>
      <c r="B1" s="7" t="s">
        <v>28</v>
      </c>
      <c r="C1" s="7" t="s">
        <v>29</v>
      </c>
      <c r="D1" s="7" t="s">
        <v>1</v>
      </c>
      <c r="E1" s="7" t="s">
        <v>26</v>
      </c>
      <c r="F1" s="8" t="s">
        <v>53</v>
      </c>
      <c r="G1" s="7" t="s">
        <v>27</v>
      </c>
      <c r="H1" s="7" t="s">
        <v>47</v>
      </c>
      <c r="I1" s="7" t="s">
        <v>42</v>
      </c>
      <c r="J1" s="7" t="s">
        <v>43</v>
      </c>
      <c r="K1" s="7" t="s">
        <v>30</v>
      </c>
      <c r="L1" s="7" t="s">
        <v>31</v>
      </c>
      <c r="M1" s="7" t="s">
        <v>7</v>
      </c>
      <c r="N1" s="7" t="s">
        <v>44</v>
      </c>
      <c r="O1" s="7" t="s">
        <v>46</v>
      </c>
      <c r="P1" s="7" t="s">
        <v>52</v>
      </c>
      <c r="Q1" s="7" t="s">
        <v>51</v>
      </c>
      <c r="R1" s="7" t="s">
        <v>45</v>
      </c>
      <c r="S1" s="7" t="s">
        <v>32</v>
      </c>
      <c r="T1" s="7" t="s">
        <v>48</v>
      </c>
      <c r="U1" s="7" t="s">
        <v>41</v>
      </c>
      <c r="V1" s="7" t="s">
        <v>129</v>
      </c>
      <c r="W1" s="7" t="s">
        <v>11</v>
      </c>
      <c r="X1" s="7" t="s">
        <v>49</v>
      </c>
      <c r="Y1" s="7" t="s">
        <v>50</v>
      </c>
      <c r="Z1" s="7" t="s">
        <v>3</v>
      </c>
    </row>
    <row r="2" spans="1:26" ht="12.6" customHeight="1">
      <c r="A2" s="30" t="s">
        <v>517</v>
      </c>
      <c r="B2" s="31"/>
      <c r="C2" s="31"/>
      <c r="D2" s="32"/>
      <c r="E2" s="32"/>
      <c r="F2" s="31"/>
      <c r="G2" s="32"/>
      <c r="H2" s="32"/>
      <c r="I2" s="32"/>
      <c r="J2" s="32"/>
      <c r="K2" s="31"/>
      <c r="L2" s="32"/>
      <c r="M2" s="32"/>
      <c r="N2" s="32"/>
      <c r="O2" s="32"/>
      <c r="P2" s="32"/>
      <c r="Q2" s="32"/>
      <c r="R2" s="32"/>
      <c r="S2" s="32"/>
      <c r="T2" s="32"/>
      <c r="U2" s="32"/>
      <c r="V2" s="32"/>
      <c r="W2" s="32"/>
      <c r="X2" s="32"/>
      <c r="Y2" s="32"/>
      <c r="Z2" s="32"/>
    </row>
    <row r="3" spans="1:26" outlineLevel="1">
      <c r="A3" s="53" t="str">
        <f>IF(OR(Global!B25="N"),"N","bln680759")</f>
        <v>N</v>
      </c>
      <c r="B3" s="198">
        <f>COUNTA($B$1:B2)</f>
        <v>1</v>
      </c>
      <c r="C3" s="35" t="s">
        <v>132</v>
      </c>
      <c r="D3" s="35"/>
      <c r="E3" s="35"/>
      <c r="F3" s="34"/>
      <c r="G3" s="35" t="s">
        <v>125</v>
      </c>
      <c r="H3" s="35"/>
      <c r="I3" s="35"/>
      <c r="J3" s="35"/>
      <c r="K3" s="69"/>
      <c r="L3" s="35" t="s">
        <v>67</v>
      </c>
      <c r="M3" s="36">
        <v>1</v>
      </c>
      <c r="N3" s="35"/>
      <c r="O3" s="35" t="s">
        <v>2</v>
      </c>
      <c r="P3" s="35"/>
      <c r="Q3" s="35"/>
      <c r="R3" s="35" t="s">
        <v>57</v>
      </c>
      <c r="S3" s="35"/>
      <c r="T3" s="35"/>
      <c r="U3" s="35"/>
      <c r="V3" s="35"/>
      <c r="W3" s="35"/>
      <c r="X3" s="35"/>
      <c r="Y3" s="35"/>
      <c r="Z3" s="35"/>
    </row>
    <row r="4" spans="1:26" outlineLevel="1">
      <c r="A4" s="53" t="str">
        <f>IF(OR(Global!B25="N"),"N","bln680759")</f>
        <v>N</v>
      </c>
      <c r="B4" s="198">
        <f>COUNTA($B$1:B3)</f>
        <v>2</v>
      </c>
      <c r="C4" s="35" t="s">
        <v>947</v>
      </c>
      <c r="D4" s="35"/>
      <c r="E4" s="35"/>
      <c r="F4" s="34"/>
      <c r="G4" s="35" t="s">
        <v>125</v>
      </c>
      <c r="H4" s="35" t="s">
        <v>134</v>
      </c>
      <c r="I4" s="35"/>
      <c r="J4" s="35"/>
      <c r="K4" s="69"/>
      <c r="L4" s="35" t="s">
        <v>33</v>
      </c>
      <c r="M4" s="36" t="str">
        <f>"URL:="&amp;R3&amp;";;HEADLESS:=TRUE"</f>
        <v>URL:=DT_URL;;HEADLESS:=TRUE</v>
      </c>
      <c r="N4" s="35"/>
      <c r="O4" s="35"/>
      <c r="P4" s="35"/>
      <c r="Q4" s="35">
        <v>60</v>
      </c>
      <c r="R4" s="35"/>
      <c r="S4" s="35"/>
      <c r="T4" s="35"/>
      <c r="U4" s="35"/>
      <c r="V4" s="35"/>
      <c r="W4" s="35"/>
      <c r="X4" s="35"/>
      <c r="Y4" s="35"/>
      <c r="Z4" s="35"/>
    </row>
    <row r="5" spans="1:26">
      <c r="A5" s="93" t="str">
        <f>IF(OR(Global!B25="Y"),"N","bln680759")</f>
        <v>bln680759</v>
      </c>
      <c r="B5" s="94">
        <f>COUNTA($B$1:B4)</f>
        <v>3</v>
      </c>
      <c r="C5" s="95" t="s">
        <v>132</v>
      </c>
      <c r="D5" s="95"/>
      <c r="E5" s="95"/>
      <c r="F5" s="94"/>
      <c r="G5" s="95" t="s">
        <v>125</v>
      </c>
      <c r="H5" s="95" t="s">
        <v>134</v>
      </c>
      <c r="I5" s="95"/>
      <c r="J5" s="95"/>
      <c r="K5" s="94"/>
      <c r="L5" s="95" t="s">
        <v>33</v>
      </c>
      <c r="M5" s="96" t="s">
        <v>57</v>
      </c>
      <c r="N5" s="95"/>
      <c r="O5" s="95"/>
      <c r="P5" s="95"/>
      <c r="Q5" s="95">
        <v>60</v>
      </c>
      <c r="R5" s="95"/>
      <c r="S5" s="95"/>
      <c r="T5" s="95"/>
      <c r="U5" s="95"/>
      <c r="V5" s="95"/>
      <c r="W5" s="95"/>
      <c r="X5" s="95"/>
      <c r="Y5" s="95"/>
      <c r="Z5" s="95"/>
    </row>
    <row r="6" spans="1:26">
      <c r="A6" s="97" t="s">
        <v>21</v>
      </c>
      <c r="B6" s="94">
        <f>COUNTA($B$1:B5)</f>
        <v>4</v>
      </c>
      <c r="C6" s="97" t="s">
        <v>67</v>
      </c>
      <c r="D6" s="97"/>
      <c r="E6" s="97"/>
      <c r="F6" s="97"/>
      <c r="G6" s="95" t="s">
        <v>125</v>
      </c>
      <c r="H6" s="97"/>
      <c r="I6" s="97"/>
      <c r="J6" s="97"/>
      <c r="K6" s="98"/>
      <c r="L6" s="97" t="s">
        <v>67</v>
      </c>
      <c r="M6" s="97">
        <v>5</v>
      </c>
      <c r="N6" s="97"/>
      <c r="O6" s="97"/>
      <c r="P6" s="97"/>
      <c r="Q6" s="97"/>
      <c r="R6" s="99"/>
      <c r="S6" s="97"/>
      <c r="T6" s="97"/>
      <c r="U6" s="97"/>
      <c r="V6" s="97"/>
      <c r="W6" s="97"/>
      <c r="X6" s="97"/>
      <c r="Y6" s="97"/>
      <c r="Z6" s="95"/>
    </row>
    <row r="7" spans="1:26">
      <c r="A7" s="97" t="s">
        <v>21</v>
      </c>
      <c r="B7" s="94">
        <f>COUNTA($B$1:B6)</f>
        <v>5</v>
      </c>
      <c r="C7" s="97" t="s">
        <v>68</v>
      </c>
      <c r="D7" s="97"/>
      <c r="E7" s="97"/>
      <c r="F7" s="97"/>
      <c r="G7" s="95" t="s">
        <v>125</v>
      </c>
      <c r="H7" s="97"/>
      <c r="I7" s="97" t="s">
        <v>55</v>
      </c>
      <c r="J7" s="97" t="s">
        <v>71</v>
      </c>
      <c r="K7" s="98">
        <v>0</v>
      </c>
      <c r="L7" s="97" t="s">
        <v>0</v>
      </c>
      <c r="M7" s="97" t="s">
        <v>74</v>
      </c>
      <c r="N7" s="97"/>
      <c r="O7" s="97" t="s">
        <v>2</v>
      </c>
      <c r="P7" s="97"/>
      <c r="Q7" s="100">
        <v>5</v>
      </c>
      <c r="R7" s="99"/>
      <c r="S7" s="97"/>
      <c r="T7" s="97"/>
      <c r="U7" s="97"/>
      <c r="V7" s="97"/>
      <c r="W7" s="97"/>
      <c r="X7" s="97"/>
      <c r="Y7" s="97"/>
      <c r="Z7" s="95"/>
    </row>
    <row r="8" spans="1:26">
      <c r="A8" s="97" t="s">
        <v>21</v>
      </c>
      <c r="B8" s="94">
        <f>COUNTA($B$1:B7)</f>
        <v>6</v>
      </c>
      <c r="C8" s="97" t="s">
        <v>69</v>
      </c>
      <c r="D8" s="97"/>
      <c r="E8" s="97"/>
      <c r="F8" s="97"/>
      <c r="G8" s="95" t="s">
        <v>125</v>
      </c>
      <c r="H8" s="97"/>
      <c r="I8" s="97" t="s">
        <v>55</v>
      </c>
      <c r="J8" s="97" t="s">
        <v>72</v>
      </c>
      <c r="K8" s="98">
        <v>0</v>
      </c>
      <c r="L8" s="97" t="s">
        <v>0</v>
      </c>
      <c r="M8" s="97" t="s">
        <v>75</v>
      </c>
      <c r="N8" s="97"/>
      <c r="O8" s="97" t="s">
        <v>2</v>
      </c>
      <c r="P8" s="97"/>
      <c r="Q8" s="97"/>
      <c r="R8" s="99"/>
      <c r="S8" s="97"/>
      <c r="T8" s="97"/>
      <c r="U8" s="97"/>
      <c r="V8" s="97"/>
      <c r="W8" s="97"/>
      <c r="X8" s="97"/>
      <c r="Y8" s="97"/>
      <c r="Z8" s="95"/>
    </row>
    <row r="9" spans="1:26">
      <c r="A9" s="97" t="s">
        <v>21</v>
      </c>
      <c r="B9" s="94">
        <f>COUNTA($B$1:B8)</f>
        <v>7</v>
      </c>
      <c r="C9" s="97" t="s">
        <v>70</v>
      </c>
      <c r="D9" s="97"/>
      <c r="E9" s="97"/>
      <c r="F9" s="97"/>
      <c r="G9" s="95" t="s">
        <v>125</v>
      </c>
      <c r="H9" s="97"/>
      <c r="I9" s="97" t="s">
        <v>55</v>
      </c>
      <c r="J9" s="97" t="s">
        <v>73</v>
      </c>
      <c r="K9" s="98">
        <v>0</v>
      </c>
      <c r="L9" s="97" t="s">
        <v>34</v>
      </c>
      <c r="M9" s="97"/>
      <c r="N9" s="97"/>
      <c r="O9" s="97" t="s">
        <v>2</v>
      </c>
      <c r="P9" s="97"/>
      <c r="Q9" s="97"/>
      <c r="R9" s="99"/>
      <c r="S9" s="97"/>
      <c r="T9" s="97"/>
      <c r="U9" s="97"/>
      <c r="V9" s="97"/>
      <c r="W9" s="97"/>
      <c r="X9" s="97"/>
      <c r="Y9" s="97"/>
      <c r="Z9" s="95"/>
    </row>
    <row r="10" spans="1:26">
      <c r="A10" s="97" t="s">
        <v>21</v>
      </c>
      <c r="B10" s="94">
        <f>COUNTA($B$1:B9)</f>
        <v>8</v>
      </c>
      <c r="C10" s="97" t="s">
        <v>67</v>
      </c>
      <c r="D10" s="97"/>
      <c r="E10" s="97"/>
      <c r="F10" s="97"/>
      <c r="G10" s="95" t="s">
        <v>125</v>
      </c>
      <c r="H10" s="97"/>
      <c r="I10" s="97"/>
      <c r="J10" s="97"/>
      <c r="K10" s="98"/>
      <c r="L10" s="97" t="s">
        <v>67</v>
      </c>
      <c r="M10" s="97">
        <v>5</v>
      </c>
      <c r="N10" s="97"/>
      <c r="O10" s="97"/>
      <c r="P10" s="97"/>
      <c r="Q10" s="97"/>
      <c r="R10" s="99"/>
      <c r="S10" s="97"/>
      <c r="T10" s="97"/>
      <c r="U10" s="97"/>
      <c r="V10" s="97"/>
      <c r="W10" s="97"/>
      <c r="X10" s="97"/>
      <c r="Y10" s="97"/>
      <c r="Z10" s="95"/>
    </row>
    <row r="11" spans="1:26" ht="12.75" customHeight="1">
      <c r="A11" s="30" t="s">
        <v>135</v>
      </c>
      <c r="B11" s="31"/>
      <c r="C11" s="31"/>
      <c r="D11" s="32"/>
      <c r="E11" s="32"/>
      <c r="F11" s="31"/>
      <c r="G11" s="32"/>
      <c r="H11" s="32"/>
      <c r="I11" s="32"/>
      <c r="J11" s="32"/>
      <c r="K11" s="31"/>
      <c r="L11" s="32"/>
      <c r="M11" s="32"/>
      <c r="N11" s="32"/>
      <c r="O11" s="32"/>
      <c r="P11" s="32"/>
      <c r="Q11" s="32"/>
      <c r="R11" s="32"/>
      <c r="S11" s="32"/>
      <c r="T11" s="32"/>
      <c r="U11" s="32"/>
      <c r="V11" s="32"/>
      <c r="W11" s="32"/>
      <c r="X11" s="32"/>
      <c r="Y11" s="32"/>
      <c r="Z11" s="32"/>
    </row>
    <row r="12" spans="1:26">
      <c r="A12" s="93" t="s">
        <v>518</v>
      </c>
      <c r="B12" s="94">
        <f>COUNTA($B$1:B11)</f>
        <v>9</v>
      </c>
      <c r="C12" s="101" t="s">
        <v>136</v>
      </c>
      <c r="D12" s="101"/>
      <c r="E12" s="101"/>
      <c r="F12" s="102"/>
      <c r="G12" s="95" t="s">
        <v>125</v>
      </c>
      <c r="H12" s="101"/>
      <c r="I12" s="101"/>
      <c r="J12" s="101"/>
      <c r="K12" s="102"/>
      <c r="L12" s="103" t="s">
        <v>137</v>
      </c>
      <c r="M12" s="97" t="s">
        <v>138</v>
      </c>
      <c r="N12" s="101"/>
      <c r="O12" s="101"/>
      <c r="P12" s="101"/>
      <c r="Q12" s="102"/>
      <c r="R12" s="101"/>
      <c r="S12" s="101"/>
      <c r="T12" s="101"/>
      <c r="U12" s="101"/>
      <c r="V12" s="101"/>
      <c r="W12" s="101"/>
      <c r="X12" s="101"/>
      <c r="Y12" s="101"/>
      <c r="Z12" s="101"/>
    </row>
    <row r="13" spans="1:26">
      <c r="A13" s="45" t="s">
        <v>518</v>
      </c>
      <c r="B13" s="94">
        <f>COUNTA($B$1:B12)</f>
        <v>10</v>
      </c>
      <c r="C13" s="46" t="s">
        <v>140</v>
      </c>
      <c r="D13" s="46"/>
      <c r="E13" s="46"/>
      <c r="F13" s="47"/>
      <c r="G13" s="46" t="s">
        <v>125</v>
      </c>
      <c r="H13" s="46"/>
      <c r="I13" s="46" t="s">
        <v>55</v>
      </c>
      <c r="J13" s="46" t="s">
        <v>141</v>
      </c>
      <c r="K13" s="47"/>
      <c r="L13" s="46" t="s">
        <v>142</v>
      </c>
      <c r="M13" s="48"/>
      <c r="N13" s="46"/>
      <c r="O13" s="46" t="s">
        <v>2</v>
      </c>
      <c r="P13" s="46"/>
      <c r="Q13" s="46"/>
      <c r="R13" s="49"/>
      <c r="S13" s="46"/>
      <c r="T13" s="46"/>
      <c r="U13" s="46"/>
      <c r="V13" s="46"/>
      <c r="W13" s="46"/>
      <c r="X13" s="46"/>
      <c r="Y13" s="46"/>
      <c r="Z13" s="46"/>
    </row>
    <row r="14" spans="1:26" s="19" customFormat="1" outlineLevel="1">
      <c r="A14" s="45" t="str">
        <f>IF($D$13="PASSED","bln680759","N")</f>
        <v>N</v>
      </c>
      <c r="B14" s="94">
        <f>COUNTA($B$1:B13)</f>
        <v>11</v>
      </c>
      <c r="C14" s="46" t="s">
        <v>143</v>
      </c>
      <c r="D14" s="46"/>
      <c r="E14" s="46"/>
      <c r="F14" s="47"/>
      <c r="G14" s="46" t="s">
        <v>125</v>
      </c>
      <c r="H14" s="46"/>
      <c r="I14" s="46" t="s">
        <v>55</v>
      </c>
      <c r="J14" s="46" t="s">
        <v>141</v>
      </c>
      <c r="K14" s="47"/>
      <c r="L14" s="46" t="s">
        <v>98</v>
      </c>
      <c r="M14" s="48"/>
      <c r="N14" s="46" t="s">
        <v>99</v>
      </c>
      <c r="O14" s="46" t="s">
        <v>2</v>
      </c>
      <c r="P14" s="46"/>
      <c r="Q14" s="46"/>
      <c r="R14" s="49" t="s">
        <v>144</v>
      </c>
      <c r="S14" s="46"/>
      <c r="T14" s="46"/>
      <c r="U14" s="46"/>
      <c r="V14" s="46"/>
      <c r="W14" s="46"/>
      <c r="X14" s="46"/>
      <c r="Y14" s="46"/>
      <c r="Z14" s="46"/>
    </row>
    <row r="15" spans="1:26" s="19" customFormat="1" outlineLevel="1">
      <c r="A15" s="45" t="str">
        <f>A14</f>
        <v>N</v>
      </c>
      <c r="B15" s="94">
        <f>COUNTA($B$1:B14)</f>
        <v>12</v>
      </c>
      <c r="C15" s="46" t="s">
        <v>145</v>
      </c>
      <c r="D15" s="46"/>
      <c r="E15" s="46"/>
      <c r="F15" s="47"/>
      <c r="G15" s="46" t="s">
        <v>125</v>
      </c>
      <c r="H15" s="46"/>
      <c r="I15" s="46" t="s">
        <v>55</v>
      </c>
      <c r="J15" s="46" t="s">
        <v>146</v>
      </c>
      <c r="K15" s="47"/>
      <c r="L15" s="46" t="s">
        <v>147</v>
      </c>
      <c r="M15" s="48"/>
      <c r="N15" s="46"/>
      <c r="O15" s="46" t="s">
        <v>2</v>
      </c>
      <c r="P15" s="46"/>
      <c r="Q15" s="46"/>
      <c r="R15" s="48"/>
      <c r="S15" s="46"/>
      <c r="T15" s="46"/>
      <c r="U15" s="46"/>
      <c r="V15" s="46"/>
      <c r="W15" s="46"/>
      <c r="X15" s="46"/>
      <c r="Y15" s="46"/>
      <c r="Z15" s="46"/>
    </row>
    <row r="16" spans="1:26" s="19" customFormat="1" outlineLevel="1">
      <c r="A16" s="93" t="s">
        <v>518</v>
      </c>
      <c r="B16" s="94">
        <f>COUNTA($B$1:B15)</f>
        <v>13</v>
      </c>
      <c r="C16" s="95" t="s">
        <v>148</v>
      </c>
      <c r="D16" s="95"/>
      <c r="E16" s="95"/>
      <c r="F16" s="94"/>
      <c r="G16" s="95" t="s">
        <v>125</v>
      </c>
      <c r="H16" s="95"/>
      <c r="I16" s="95" t="s">
        <v>55</v>
      </c>
      <c r="J16" s="95" t="s">
        <v>149</v>
      </c>
      <c r="K16" s="94">
        <v>0</v>
      </c>
      <c r="L16" s="95" t="s">
        <v>34</v>
      </c>
      <c r="M16" s="95"/>
      <c r="N16" s="95"/>
      <c r="O16" s="95"/>
      <c r="P16" s="95"/>
      <c r="Q16" s="95"/>
      <c r="R16" s="95"/>
      <c r="S16" s="95"/>
      <c r="T16" s="95"/>
      <c r="U16" s="95"/>
      <c r="V16" s="95"/>
      <c r="W16" s="95"/>
      <c r="X16" s="95"/>
      <c r="Y16" s="95"/>
      <c r="Z16" s="95"/>
    </row>
    <row r="17" spans="1:26" s="19" customFormat="1" outlineLevel="1">
      <c r="A17" s="93" t="s">
        <v>518</v>
      </c>
      <c r="B17" s="94">
        <f>COUNTA($B$1:B16)</f>
        <v>14</v>
      </c>
      <c r="C17" s="95" t="s">
        <v>67</v>
      </c>
      <c r="D17" s="95"/>
      <c r="E17" s="95"/>
      <c r="F17" s="94"/>
      <c r="G17" s="95" t="s">
        <v>125</v>
      </c>
      <c r="H17" s="95"/>
      <c r="I17" s="95"/>
      <c r="J17" s="95"/>
      <c r="K17" s="94"/>
      <c r="L17" s="95" t="s">
        <v>67</v>
      </c>
      <c r="M17" s="96">
        <v>2</v>
      </c>
      <c r="N17" s="95"/>
      <c r="O17" s="95"/>
      <c r="P17" s="95"/>
      <c r="Q17" s="95"/>
      <c r="R17" s="95"/>
      <c r="S17" s="95"/>
      <c r="T17" s="95"/>
      <c r="U17" s="95"/>
      <c r="V17" s="95"/>
      <c r="W17" s="95"/>
      <c r="X17" s="95"/>
      <c r="Y17" s="95"/>
      <c r="Z17" s="95"/>
    </row>
    <row r="18" spans="1:26" s="19" customFormat="1" outlineLevel="1">
      <c r="A18" s="93" t="s">
        <v>518</v>
      </c>
      <c r="B18" s="94">
        <f>COUNTA($B$1:B17)</f>
        <v>15</v>
      </c>
      <c r="C18" s="95" t="s">
        <v>150</v>
      </c>
      <c r="D18" s="95"/>
      <c r="E18" s="95"/>
      <c r="F18" s="94"/>
      <c r="G18" s="95" t="s">
        <v>125</v>
      </c>
      <c r="H18" s="95"/>
      <c r="I18" s="95" t="s">
        <v>55</v>
      </c>
      <c r="J18" s="95" t="s">
        <v>149</v>
      </c>
      <c r="K18" s="94">
        <v>0</v>
      </c>
      <c r="L18" s="95" t="s">
        <v>151</v>
      </c>
      <c r="M18" s="82" t="s">
        <v>152</v>
      </c>
      <c r="N18" s="95"/>
      <c r="O18" s="95"/>
      <c r="P18" s="95"/>
      <c r="Q18" s="95"/>
      <c r="R18" s="95"/>
      <c r="S18" s="95"/>
      <c r="T18" s="95"/>
      <c r="U18" s="95"/>
      <c r="V18" s="95"/>
      <c r="W18" s="95"/>
      <c r="X18" s="95"/>
      <c r="Y18" s="95"/>
      <c r="Z18" s="95"/>
    </row>
    <row r="19" spans="1:26" s="19" customFormat="1" outlineLevel="1">
      <c r="A19" s="93" t="s">
        <v>518</v>
      </c>
      <c r="B19" s="94">
        <f>COUNTA($B$1:B18)</f>
        <v>16</v>
      </c>
      <c r="C19" s="95" t="s">
        <v>67</v>
      </c>
      <c r="D19" s="95"/>
      <c r="E19" s="95"/>
      <c r="F19" s="94"/>
      <c r="G19" s="95" t="s">
        <v>125</v>
      </c>
      <c r="H19" s="95"/>
      <c r="I19" s="95"/>
      <c r="J19" s="95"/>
      <c r="K19" s="94"/>
      <c r="L19" s="95" t="s">
        <v>67</v>
      </c>
      <c r="M19" s="96">
        <v>2</v>
      </c>
      <c r="N19" s="95"/>
      <c r="O19" s="95"/>
      <c r="P19" s="95"/>
      <c r="Q19" s="95"/>
      <c r="R19" s="95"/>
      <c r="S19" s="95"/>
      <c r="T19" s="95"/>
      <c r="U19" s="95"/>
      <c r="V19" s="95"/>
      <c r="W19" s="95"/>
      <c r="X19" s="95"/>
      <c r="Y19" s="95"/>
      <c r="Z19" s="95"/>
    </row>
    <row r="20" spans="1:26" s="19" customFormat="1" outlineLevel="1">
      <c r="A20" s="93" t="s">
        <v>518</v>
      </c>
      <c r="B20" s="94">
        <f>COUNTA($B$1:B19)</f>
        <v>17</v>
      </c>
      <c r="C20" s="95" t="s">
        <v>148</v>
      </c>
      <c r="D20" s="95"/>
      <c r="E20" s="95"/>
      <c r="F20" s="102"/>
      <c r="G20" s="95" t="s">
        <v>125</v>
      </c>
      <c r="H20" s="95"/>
      <c r="I20" s="95" t="s">
        <v>55</v>
      </c>
      <c r="J20" s="95" t="str">
        <f>"//a[contains(.,'"&amp;M18&amp;"')]"</f>
        <v>//a[contains(.,'Destination')]</v>
      </c>
      <c r="K20" s="94">
        <v>0</v>
      </c>
      <c r="L20" s="95" t="s">
        <v>147</v>
      </c>
      <c r="M20" s="95"/>
      <c r="N20" s="95"/>
      <c r="O20" s="95"/>
      <c r="P20" s="95"/>
      <c r="Q20" s="95"/>
      <c r="R20" s="95"/>
      <c r="S20" s="95"/>
      <c r="T20" s="95"/>
      <c r="U20" s="95"/>
      <c r="V20" s="95"/>
      <c r="W20" s="95"/>
      <c r="X20" s="95"/>
      <c r="Y20" s="95"/>
      <c r="Z20" s="95"/>
    </row>
    <row r="21" spans="1:26" s="19" customFormat="1" outlineLevel="1">
      <c r="A21" s="93" t="s">
        <v>518</v>
      </c>
      <c r="B21" s="94">
        <f>COUNTA($B$1:B20)</f>
        <v>18</v>
      </c>
      <c r="C21" s="95" t="s">
        <v>153</v>
      </c>
      <c r="D21" s="104"/>
      <c r="E21" s="105" t="s">
        <v>154</v>
      </c>
      <c r="F21" s="98"/>
      <c r="G21" s="95" t="s">
        <v>125</v>
      </c>
      <c r="H21" s="95"/>
      <c r="I21" s="95" t="s">
        <v>55</v>
      </c>
      <c r="J21" s="95" t="s">
        <v>81</v>
      </c>
      <c r="K21" s="94">
        <v>0</v>
      </c>
      <c r="L21" s="95" t="s">
        <v>0</v>
      </c>
      <c r="M21" s="82" t="s">
        <v>155</v>
      </c>
      <c r="N21" s="95"/>
      <c r="O21" s="95"/>
      <c r="P21" s="95"/>
      <c r="Q21" s="95"/>
      <c r="R21" s="95"/>
      <c r="S21" s="105"/>
      <c r="T21" s="95"/>
      <c r="U21" s="95"/>
      <c r="V21" s="95"/>
      <c r="W21" s="95"/>
      <c r="X21" s="105"/>
      <c r="Y21" s="105"/>
      <c r="Z21" s="105"/>
    </row>
    <row r="22" spans="1:26" s="19" customFormat="1" outlineLevel="1">
      <c r="A22" s="93" t="s">
        <v>518</v>
      </c>
      <c r="B22" s="94">
        <f>COUNTA($B$1:B21)</f>
        <v>19</v>
      </c>
      <c r="C22" s="95" t="s">
        <v>156</v>
      </c>
      <c r="D22" s="104"/>
      <c r="E22" s="105" t="s">
        <v>154</v>
      </c>
      <c r="F22" s="98"/>
      <c r="G22" s="95" t="s">
        <v>125</v>
      </c>
      <c r="H22" s="95"/>
      <c r="I22" s="95" t="s">
        <v>55</v>
      </c>
      <c r="J22" s="95" t="s">
        <v>82</v>
      </c>
      <c r="K22" s="94">
        <v>0</v>
      </c>
      <c r="L22" s="95" t="s">
        <v>0</v>
      </c>
      <c r="M22" s="82" t="s">
        <v>157</v>
      </c>
      <c r="N22" s="95"/>
      <c r="O22" s="95"/>
      <c r="P22" s="95"/>
      <c r="Q22" s="95"/>
      <c r="R22" s="95"/>
      <c r="S22" s="105"/>
      <c r="T22" s="95"/>
      <c r="U22" s="95"/>
      <c r="V22" s="95"/>
      <c r="W22" s="95"/>
      <c r="X22" s="105"/>
      <c r="Y22" s="105"/>
      <c r="Z22" s="105"/>
    </row>
    <row r="23" spans="1:26" s="19" customFormat="1" outlineLevel="1">
      <c r="A23" s="93" t="s">
        <v>518</v>
      </c>
      <c r="B23" s="94">
        <f>COUNTA($B$1:B22)</f>
        <v>20</v>
      </c>
      <c r="C23" s="95" t="s">
        <v>158</v>
      </c>
      <c r="D23" s="104"/>
      <c r="E23" s="105" t="s">
        <v>154</v>
      </c>
      <c r="F23" s="98"/>
      <c r="G23" s="95" t="s">
        <v>125</v>
      </c>
      <c r="H23" s="95"/>
      <c r="I23" s="95" t="s">
        <v>55</v>
      </c>
      <c r="J23" s="95" t="s">
        <v>159</v>
      </c>
      <c r="K23" s="94">
        <v>0</v>
      </c>
      <c r="L23" s="95" t="s">
        <v>0</v>
      </c>
      <c r="M23" s="82" t="s">
        <v>160</v>
      </c>
      <c r="N23" s="95"/>
      <c r="O23" s="95"/>
      <c r="P23" s="95"/>
      <c r="Q23" s="95"/>
      <c r="R23" s="95"/>
      <c r="S23" s="105"/>
      <c r="T23" s="95"/>
      <c r="U23" s="95"/>
      <c r="V23" s="95"/>
      <c r="W23" s="95"/>
      <c r="X23" s="105"/>
      <c r="Y23" s="105"/>
      <c r="Z23" s="105"/>
    </row>
    <row r="24" spans="1:26" s="19" customFormat="1" outlineLevel="1">
      <c r="A24" s="93" t="s">
        <v>518</v>
      </c>
      <c r="B24" s="94">
        <f>COUNTA($B$1:B23)</f>
        <v>21</v>
      </c>
      <c r="C24" s="95" t="s">
        <v>161</v>
      </c>
      <c r="D24" s="95"/>
      <c r="E24" s="95"/>
      <c r="F24" s="94"/>
      <c r="G24" s="95" t="s">
        <v>125</v>
      </c>
      <c r="H24" s="95"/>
      <c r="I24" s="95" t="s">
        <v>55</v>
      </c>
      <c r="J24" s="95" t="s">
        <v>162</v>
      </c>
      <c r="K24" s="94">
        <v>0</v>
      </c>
      <c r="L24" s="95" t="s">
        <v>34</v>
      </c>
      <c r="M24" s="95"/>
      <c r="N24" s="95"/>
      <c r="O24" s="95"/>
      <c r="P24" s="95"/>
      <c r="Q24" s="95"/>
      <c r="R24" s="95"/>
      <c r="S24" s="95"/>
      <c r="T24" s="95"/>
      <c r="U24" s="95"/>
      <c r="V24" s="95"/>
      <c r="W24" s="95"/>
      <c r="X24" s="95"/>
      <c r="Y24" s="95"/>
      <c r="Z24" s="95"/>
    </row>
    <row r="25" spans="1:26" s="19" customFormat="1" outlineLevel="1">
      <c r="A25" s="93" t="s">
        <v>518</v>
      </c>
      <c r="B25" s="94">
        <f>COUNTA($B$1:B24)</f>
        <v>22</v>
      </c>
      <c r="C25" s="95" t="s">
        <v>67</v>
      </c>
      <c r="D25" s="95"/>
      <c r="E25" s="95"/>
      <c r="F25" s="94"/>
      <c r="G25" s="95" t="s">
        <v>125</v>
      </c>
      <c r="H25" s="95"/>
      <c r="I25" s="95"/>
      <c r="J25" s="95"/>
      <c r="K25" s="94"/>
      <c r="L25" s="95" t="s">
        <v>67</v>
      </c>
      <c r="M25" s="96">
        <v>2</v>
      </c>
      <c r="N25" s="95"/>
      <c r="O25" s="95"/>
      <c r="P25" s="95"/>
      <c r="Q25" s="95"/>
      <c r="R25" s="95"/>
      <c r="S25" s="95"/>
      <c r="T25" s="95"/>
      <c r="U25" s="95"/>
      <c r="V25" s="95"/>
      <c r="W25" s="95"/>
      <c r="X25" s="95"/>
      <c r="Y25" s="95"/>
      <c r="Z25" s="95"/>
    </row>
    <row r="26" spans="1:26" s="19" customFormat="1" outlineLevel="1">
      <c r="A26" s="93" t="s">
        <v>518</v>
      </c>
      <c r="B26" s="94">
        <f>COUNTA($B$1:B25)</f>
        <v>23</v>
      </c>
      <c r="C26" s="95" t="s">
        <v>163</v>
      </c>
      <c r="D26" s="95"/>
      <c r="E26" s="95"/>
      <c r="F26" s="94"/>
      <c r="G26" s="95" t="s">
        <v>125</v>
      </c>
      <c r="H26" s="95"/>
      <c r="I26" s="95" t="s">
        <v>55</v>
      </c>
      <c r="J26" s="95" t="s">
        <v>162</v>
      </c>
      <c r="K26" s="94">
        <v>0</v>
      </c>
      <c r="L26" s="95" t="s">
        <v>151</v>
      </c>
      <c r="M26" s="82" t="s">
        <v>164</v>
      </c>
      <c r="N26" s="95"/>
      <c r="O26" s="95"/>
      <c r="P26" s="95"/>
      <c r="Q26" s="95"/>
      <c r="R26" s="95"/>
      <c r="S26" s="95"/>
      <c r="T26" s="95"/>
      <c r="U26" s="95"/>
      <c r="V26" s="95"/>
      <c r="W26" s="95"/>
      <c r="X26" s="95"/>
      <c r="Y26" s="95"/>
      <c r="Z26" s="95"/>
    </row>
    <row r="27" spans="1:26" s="19" customFormat="1" outlineLevel="1">
      <c r="A27" s="93" t="s">
        <v>518</v>
      </c>
      <c r="B27" s="94">
        <f>COUNTA($B$1:B26)</f>
        <v>24</v>
      </c>
      <c r="C27" s="95" t="s">
        <v>67</v>
      </c>
      <c r="D27" s="95"/>
      <c r="E27" s="95"/>
      <c r="F27" s="94"/>
      <c r="G27" s="95" t="s">
        <v>125</v>
      </c>
      <c r="H27" s="95"/>
      <c r="I27" s="95"/>
      <c r="J27" s="95"/>
      <c r="K27" s="94"/>
      <c r="L27" s="95" t="s">
        <v>67</v>
      </c>
      <c r="M27" s="96">
        <v>2</v>
      </c>
      <c r="N27" s="95"/>
      <c r="O27" s="95"/>
      <c r="P27" s="95"/>
      <c r="Q27" s="95"/>
      <c r="R27" s="95"/>
      <c r="S27" s="95"/>
      <c r="T27" s="95"/>
      <c r="U27" s="95"/>
      <c r="V27" s="95"/>
      <c r="W27" s="95"/>
      <c r="X27" s="95"/>
      <c r="Y27" s="95"/>
      <c r="Z27" s="95"/>
    </row>
    <row r="28" spans="1:26" s="19" customFormat="1" outlineLevel="1">
      <c r="A28" s="93" t="s">
        <v>518</v>
      </c>
      <c r="B28" s="94">
        <f>COUNTA($B$1:B27)</f>
        <v>25</v>
      </c>
      <c r="C28" s="95" t="s">
        <v>148</v>
      </c>
      <c r="D28" s="95"/>
      <c r="E28" s="95"/>
      <c r="F28" s="102"/>
      <c r="G28" s="95" t="s">
        <v>125</v>
      </c>
      <c r="H28" s="95"/>
      <c r="I28" s="95" t="s">
        <v>55</v>
      </c>
      <c r="J28" s="95" t="str">
        <f>"//a[contains(.,'"&amp;M26&amp;"')]"</f>
        <v>//a[contains(.,'Residence')]</v>
      </c>
      <c r="K28" s="94">
        <v>0</v>
      </c>
      <c r="L28" s="95" t="s">
        <v>147</v>
      </c>
      <c r="M28" s="95"/>
      <c r="N28" s="95"/>
      <c r="O28" s="95"/>
      <c r="P28" s="95"/>
      <c r="Q28" s="95"/>
      <c r="R28" s="95"/>
      <c r="S28" s="95"/>
      <c r="T28" s="95"/>
      <c r="U28" s="95"/>
      <c r="V28" s="95"/>
      <c r="W28" s="95"/>
      <c r="X28" s="95"/>
      <c r="Y28" s="95"/>
      <c r="Z28" s="95"/>
    </row>
    <row r="29" spans="1:26" s="19" customFormat="1" outlineLevel="1">
      <c r="A29" s="93" t="s">
        <v>518</v>
      </c>
      <c r="B29" s="94">
        <f>COUNTA($B$1:B28)</f>
        <v>26</v>
      </c>
      <c r="C29" s="95" t="s">
        <v>165</v>
      </c>
      <c r="D29" s="104"/>
      <c r="E29" s="105" t="s">
        <v>154</v>
      </c>
      <c r="F29" s="98"/>
      <c r="G29" s="95" t="s">
        <v>125</v>
      </c>
      <c r="H29" s="95"/>
      <c r="I29" s="95" t="s">
        <v>55</v>
      </c>
      <c r="J29" s="95" t="s">
        <v>166</v>
      </c>
      <c r="K29" s="94">
        <v>0</v>
      </c>
      <c r="L29" s="95" t="s">
        <v>0</v>
      </c>
      <c r="M29" s="82" t="s">
        <v>167</v>
      </c>
      <c r="N29" s="95"/>
      <c r="O29" s="95"/>
      <c r="P29" s="95"/>
      <c r="Q29" s="95"/>
      <c r="R29" s="95"/>
      <c r="S29" s="105"/>
      <c r="T29" s="95"/>
      <c r="U29" s="95"/>
      <c r="V29" s="95"/>
      <c r="W29" s="95"/>
      <c r="X29" s="105"/>
      <c r="Y29" s="105"/>
      <c r="Z29" s="105"/>
    </row>
    <row r="30" spans="1:26" s="19" customFormat="1" outlineLevel="1">
      <c r="A30" s="93" t="s">
        <v>518</v>
      </c>
      <c r="B30" s="94">
        <f>COUNTA($B$1:B29)</f>
        <v>27</v>
      </c>
      <c r="C30" s="95" t="s">
        <v>168</v>
      </c>
      <c r="D30" s="104"/>
      <c r="E30" s="105" t="s">
        <v>154</v>
      </c>
      <c r="F30" s="98"/>
      <c r="G30" s="95" t="s">
        <v>125</v>
      </c>
      <c r="H30" s="95"/>
      <c r="I30" s="95" t="s">
        <v>55</v>
      </c>
      <c r="J30" s="95" t="s">
        <v>519</v>
      </c>
      <c r="K30" s="94">
        <v>0</v>
      </c>
      <c r="L30" s="95" t="s">
        <v>0</v>
      </c>
      <c r="M30" s="82" t="s">
        <v>170</v>
      </c>
      <c r="N30" s="95"/>
      <c r="O30" s="95"/>
      <c r="P30" s="95"/>
      <c r="Q30" s="95"/>
      <c r="R30" s="95"/>
      <c r="S30" s="105"/>
      <c r="T30" s="95"/>
      <c r="U30" s="95"/>
      <c r="V30" s="95"/>
      <c r="W30" s="95"/>
      <c r="X30" s="105"/>
      <c r="Y30" s="105"/>
      <c r="Z30" s="105"/>
    </row>
    <row r="31" spans="1:26" s="19" customFormat="1" outlineLevel="1">
      <c r="A31" s="93" t="s">
        <v>518</v>
      </c>
      <c r="B31" s="94">
        <f>COUNTA($B$1:B30)</f>
        <v>28</v>
      </c>
      <c r="C31" s="95" t="s">
        <v>190</v>
      </c>
      <c r="D31" s="95"/>
      <c r="E31" s="95"/>
      <c r="F31" s="94"/>
      <c r="G31" s="95" t="s">
        <v>125</v>
      </c>
      <c r="H31" s="95"/>
      <c r="I31" s="95" t="s">
        <v>55</v>
      </c>
      <c r="J31" s="95" t="s">
        <v>87</v>
      </c>
      <c r="K31" s="94">
        <v>0</v>
      </c>
      <c r="L31" s="95" t="s">
        <v>147</v>
      </c>
      <c r="M31" s="96"/>
      <c r="N31" s="95"/>
      <c r="O31" s="95"/>
      <c r="P31" s="95"/>
      <c r="Q31" s="95"/>
      <c r="R31" s="95"/>
      <c r="S31" s="95"/>
      <c r="T31" s="95"/>
      <c r="U31" s="95"/>
      <c r="V31" s="95"/>
      <c r="W31" s="95"/>
      <c r="X31" s="95"/>
      <c r="Y31" s="95"/>
      <c r="Z31" s="95"/>
    </row>
    <row r="32" spans="1:26">
      <c r="A32" s="93" t="s">
        <v>518</v>
      </c>
      <c r="B32" s="94">
        <f>COUNTA($B$1:B31)</f>
        <v>29</v>
      </c>
      <c r="C32" s="95" t="s">
        <v>67</v>
      </c>
      <c r="D32" s="95"/>
      <c r="E32" s="95"/>
      <c r="F32" s="94"/>
      <c r="G32" s="95" t="s">
        <v>125</v>
      </c>
      <c r="H32" s="95"/>
      <c r="I32" s="95"/>
      <c r="J32" s="95"/>
      <c r="K32" s="94"/>
      <c r="L32" s="95" t="s">
        <v>67</v>
      </c>
      <c r="M32" s="96">
        <v>10</v>
      </c>
      <c r="N32" s="95"/>
      <c r="O32" s="95"/>
      <c r="P32" s="95"/>
      <c r="Q32" s="95"/>
      <c r="R32" s="96"/>
      <c r="S32" s="95"/>
      <c r="T32" s="95"/>
      <c r="U32" s="95"/>
      <c r="V32" s="95"/>
      <c r="W32" s="95"/>
      <c r="X32" s="95"/>
      <c r="Y32" s="95"/>
      <c r="Z32" s="95"/>
    </row>
    <row r="33" spans="1:26" s="10" customFormat="1">
      <c r="A33" s="30" t="s">
        <v>191</v>
      </c>
      <c r="B33" s="31"/>
      <c r="C33" s="31"/>
      <c r="D33" s="32"/>
      <c r="E33" s="32"/>
      <c r="F33" s="31"/>
      <c r="G33" s="32"/>
      <c r="H33" s="32"/>
      <c r="I33" s="32"/>
      <c r="J33" s="32"/>
      <c r="K33" s="31"/>
      <c r="L33" s="32"/>
      <c r="M33" s="32"/>
      <c r="N33" s="32"/>
      <c r="O33" s="32"/>
      <c r="P33" s="32"/>
      <c r="Q33" s="32"/>
      <c r="R33" s="32"/>
      <c r="S33" s="32"/>
      <c r="T33" s="32"/>
      <c r="U33" s="32"/>
      <c r="V33" s="32"/>
      <c r="W33" s="32"/>
      <c r="X33" s="32"/>
      <c r="Y33" s="32"/>
      <c r="Z33" s="32"/>
    </row>
    <row r="34" spans="1:26" s="10" customFormat="1">
      <c r="A34" s="45" t="s">
        <v>518</v>
      </c>
      <c r="B34" s="94">
        <f>COUNTA($B$1:B33)</f>
        <v>30</v>
      </c>
      <c r="C34" s="46" t="s">
        <v>140</v>
      </c>
      <c r="D34" s="46"/>
      <c r="E34" s="46"/>
      <c r="F34" s="47"/>
      <c r="G34" s="46" t="s">
        <v>125</v>
      </c>
      <c r="H34" s="46"/>
      <c r="I34" s="46" t="s">
        <v>55</v>
      </c>
      <c r="J34" s="46" t="s">
        <v>141</v>
      </c>
      <c r="K34" s="47"/>
      <c r="L34" s="46" t="s">
        <v>142</v>
      </c>
      <c r="M34" s="48"/>
      <c r="N34" s="46"/>
      <c r="O34" s="46" t="s">
        <v>2</v>
      </c>
      <c r="P34" s="46"/>
      <c r="Q34" s="46"/>
      <c r="R34" s="49"/>
      <c r="S34" s="46"/>
      <c r="T34" s="46"/>
      <c r="U34" s="46"/>
      <c r="V34" s="46"/>
      <c r="W34" s="46"/>
      <c r="X34" s="46"/>
      <c r="Y34" s="46"/>
      <c r="Z34" s="46"/>
    </row>
    <row r="35" spans="1:26" s="10" customFormat="1">
      <c r="A35" s="45" t="str">
        <f>IF($D$34="PASSED","bln680759","N")</f>
        <v>N</v>
      </c>
      <c r="B35" s="94">
        <f>COUNTA($B$1:B34)</f>
        <v>31</v>
      </c>
      <c r="C35" s="46" t="s">
        <v>143</v>
      </c>
      <c r="D35" s="46"/>
      <c r="E35" s="46"/>
      <c r="F35" s="47"/>
      <c r="G35" s="46" t="s">
        <v>125</v>
      </c>
      <c r="H35" s="46"/>
      <c r="I35" s="46" t="s">
        <v>55</v>
      </c>
      <c r="J35" s="46" t="s">
        <v>141</v>
      </c>
      <c r="K35" s="47"/>
      <c r="L35" s="46" t="s">
        <v>98</v>
      </c>
      <c r="M35" s="48"/>
      <c r="N35" s="46" t="s">
        <v>99</v>
      </c>
      <c r="O35" s="46" t="s">
        <v>2</v>
      </c>
      <c r="P35" s="46"/>
      <c r="Q35" s="46"/>
      <c r="R35" s="49" t="s">
        <v>144</v>
      </c>
      <c r="S35" s="46"/>
      <c r="T35" s="46"/>
      <c r="U35" s="46"/>
      <c r="V35" s="46"/>
      <c r="W35" s="46"/>
      <c r="X35" s="46"/>
      <c r="Y35" s="46"/>
      <c r="Z35" s="46"/>
    </row>
    <row r="36" spans="1:26" s="17" customFormat="1">
      <c r="A36" s="45" t="str">
        <f>A35</f>
        <v>N</v>
      </c>
      <c r="B36" s="94">
        <f>COUNTA($B$1:B35)</f>
        <v>32</v>
      </c>
      <c r="C36" s="46" t="s">
        <v>145</v>
      </c>
      <c r="D36" s="46"/>
      <c r="E36" s="46"/>
      <c r="F36" s="47"/>
      <c r="G36" s="46" t="s">
        <v>125</v>
      </c>
      <c r="H36" s="46"/>
      <c r="I36" s="46" t="s">
        <v>55</v>
      </c>
      <c r="J36" s="46" t="s">
        <v>146</v>
      </c>
      <c r="K36" s="47"/>
      <c r="L36" s="46" t="s">
        <v>147</v>
      </c>
      <c r="M36" s="48"/>
      <c r="N36" s="46"/>
      <c r="O36" s="46" t="s">
        <v>2</v>
      </c>
      <c r="P36" s="46"/>
      <c r="Q36" s="46"/>
      <c r="R36" s="48"/>
      <c r="S36" s="46"/>
      <c r="T36" s="46"/>
      <c r="U36" s="46"/>
      <c r="V36" s="46"/>
      <c r="W36" s="46"/>
      <c r="X36" s="46"/>
      <c r="Y36" s="46"/>
      <c r="Z36" s="46"/>
    </row>
    <row r="37" spans="1:26">
      <c r="A37" s="93" t="s">
        <v>518</v>
      </c>
      <c r="B37" s="94">
        <f>COUNTA($B$1:B36)</f>
        <v>33</v>
      </c>
      <c r="C37" s="106" t="s">
        <v>520</v>
      </c>
      <c r="D37" s="95"/>
      <c r="E37" s="95"/>
      <c r="F37" s="94"/>
      <c r="G37" s="95" t="s">
        <v>125</v>
      </c>
      <c r="H37" s="95"/>
      <c r="I37" s="95" t="s">
        <v>55</v>
      </c>
      <c r="J37" s="95" t="s">
        <v>521</v>
      </c>
      <c r="K37" s="94">
        <v>0</v>
      </c>
      <c r="L37" s="95" t="s">
        <v>147</v>
      </c>
      <c r="M37" s="96"/>
      <c r="N37" s="95"/>
      <c r="O37" s="95"/>
      <c r="P37" s="95"/>
      <c r="Q37" s="95"/>
      <c r="R37" s="95"/>
      <c r="S37" s="95"/>
      <c r="T37" s="95"/>
      <c r="U37" s="95"/>
      <c r="V37" s="95"/>
      <c r="W37" s="95"/>
      <c r="X37" s="95"/>
      <c r="Y37" s="95"/>
      <c r="Z37" s="95"/>
    </row>
    <row r="38" spans="1:26">
      <c r="A38" s="93" t="s">
        <v>518</v>
      </c>
      <c r="B38" s="94">
        <f>COUNTA($B$1:B37)</f>
        <v>34</v>
      </c>
      <c r="C38" s="95" t="s">
        <v>67</v>
      </c>
      <c r="D38" s="95"/>
      <c r="E38" s="95"/>
      <c r="F38" s="94"/>
      <c r="G38" s="95" t="s">
        <v>125</v>
      </c>
      <c r="H38" s="95"/>
      <c r="I38" s="95"/>
      <c r="J38" s="95"/>
      <c r="K38" s="94"/>
      <c r="L38" s="95" t="s">
        <v>67</v>
      </c>
      <c r="M38" s="96">
        <v>10</v>
      </c>
      <c r="N38" s="95"/>
      <c r="O38" s="95"/>
      <c r="P38" s="95"/>
      <c r="Q38" s="95"/>
      <c r="R38" s="95"/>
      <c r="S38" s="95"/>
      <c r="T38" s="95"/>
      <c r="U38" s="95"/>
      <c r="V38" s="95"/>
      <c r="W38" s="95"/>
      <c r="X38" s="95"/>
      <c r="Y38" s="95"/>
      <c r="Z38" s="95"/>
    </row>
    <row r="39" spans="1:26">
      <c r="A39" s="45" t="s">
        <v>518</v>
      </c>
      <c r="B39" s="94">
        <f>COUNTA($B$1:B38)</f>
        <v>35</v>
      </c>
      <c r="C39" s="46" t="s">
        <v>140</v>
      </c>
      <c r="D39" s="46"/>
      <c r="E39" s="46"/>
      <c r="F39" s="47"/>
      <c r="G39" s="46" t="s">
        <v>125</v>
      </c>
      <c r="H39" s="46"/>
      <c r="I39" s="46" t="s">
        <v>55</v>
      </c>
      <c r="J39" s="46" t="s">
        <v>141</v>
      </c>
      <c r="K39" s="47"/>
      <c r="L39" s="46" t="s">
        <v>142</v>
      </c>
      <c r="M39" s="48"/>
      <c r="N39" s="46"/>
      <c r="O39" s="46" t="s">
        <v>2</v>
      </c>
      <c r="P39" s="46"/>
      <c r="Q39" s="46"/>
      <c r="R39" s="49"/>
      <c r="S39" s="46"/>
      <c r="T39" s="46"/>
      <c r="U39" s="46"/>
      <c r="V39" s="46"/>
      <c r="W39" s="46"/>
      <c r="X39" s="46"/>
      <c r="Y39" s="46"/>
      <c r="Z39" s="46"/>
    </row>
    <row r="40" spans="1:26" ht="12.75" customHeight="1">
      <c r="A40" s="45" t="str">
        <f>IF($D$34="PASSED","bln680759","N")</f>
        <v>N</v>
      </c>
      <c r="B40" s="94">
        <f>COUNTA($B$1:B39)</f>
        <v>36</v>
      </c>
      <c r="C40" s="46" t="s">
        <v>143</v>
      </c>
      <c r="D40" s="46"/>
      <c r="E40" s="46"/>
      <c r="F40" s="47"/>
      <c r="G40" s="46" t="s">
        <v>125</v>
      </c>
      <c r="H40" s="46"/>
      <c r="I40" s="46" t="s">
        <v>55</v>
      </c>
      <c r="J40" s="46" t="s">
        <v>141</v>
      </c>
      <c r="K40" s="47"/>
      <c r="L40" s="46" t="s">
        <v>98</v>
      </c>
      <c r="M40" s="48"/>
      <c r="N40" s="46" t="s">
        <v>99</v>
      </c>
      <c r="O40" s="46" t="s">
        <v>2</v>
      </c>
      <c r="P40" s="46"/>
      <c r="Q40" s="46"/>
      <c r="R40" s="49" t="s">
        <v>144</v>
      </c>
      <c r="S40" s="46"/>
      <c r="T40" s="46"/>
      <c r="U40" s="46"/>
      <c r="V40" s="46"/>
      <c r="W40" s="46"/>
      <c r="X40" s="46"/>
      <c r="Y40" s="46"/>
      <c r="Z40" s="46"/>
    </row>
    <row r="41" spans="1:26">
      <c r="A41" s="45" t="str">
        <f>A40</f>
        <v>N</v>
      </c>
      <c r="B41" s="94">
        <f>COUNTA($B$1:B40)</f>
        <v>37</v>
      </c>
      <c r="C41" s="46" t="s">
        <v>145</v>
      </c>
      <c r="D41" s="46"/>
      <c r="E41" s="46"/>
      <c r="F41" s="47"/>
      <c r="G41" s="46" t="s">
        <v>125</v>
      </c>
      <c r="H41" s="46"/>
      <c r="I41" s="46" t="s">
        <v>55</v>
      </c>
      <c r="J41" s="46" t="s">
        <v>146</v>
      </c>
      <c r="K41" s="47"/>
      <c r="L41" s="46" t="s">
        <v>147</v>
      </c>
      <c r="M41" s="48"/>
      <c r="N41" s="46"/>
      <c r="O41" s="46" t="s">
        <v>2</v>
      </c>
      <c r="P41" s="46"/>
      <c r="Q41" s="46"/>
      <c r="R41" s="48"/>
      <c r="S41" s="46"/>
      <c r="T41" s="46"/>
      <c r="U41" s="46"/>
      <c r="V41" s="46"/>
      <c r="W41" s="46"/>
      <c r="X41" s="46"/>
      <c r="Y41" s="46"/>
      <c r="Z41" s="46"/>
    </row>
    <row r="42" spans="1:26" s="18" customFormat="1" outlineLevel="1">
      <c r="A42" s="93" t="s">
        <v>518</v>
      </c>
      <c r="B42" s="94">
        <f>COUNTA($B$1:B41)</f>
        <v>38</v>
      </c>
      <c r="C42" s="95" t="s">
        <v>522</v>
      </c>
      <c r="D42" s="104"/>
      <c r="E42" s="105" t="s">
        <v>154</v>
      </c>
      <c r="F42" s="98"/>
      <c r="G42" s="95" t="s">
        <v>125</v>
      </c>
      <c r="H42" s="95"/>
      <c r="I42" s="95" t="s">
        <v>55</v>
      </c>
      <c r="J42" s="95" t="s">
        <v>200</v>
      </c>
      <c r="K42" s="94">
        <v>0</v>
      </c>
      <c r="L42" s="95" t="s">
        <v>147</v>
      </c>
      <c r="M42" s="96"/>
      <c r="N42" s="95"/>
      <c r="O42" s="95"/>
      <c r="P42" s="95"/>
      <c r="Q42" s="95"/>
      <c r="R42" s="95"/>
      <c r="S42" s="105"/>
      <c r="T42" s="95"/>
      <c r="U42" s="95"/>
      <c r="V42" s="95"/>
      <c r="W42" s="95"/>
      <c r="X42" s="105"/>
      <c r="Y42" s="105"/>
      <c r="Z42" s="105"/>
    </row>
    <row r="43" spans="1:26" s="17" customFormat="1">
      <c r="A43" s="93" t="s">
        <v>518</v>
      </c>
      <c r="B43" s="94">
        <f>COUNTA($B$1:B42)</f>
        <v>39</v>
      </c>
      <c r="C43" s="95" t="s">
        <v>201</v>
      </c>
      <c r="D43" s="104"/>
      <c r="E43" s="105" t="s">
        <v>154</v>
      </c>
      <c r="F43" s="98"/>
      <c r="G43" s="95" t="s">
        <v>125</v>
      </c>
      <c r="H43" s="95"/>
      <c r="I43" s="95" t="s">
        <v>55</v>
      </c>
      <c r="J43" s="95" t="s">
        <v>202</v>
      </c>
      <c r="K43" s="94">
        <v>0</v>
      </c>
      <c r="L43" s="95" t="s">
        <v>0</v>
      </c>
      <c r="M43" s="82" t="s">
        <v>203</v>
      </c>
      <c r="N43" s="95"/>
      <c r="O43" s="95"/>
      <c r="P43" s="95"/>
      <c r="Q43" s="95"/>
      <c r="R43" s="95"/>
      <c r="S43" s="105"/>
      <c r="T43" s="95"/>
      <c r="U43" s="95"/>
      <c r="V43" s="95"/>
      <c r="W43" s="95"/>
      <c r="X43" s="105"/>
      <c r="Y43" s="105"/>
      <c r="Z43" s="105"/>
    </row>
    <row r="44" spans="1:26" s="17" customFormat="1">
      <c r="A44" s="93" t="s">
        <v>518</v>
      </c>
      <c r="B44" s="94">
        <f>COUNTA($B$1:B43)</f>
        <v>40</v>
      </c>
      <c r="C44" s="95" t="s">
        <v>204</v>
      </c>
      <c r="D44" s="104"/>
      <c r="E44" s="105" t="s">
        <v>154</v>
      </c>
      <c r="F44" s="98"/>
      <c r="G44" s="95" t="s">
        <v>125</v>
      </c>
      <c r="H44" s="95"/>
      <c r="I44" s="95" t="s">
        <v>55</v>
      </c>
      <c r="J44" s="95" t="s">
        <v>205</v>
      </c>
      <c r="K44" s="94">
        <v>0</v>
      </c>
      <c r="L44" s="95" t="s">
        <v>0</v>
      </c>
      <c r="M44" s="82" t="s">
        <v>206</v>
      </c>
      <c r="N44" s="95"/>
      <c r="O44" s="95"/>
      <c r="P44" s="95"/>
      <c r="Q44" s="95"/>
      <c r="R44" s="95"/>
      <c r="S44" s="105"/>
      <c r="T44" s="95"/>
      <c r="U44" s="95"/>
      <c r="V44" s="95"/>
      <c r="W44" s="95"/>
      <c r="X44" s="105"/>
      <c r="Y44" s="105"/>
      <c r="Z44" s="105"/>
    </row>
    <row r="45" spans="1:26" s="19" customFormat="1" outlineLevel="1">
      <c r="A45" s="93" t="s">
        <v>518</v>
      </c>
      <c r="B45" s="94">
        <f>COUNTA($B$1:B44)</f>
        <v>41</v>
      </c>
      <c r="C45" s="95" t="s">
        <v>226</v>
      </c>
      <c r="D45" s="104"/>
      <c r="E45" s="105"/>
      <c r="F45" s="94"/>
      <c r="G45" s="95" t="s">
        <v>125</v>
      </c>
      <c r="H45" s="95"/>
      <c r="I45" s="95"/>
      <c r="J45" s="95"/>
      <c r="K45" s="94"/>
      <c r="L45" s="95" t="s">
        <v>227</v>
      </c>
      <c r="M45" s="96" t="s">
        <v>79</v>
      </c>
      <c r="N45" s="95"/>
      <c r="O45" s="95"/>
      <c r="P45" s="95"/>
      <c r="Q45" s="95"/>
      <c r="R45" s="96"/>
      <c r="S45" s="95"/>
      <c r="T45" s="95"/>
      <c r="U45" s="95"/>
      <c r="V45" s="95"/>
      <c r="W45" s="95"/>
      <c r="X45" s="95"/>
      <c r="Y45" s="95"/>
      <c r="Z45" s="95"/>
    </row>
    <row r="46" spans="1:26" s="17" customFormat="1">
      <c r="A46" s="93" t="s">
        <v>518</v>
      </c>
      <c r="B46" s="94">
        <f>COUNTA($B$1:B45)</f>
        <v>42</v>
      </c>
      <c r="C46" s="95" t="s">
        <v>207</v>
      </c>
      <c r="D46" s="95"/>
      <c r="E46" s="95"/>
      <c r="F46" s="94"/>
      <c r="G46" s="95" t="s">
        <v>125</v>
      </c>
      <c r="H46" s="95"/>
      <c r="I46" s="95" t="s">
        <v>55</v>
      </c>
      <c r="J46" s="95" t="s">
        <v>208</v>
      </c>
      <c r="K46" s="94">
        <v>0</v>
      </c>
      <c r="L46" s="95" t="s">
        <v>147</v>
      </c>
      <c r="M46" s="96"/>
      <c r="N46" s="95"/>
      <c r="O46" s="95"/>
      <c r="P46" s="95"/>
      <c r="Q46" s="95"/>
      <c r="R46" s="95"/>
      <c r="S46" s="95"/>
      <c r="T46" s="95"/>
      <c r="U46" s="95"/>
      <c r="V46" s="95"/>
      <c r="W46" s="95"/>
      <c r="X46" s="95"/>
      <c r="Y46" s="95"/>
      <c r="Z46" s="95"/>
    </row>
    <row r="47" spans="1:26" s="19" customFormat="1" outlineLevel="1">
      <c r="A47" s="93" t="s">
        <v>518</v>
      </c>
      <c r="B47" s="94">
        <f>COUNTA($B$1:B46)</f>
        <v>43</v>
      </c>
      <c r="C47" s="95" t="s">
        <v>209</v>
      </c>
      <c r="D47" s="104"/>
      <c r="E47" s="105"/>
      <c r="F47" s="94"/>
      <c r="G47" s="95" t="s">
        <v>125</v>
      </c>
      <c r="H47" s="95"/>
      <c r="I47" s="95" t="s">
        <v>55</v>
      </c>
      <c r="J47" s="95" t="s">
        <v>210</v>
      </c>
      <c r="K47" s="94"/>
      <c r="L47" s="95" t="s">
        <v>98</v>
      </c>
      <c r="M47" s="95"/>
      <c r="N47" s="95" t="s">
        <v>99</v>
      </c>
      <c r="O47" s="95"/>
      <c r="P47" s="95"/>
      <c r="Q47" s="95"/>
      <c r="R47" s="95" t="str">
        <f>TEXT(M43,"mm/dd/yyyy") &amp; " - " &amp; TEXT(M44,"mm/dd/yyyy")</f>
        <v>PickUpDate - DropOffDate</v>
      </c>
      <c r="S47" s="105"/>
      <c r="T47" s="95" t="s">
        <v>2</v>
      </c>
      <c r="U47" s="95"/>
      <c r="V47" s="95"/>
      <c r="W47" s="95"/>
      <c r="X47" s="105"/>
      <c r="Y47" s="105"/>
      <c r="Z47" s="105"/>
    </row>
    <row r="48" spans="1:26">
      <c r="A48" s="93" t="s">
        <v>518</v>
      </c>
      <c r="B48" s="94">
        <f>COUNTA($B$1:B47)</f>
        <v>44</v>
      </c>
      <c r="C48" s="95" t="s">
        <v>201</v>
      </c>
      <c r="D48" s="104"/>
      <c r="E48" s="105" t="s">
        <v>154</v>
      </c>
      <c r="F48" s="98"/>
      <c r="G48" s="95" t="s">
        <v>125</v>
      </c>
      <c r="H48" s="95"/>
      <c r="I48" s="95" t="s">
        <v>55</v>
      </c>
      <c r="J48" s="95" t="s">
        <v>202</v>
      </c>
      <c r="K48" s="94">
        <v>0</v>
      </c>
      <c r="L48" s="95" t="s">
        <v>0</v>
      </c>
      <c r="M48" s="82" t="s">
        <v>211</v>
      </c>
      <c r="N48" s="95"/>
      <c r="O48" s="95"/>
      <c r="P48" s="95"/>
      <c r="Q48" s="95"/>
      <c r="R48" s="95"/>
      <c r="S48" s="105"/>
      <c r="T48" s="95"/>
      <c r="U48" s="95"/>
      <c r="V48" s="95"/>
      <c r="W48" s="95"/>
      <c r="X48" s="105"/>
      <c r="Y48" s="105"/>
      <c r="Z48" s="105"/>
    </row>
    <row r="49" spans="1:26" s="10" customFormat="1">
      <c r="A49" s="93" t="s">
        <v>518</v>
      </c>
      <c r="B49" s="94">
        <f>COUNTA($B$1:B48)</f>
        <v>45</v>
      </c>
      <c r="C49" s="95" t="s">
        <v>204</v>
      </c>
      <c r="D49" s="104"/>
      <c r="E49" s="105" t="s">
        <v>154</v>
      </c>
      <c r="F49" s="98"/>
      <c r="G49" s="95" t="s">
        <v>125</v>
      </c>
      <c r="H49" s="95"/>
      <c r="I49" s="95" t="s">
        <v>55</v>
      </c>
      <c r="J49" s="95" t="s">
        <v>205</v>
      </c>
      <c r="K49" s="94">
        <v>0</v>
      </c>
      <c r="L49" s="95" t="s">
        <v>0</v>
      </c>
      <c r="M49" s="82" t="s">
        <v>212</v>
      </c>
      <c r="N49" s="95"/>
      <c r="O49" s="95"/>
      <c r="P49" s="95"/>
      <c r="Q49" s="95"/>
      <c r="R49" s="95"/>
      <c r="S49" s="105"/>
      <c r="T49" s="95"/>
      <c r="U49" s="95"/>
      <c r="V49" s="95"/>
      <c r="W49" s="95"/>
      <c r="X49" s="105"/>
      <c r="Y49" s="105"/>
      <c r="Z49" s="105"/>
    </row>
    <row r="50" spans="1:26" s="10" customFormat="1">
      <c r="A50" s="93" t="s">
        <v>518</v>
      </c>
      <c r="B50" s="94">
        <f>COUNTA($B$1:B49)</f>
        <v>46</v>
      </c>
      <c r="C50" s="95" t="s">
        <v>226</v>
      </c>
      <c r="D50" s="104"/>
      <c r="E50" s="105"/>
      <c r="F50" s="94"/>
      <c r="G50" s="95" t="s">
        <v>125</v>
      </c>
      <c r="H50" s="95"/>
      <c r="I50" s="95"/>
      <c r="J50" s="95"/>
      <c r="K50" s="94"/>
      <c r="L50" s="95" t="s">
        <v>227</v>
      </c>
      <c r="M50" s="96" t="s">
        <v>79</v>
      </c>
      <c r="N50" s="95"/>
      <c r="O50" s="95"/>
      <c r="P50" s="95"/>
      <c r="Q50" s="95"/>
      <c r="R50" s="96"/>
      <c r="S50" s="95"/>
      <c r="T50" s="95"/>
      <c r="U50" s="95"/>
      <c r="V50" s="95"/>
      <c r="W50" s="95"/>
      <c r="X50" s="95"/>
      <c r="Y50" s="95"/>
      <c r="Z50" s="95"/>
    </row>
    <row r="51" spans="1:26">
      <c r="A51" s="93" t="s">
        <v>518</v>
      </c>
      <c r="B51" s="94">
        <f>COUNTA($B$1:B50)</f>
        <v>47</v>
      </c>
      <c r="C51" s="95" t="s">
        <v>207</v>
      </c>
      <c r="D51" s="95"/>
      <c r="E51" s="95"/>
      <c r="F51" s="94"/>
      <c r="G51" s="95" t="s">
        <v>125</v>
      </c>
      <c r="H51" s="95"/>
      <c r="I51" s="95" t="s">
        <v>55</v>
      </c>
      <c r="J51" s="95" t="s">
        <v>208</v>
      </c>
      <c r="K51" s="94">
        <v>0</v>
      </c>
      <c r="L51" s="95" t="s">
        <v>147</v>
      </c>
      <c r="M51" s="96"/>
      <c r="N51" s="95"/>
      <c r="O51" s="95"/>
      <c r="P51" s="95"/>
      <c r="Q51" s="95"/>
      <c r="R51" s="95"/>
      <c r="S51" s="95"/>
      <c r="T51" s="95"/>
      <c r="U51" s="95"/>
      <c r="V51" s="95"/>
      <c r="W51" s="95"/>
      <c r="X51" s="95"/>
      <c r="Y51" s="95"/>
      <c r="Z51" s="95"/>
    </row>
    <row r="52" spans="1:26" ht="12.75" customHeight="1">
      <c r="A52" s="93" t="s">
        <v>518</v>
      </c>
      <c r="B52" s="94">
        <f>COUNTA($B$1:B51)</f>
        <v>48</v>
      </c>
      <c r="C52" s="95" t="s">
        <v>209</v>
      </c>
      <c r="D52" s="104"/>
      <c r="E52" s="105"/>
      <c r="F52" s="94"/>
      <c r="G52" s="95" t="s">
        <v>125</v>
      </c>
      <c r="H52" s="95"/>
      <c r="I52" s="95" t="s">
        <v>55</v>
      </c>
      <c r="J52" s="95" t="s">
        <v>213</v>
      </c>
      <c r="K52" s="94"/>
      <c r="L52" s="95" t="s">
        <v>98</v>
      </c>
      <c r="M52" s="95"/>
      <c r="N52" s="95" t="s">
        <v>99</v>
      </c>
      <c r="O52" s="95"/>
      <c r="P52" s="95"/>
      <c r="Q52" s="95"/>
      <c r="R52" s="95" t="str">
        <f>TEXT(M48,"mm/dd/yyyy") &amp; " - " &amp; TEXT(M49,"mm/dd/yyyy")</f>
        <v>PickUpDate1 - DropOffDate1</v>
      </c>
      <c r="S52" s="105"/>
      <c r="T52" s="95" t="s">
        <v>2</v>
      </c>
      <c r="U52" s="95"/>
      <c r="V52" s="95"/>
      <c r="W52" s="95"/>
      <c r="X52" s="105"/>
      <c r="Y52" s="105"/>
      <c r="Z52" s="105"/>
    </row>
    <row r="53" spans="1:26">
      <c r="A53" s="93" t="s">
        <v>518</v>
      </c>
      <c r="B53" s="94">
        <f>COUNTA($B$1:B52)</f>
        <v>49</v>
      </c>
      <c r="C53" s="95" t="s">
        <v>201</v>
      </c>
      <c r="D53" s="104"/>
      <c r="E53" s="105" t="s">
        <v>154</v>
      </c>
      <c r="F53" s="98"/>
      <c r="G53" s="95" t="s">
        <v>125</v>
      </c>
      <c r="H53" s="95"/>
      <c r="I53" s="95" t="s">
        <v>55</v>
      </c>
      <c r="J53" s="95" t="s">
        <v>202</v>
      </c>
      <c r="K53" s="94">
        <v>0</v>
      </c>
      <c r="L53" s="95" t="s">
        <v>0</v>
      </c>
      <c r="M53" s="82" t="s">
        <v>214</v>
      </c>
      <c r="N53" s="95"/>
      <c r="O53" s="95"/>
      <c r="P53" s="95"/>
      <c r="Q53" s="95"/>
      <c r="R53" s="95"/>
      <c r="S53" s="105"/>
      <c r="T53" s="95"/>
      <c r="U53" s="95"/>
      <c r="V53" s="95"/>
      <c r="W53" s="95"/>
      <c r="X53" s="105"/>
      <c r="Y53" s="105"/>
      <c r="Z53" s="105"/>
    </row>
    <row r="54" spans="1:26">
      <c r="A54" s="93" t="s">
        <v>518</v>
      </c>
      <c r="B54" s="94">
        <f>COUNTA($B$1:B53)</f>
        <v>50</v>
      </c>
      <c r="C54" s="95" t="s">
        <v>204</v>
      </c>
      <c r="D54" s="104"/>
      <c r="E54" s="105" t="s">
        <v>154</v>
      </c>
      <c r="F54" s="98"/>
      <c r="G54" s="95" t="s">
        <v>125</v>
      </c>
      <c r="H54" s="95"/>
      <c r="I54" s="95" t="s">
        <v>55</v>
      </c>
      <c r="J54" s="95" t="s">
        <v>205</v>
      </c>
      <c r="K54" s="94">
        <v>0</v>
      </c>
      <c r="L54" s="95" t="s">
        <v>0</v>
      </c>
      <c r="M54" s="82" t="s">
        <v>215</v>
      </c>
      <c r="N54" s="95"/>
      <c r="O54" s="95"/>
      <c r="P54" s="95"/>
      <c r="Q54" s="95"/>
      <c r="R54" s="95"/>
      <c r="S54" s="105"/>
      <c r="T54" s="95"/>
      <c r="U54" s="95"/>
      <c r="V54" s="95"/>
      <c r="W54" s="95"/>
      <c r="X54" s="105"/>
      <c r="Y54" s="105"/>
      <c r="Z54" s="105"/>
    </row>
    <row r="55" spans="1:26" ht="12.75" customHeight="1">
      <c r="A55" s="93" t="s">
        <v>518</v>
      </c>
      <c r="B55" s="94">
        <f>COUNTA($B$1:B54)</f>
        <v>51</v>
      </c>
      <c r="C55" s="95" t="s">
        <v>226</v>
      </c>
      <c r="D55" s="104"/>
      <c r="E55" s="105"/>
      <c r="F55" s="94"/>
      <c r="G55" s="95" t="s">
        <v>125</v>
      </c>
      <c r="H55" s="95"/>
      <c r="I55" s="95"/>
      <c r="J55" s="95"/>
      <c r="K55" s="94"/>
      <c r="L55" s="95" t="s">
        <v>227</v>
      </c>
      <c r="M55" s="96" t="s">
        <v>79</v>
      </c>
      <c r="N55" s="95"/>
      <c r="O55" s="95"/>
      <c r="P55" s="95"/>
      <c r="Q55" s="95"/>
      <c r="R55" s="96"/>
      <c r="S55" s="95"/>
      <c r="T55" s="95"/>
      <c r="U55" s="95"/>
      <c r="V55" s="95"/>
      <c r="W55" s="95"/>
      <c r="X55" s="95"/>
      <c r="Y55" s="95"/>
      <c r="Z55" s="95"/>
    </row>
    <row r="56" spans="1:26" s="17" customFormat="1">
      <c r="A56" s="93" t="s">
        <v>518</v>
      </c>
      <c r="B56" s="94">
        <f>COUNTA($B$1:B55)</f>
        <v>52</v>
      </c>
      <c r="C56" s="95" t="s">
        <v>207</v>
      </c>
      <c r="D56" s="95"/>
      <c r="E56" s="95"/>
      <c r="F56" s="94"/>
      <c r="G56" s="95" t="s">
        <v>125</v>
      </c>
      <c r="H56" s="95"/>
      <c r="I56" s="95" t="s">
        <v>55</v>
      </c>
      <c r="J56" s="95" t="s">
        <v>208</v>
      </c>
      <c r="K56" s="94">
        <v>0</v>
      </c>
      <c r="L56" s="95" t="s">
        <v>147</v>
      </c>
      <c r="M56" s="96"/>
      <c r="N56" s="95"/>
      <c r="O56" s="95"/>
      <c r="P56" s="95"/>
      <c r="Q56" s="95"/>
      <c r="R56" s="95"/>
      <c r="S56" s="95"/>
      <c r="T56" s="95"/>
      <c r="U56" s="95"/>
      <c r="V56" s="95"/>
      <c r="W56" s="95"/>
      <c r="X56" s="95"/>
      <c r="Y56" s="95"/>
      <c r="Z56" s="95"/>
    </row>
    <row r="57" spans="1:26" s="17" customFormat="1">
      <c r="A57" s="93" t="s">
        <v>518</v>
      </c>
      <c r="B57" s="94">
        <f>COUNTA($B$1:B56)</f>
        <v>53</v>
      </c>
      <c r="C57" s="95" t="s">
        <v>209</v>
      </c>
      <c r="D57" s="104"/>
      <c r="E57" s="105"/>
      <c r="F57" s="94"/>
      <c r="G57" s="95" t="s">
        <v>125</v>
      </c>
      <c r="H57" s="95"/>
      <c r="I57" s="95" t="s">
        <v>55</v>
      </c>
      <c r="J57" s="95" t="s">
        <v>216</v>
      </c>
      <c r="K57" s="94"/>
      <c r="L57" s="95" t="s">
        <v>98</v>
      </c>
      <c r="M57" s="95"/>
      <c r="N57" s="95" t="s">
        <v>99</v>
      </c>
      <c r="O57" s="95"/>
      <c r="P57" s="95"/>
      <c r="Q57" s="95"/>
      <c r="R57" s="95" t="str">
        <f>TEXT(M53,"mm/dd/yyyy") &amp; " - " &amp; TEXT(M54,"mm/dd/yyyy")</f>
        <v>PickUpDate2 - DropOffDate2</v>
      </c>
      <c r="S57" s="105"/>
      <c r="T57" s="95" t="s">
        <v>2</v>
      </c>
      <c r="U57" s="95"/>
      <c r="V57" s="95"/>
      <c r="W57" s="95"/>
      <c r="X57" s="105"/>
      <c r="Y57" s="105"/>
      <c r="Z57" s="105"/>
    </row>
    <row r="58" spans="1:26" s="17" customFormat="1">
      <c r="A58" s="93" t="s">
        <v>518</v>
      </c>
      <c r="B58" s="94">
        <f>COUNTA($B$1:B57)</f>
        <v>54</v>
      </c>
      <c r="C58" s="95" t="s">
        <v>190</v>
      </c>
      <c r="D58" s="95"/>
      <c r="E58" s="95"/>
      <c r="F58" s="94"/>
      <c r="G58" s="95" t="s">
        <v>125</v>
      </c>
      <c r="H58" s="95"/>
      <c r="I58" s="95" t="s">
        <v>55</v>
      </c>
      <c r="J58" s="95" t="s">
        <v>87</v>
      </c>
      <c r="K58" s="94">
        <v>0</v>
      </c>
      <c r="L58" s="95" t="s">
        <v>147</v>
      </c>
      <c r="M58" s="96"/>
      <c r="N58" s="95"/>
      <c r="O58" s="95"/>
      <c r="P58" s="95"/>
      <c r="Q58" s="95"/>
      <c r="R58" s="95"/>
      <c r="S58" s="95"/>
      <c r="T58" s="95"/>
      <c r="U58" s="95"/>
      <c r="V58" s="95"/>
      <c r="W58" s="95"/>
      <c r="X58" s="95"/>
      <c r="Y58" s="95"/>
      <c r="Z58" s="95"/>
    </row>
    <row r="59" spans="1:26" s="17" customFormat="1">
      <c r="A59" s="93" t="s">
        <v>518</v>
      </c>
      <c r="B59" s="94">
        <f>COUNTA($B$1:B58)</f>
        <v>55</v>
      </c>
      <c r="C59" s="95" t="s">
        <v>67</v>
      </c>
      <c r="D59" s="95"/>
      <c r="E59" s="95"/>
      <c r="F59" s="94"/>
      <c r="G59" s="95" t="s">
        <v>125</v>
      </c>
      <c r="H59" s="95"/>
      <c r="I59" s="95"/>
      <c r="J59" s="95"/>
      <c r="K59" s="94"/>
      <c r="L59" s="95" t="s">
        <v>67</v>
      </c>
      <c r="M59" s="96">
        <v>10</v>
      </c>
      <c r="N59" s="95"/>
      <c r="O59" s="95"/>
      <c r="P59" s="95"/>
      <c r="Q59" s="95"/>
      <c r="R59" s="96"/>
      <c r="S59" s="95"/>
      <c r="T59" s="95"/>
      <c r="U59" s="95"/>
      <c r="V59" s="95"/>
      <c r="W59" s="95"/>
      <c r="X59" s="95"/>
      <c r="Y59" s="95"/>
      <c r="Z59" s="95"/>
    </row>
    <row r="60" spans="1:26" s="17" customFormat="1">
      <c r="A60" s="30" t="s">
        <v>219</v>
      </c>
      <c r="B60" s="31"/>
      <c r="C60" s="31"/>
      <c r="D60" s="32"/>
      <c r="E60" s="32"/>
      <c r="F60" s="31"/>
      <c r="G60" s="32"/>
      <c r="H60" s="32"/>
      <c r="I60" s="32"/>
      <c r="J60" s="32"/>
      <c r="K60" s="31"/>
      <c r="L60" s="32"/>
      <c r="M60" s="32"/>
      <c r="N60" s="32"/>
      <c r="O60" s="32"/>
      <c r="P60" s="32"/>
      <c r="Q60" s="32"/>
      <c r="R60" s="32"/>
      <c r="S60" s="32"/>
      <c r="T60" s="32"/>
      <c r="U60" s="32"/>
      <c r="V60" s="32"/>
      <c r="W60" s="32"/>
      <c r="X60" s="32"/>
      <c r="Y60" s="32"/>
      <c r="Z60" s="32"/>
    </row>
    <row r="61" spans="1:26" s="17" customFormat="1">
      <c r="A61" s="45" t="s">
        <v>518</v>
      </c>
      <c r="B61" s="94">
        <f>COUNTA($B$1:B60)</f>
        <v>56</v>
      </c>
      <c r="C61" s="46" t="s">
        <v>140</v>
      </c>
      <c r="D61" s="46"/>
      <c r="E61" s="46"/>
      <c r="F61" s="47"/>
      <c r="G61" s="46" t="s">
        <v>125</v>
      </c>
      <c r="H61" s="46"/>
      <c r="I61" s="46" t="s">
        <v>55</v>
      </c>
      <c r="J61" s="46" t="s">
        <v>141</v>
      </c>
      <c r="K61" s="47"/>
      <c r="L61" s="46" t="s">
        <v>142</v>
      </c>
      <c r="M61" s="48"/>
      <c r="N61" s="46"/>
      <c r="O61" s="46" t="s">
        <v>2</v>
      </c>
      <c r="P61" s="46"/>
      <c r="Q61" s="46"/>
      <c r="R61" s="49"/>
      <c r="S61" s="46"/>
      <c r="T61" s="46"/>
      <c r="U61" s="46"/>
      <c r="V61" s="46"/>
      <c r="W61" s="46"/>
      <c r="X61" s="46"/>
      <c r="Y61" s="46"/>
      <c r="Z61" s="46"/>
    </row>
    <row r="62" spans="1:26" s="17" customFormat="1">
      <c r="A62" s="45" t="str">
        <f>IF($D$61="PASSED","bln680759","N")</f>
        <v>N</v>
      </c>
      <c r="B62" s="94">
        <f>COUNTA($B$1:B61)</f>
        <v>57</v>
      </c>
      <c r="C62" s="46" t="s">
        <v>143</v>
      </c>
      <c r="D62" s="46"/>
      <c r="E62" s="46"/>
      <c r="F62" s="47"/>
      <c r="G62" s="46" t="s">
        <v>125</v>
      </c>
      <c r="H62" s="46"/>
      <c r="I62" s="46" t="s">
        <v>55</v>
      </c>
      <c r="J62" s="46" t="s">
        <v>141</v>
      </c>
      <c r="K62" s="47"/>
      <c r="L62" s="46" t="s">
        <v>98</v>
      </c>
      <c r="M62" s="48"/>
      <c r="N62" s="46" t="s">
        <v>99</v>
      </c>
      <c r="O62" s="46" t="s">
        <v>2</v>
      </c>
      <c r="P62" s="46"/>
      <c r="Q62" s="46"/>
      <c r="R62" s="49" t="s">
        <v>144</v>
      </c>
      <c r="S62" s="46"/>
      <c r="T62" s="46"/>
      <c r="U62" s="46"/>
      <c r="V62" s="46"/>
      <c r="W62" s="46"/>
      <c r="X62" s="46"/>
      <c r="Y62" s="46"/>
      <c r="Z62" s="46"/>
    </row>
    <row r="63" spans="1:26" s="17" customFormat="1">
      <c r="A63" s="45" t="str">
        <f>A62</f>
        <v>N</v>
      </c>
      <c r="B63" s="94">
        <f>COUNTA($B$1:B62)</f>
        <v>58</v>
      </c>
      <c r="C63" s="46" t="s">
        <v>145</v>
      </c>
      <c r="D63" s="46"/>
      <c r="E63" s="46"/>
      <c r="F63" s="47"/>
      <c r="G63" s="46" t="s">
        <v>125</v>
      </c>
      <c r="H63" s="46"/>
      <c r="I63" s="46" t="s">
        <v>55</v>
      </c>
      <c r="J63" s="46" t="s">
        <v>146</v>
      </c>
      <c r="K63" s="47"/>
      <c r="L63" s="46" t="s">
        <v>147</v>
      </c>
      <c r="M63" s="48"/>
      <c r="N63" s="46"/>
      <c r="O63" s="46" t="s">
        <v>2</v>
      </c>
      <c r="P63" s="46"/>
      <c r="Q63" s="46"/>
      <c r="R63" s="48"/>
      <c r="S63" s="46"/>
      <c r="T63" s="46"/>
      <c r="U63" s="46"/>
      <c r="V63" s="46"/>
      <c r="W63" s="46"/>
      <c r="X63" s="46"/>
      <c r="Y63" s="46"/>
      <c r="Z63" s="46"/>
    </row>
    <row r="64" spans="1:26" ht="12.75" customHeight="1">
      <c r="A64" s="93" t="s">
        <v>518</v>
      </c>
      <c r="B64" s="94">
        <f>COUNTA($B$1:B63)</f>
        <v>59</v>
      </c>
      <c r="C64" s="95" t="s">
        <v>220</v>
      </c>
      <c r="D64" s="95"/>
      <c r="E64" s="95"/>
      <c r="F64" s="94"/>
      <c r="G64" s="95" t="s">
        <v>125</v>
      </c>
      <c r="H64" s="95"/>
      <c r="I64" s="95" t="s">
        <v>55</v>
      </c>
      <c r="J64" s="95" t="s">
        <v>221</v>
      </c>
      <c r="K64" s="94">
        <v>0</v>
      </c>
      <c r="L64" s="95" t="s">
        <v>0</v>
      </c>
      <c r="M64" s="82" t="s">
        <v>222</v>
      </c>
      <c r="N64" s="95"/>
      <c r="O64" s="95"/>
      <c r="P64" s="95"/>
      <c r="Q64" s="95"/>
      <c r="R64" s="105"/>
      <c r="S64" s="95"/>
      <c r="T64" s="95"/>
      <c r="U64" s="95"/>
      <c r="V64" s="95"/>
      <c r="W64" s="95"/>
      <c r="X64" s="95"/>
      <c r="Y64" s="95"/>
      <c r="Z64" s="95"/>
    </row>
    <row r="65" spans="1:26" s="12" customFormat="1" ht="12.75" customHeight="1">
      <c r="A65" s="93" t="s">
        <v>518</v>
      </c>
      <c r="B65" s="94">
        <f>COUNTA($B$1:B64)</f>
        <v>60</v>
      </c>
      <c r="C65" s="95" t="s">
        <v>103</v>
      </c>
      <c r="D65" s="95"/>
      <c r="E65" s="95"/>
      <c r="F65" s="94"/>
      <c r="G65" s="95" t="s">
        <v>125</v>
      </c>
      <c r="H65" s="95"/>
      <c r="I65" s="95" t="s">
        <v>55</v>
      </c>
      <c r="J65" s="95" t="s">
        <v>105</v>
      </c>
      <c r="K65" s="94">
        <v>0</v>
      </c>
      <c r="L65" s="95" t="s">
        <v>0</v>
      </c>
      <c r="M65" s="82" t="s">
        <v>223</v>
      </c>
      <c r="N65" s="95"/>
      <c r="O65" s="95"/>
      <c r="P65" s="95"/>
      <c r="Q65" s="95"/>
      <c r="R65" s="105"/>
      <c r="S65" s="95"/>
      <c r="T65" s="95"/>
      <c r="U65" s="95"/>
      <c r="V65" s="95"/>
      <c r="W65" s="95"/>
      <c r="X65" s="95"/>
      <c r="Y65" s="95"/>
      <c r="Z65" s="95"/>
    </row>
    <row r="66" spans="1:26" s="16" customFormat="1" outlineLevel="1">
      <c r="A66" s="93" t="s">
        <v>518</v>
      </c>
      <c r="B66" s="94">
        <f>COUNTA($B$1:B65)</f>
        <v>61</v>
      </c>
      <c r="C66" s="95" t="s">
        <v>224</v>
      </c>
      <c r="D66" s="95"/>
      <c r="E66" s="95"/>
      <c r="F66" s="94"/>
      <c r="G66" s="95" t="s">
        <v>125</v>
      </c>
      <c r="H66" s="95"/>
      <c r="I66" s="95" t="s">
        <v>55</v>
      </c>
      <c r="J66" s="95" t="s">
        <v>83</v>
      </c>
      <c r="K66" s="94">
        <v>0</v>
      </c>
      <c r="L66" s="95" t="s">
        <v>0</v>
      </c>
      <c r="M66" s="82" t="s">
        <v>225</v>
      </c>
      <c r="N66" s="95"/>
      <c r="O66" s="95"/>
      <c r="P66" s="95"/>
      <c r="Q66" s="95"/>
      <c r="R66" s="105"/>
      <c r="S66" s="95"/>
      <c r="T66" s="95"/>
      <c r="U66" s="95"/>
      <c r="V66" s="95"/>
      <c r="W66" s="95"/>
      <c r="X66" s="95"/>
      <c r="Y66" s="95"/>
      <c r="Z66" s="95"/>
    </row>
    <row r="67" spans="1:26" s="17" customFormat="1">
      <c r="A67" s="93" t="s">
        <v>518</v>
      </c>
      <c r="B67" s="94">
        <f>COUNTA($B$1:B66)</f>
        <v>62</v>
      </c>
      <c r="C67" s="95" t="s">
        <v>226</v>
      </c>
      <c r="D67" s="104"/>
      <c r="E67" s="105"/>
      <c r="F67" s="94"/>
      <c r="G67" s="95" t="s">
        <v>125</v>
      </c>
      <c r="H67" s="95"/>
      <c r="I67" s="95"/>
      <c r="J67" s="95"/>
      <c r="K67" s="94"/>
      <c r="L67" s="95" t="s">
        <v>227</v>
      </c>
      <c r="M67" s="96" t="s">
        <v>79</v>
      </c>
      <c r="N67" s="95"/>
      <c r="O67" s="95"/>
      <c r="P67" s="95"/>
      <c r="Q67" s="95"/>
      <c r="R67" s="95"/>
      <c r="S67" s="105"/>
      <c r="T67" s="95"/>
      <c r="U67" s="95"/>
      <c r="V67" s="95"/>
      <c r="W67" s="95"/>
      <c r="X67" s="105"/>
      <c r="Y67" s="105"/>
      <c r="Z67" s="105"/>
    </row>
    <row r="68" spans="1:26" s="17" customFormat="1">
      <c r="A68" s="93" t="s">
        <v>518</v>
      </c>
      <c r="B68" s="94">
        <f>COUNTA($B$1:B67)</f>
        <v>63</v>
      </c>
      <c r="C68" s="95" t="s">
        <v>67</v>
      </c>
      <c r="D68" s="95"/>
      <c r="E68" s="95"/>
      <c r="F68" s="94"/>
      <c r="G68" s="95" t="s">
        <v>125</v>
      </c>
      <c r="H68" s="95"/>
      <c r="I68" s="95"/>
      <c r="J68" s="95"/>
      <c r="K68" s="94"/>
      <c r="L68" s="95" t="s">
        <v>67</v>
      </c>
      <c r="M68" s="96">
        <v>2</v>
      </c>
      <c r="N68" s="95"/>
      <c r="O68" s="95"/>
      <c r="P68" s="95"/>
      <c r="Q68" s="95"/>
      <c r="R68" s="96"/>
      <c r="S68" s="95"/>
      <c r="T68" s="95"/>
      <c r="U68" s="95"/>
      <c r="V68" s="95"/>
      <c r="W68" s="95"/>
      <c r="X68" s="95"/>
      <c r="Y68" s="95"/>
      <c r="Z68" s="95"/>
    </row>
    <row r="69" spans="1:26" s="17" customFormat="1">
      <c r="A69" s="93" t="s">
        <v>518</v>
      </c>
      <c r="B69" s="94">
        <f>COUNTA($B$1:B68)</f>
        <v>64</v>
      </c>
      <c r="C69" s="95" t="s">
        <v>228</v>
      </c>
      <c r="D69" s="95"/>
      <c r="E69" s="95"/>
      <c r="F69" s="94"/>
      <c r="G69" s="95" t="s">
        <v>125</v>
      </c>
      <c r="H69" s="95"/>
      <c r="I69" s="95" t="s">
        <v>55</v>
      </c>
      <c r="J69" s="95" t="s">
        <v>229</v>
      </c>
      <c r="K69" s="94">
        <v>0</v>
      </c>
      <c r="L69" s="95" t="s">
        <v>0</v>
      </c>
      <c r="M69" s="82" t="s">
        <v>230</v>
      </c>
      <c r="N69" s="95"/>
      <c r="O69" s="95"/>
      <c r="P69" s="95"/>
      <c r="Q69" s="95"/>
      <c r="R69" s="105"/>
      <c r="S69" s="95"/>
      <c r="T69" s="95"/>
      <c r="U69" s="95"/>
      <c r="V69" s="95"/>
      <c r="W69" s="95"/>
      <c r="X69" s="95"/>
      <c r="Y69" s="95"/>
      <c r="Z69" s="95"/>
    </row>
    <row r="70" spans="1:26" s="17" customFormat="1">
      <c r="A70" s="93" t="s">
        <v>518</v>
      </c>
      <c r="B70" s="94">
        <f>COUNTA($B$1:B69)</f>
        <v>65</v>
      </c>
      <c r="C70" s="95" t="s">
        <v>89</v>
      </c>
      <c r="D70" s="95"/>
      <c r="E70" s="95"/>
      <c r="F70" s="94"/>
      <c r="G70" s="95" t="s">
        <v>125</v>
      </c>
      <c r="H70" s="95"/>
      <c r="I70" s="95" t="s">
        <v>55</v>
      </c>
      <c r="J70" s="95" t="s">
        <v>231</v>
      </c>
      <c r="K70" s="94">
        <v>0</v>
      </c>
      <c r="L70" s="95" t="s">
        <v>0</v>
      </c>
      <c r="M70" s="82" t="s">
        <v>104</v>
      </c>
      <c r="N70" s="95"/>
      <c r="O70" s="95"/>
      <c r="P70" s="95"/>
      <c r="Q70" s="95"/>
      <c r="R70" s="105"/>
      <c r="S70" s="95"/>
      <c r="T70" s="95"/>
      <c r="U70" s="95"/>
      <c r="V70" s="95"/>
      <c r="W70" s="95"/>
      <c r="X70" s="95"/>
      <c r="Y70" s="95"/>
      <c r="Z70" s="95"/>
    </row>
    <row r="71" spans="1:26" s="17" customFormat="1">
      <c r="A71" s="93" t="s">
        <v>518</v>
      </c>
      <c r="B71" s="94">
        <f>COUNTA($B$1:B70)</f>
        <v>66</v>
      </c>
      <c r="C71" s="95" t="s">
        <v>232</v>
      </c>
      <c r="D71" s="95"/>
      <c r="E71" s="95"/>
      <c r="F71" s="94"/>
      <c r="G71" s="95" t="s">
        <v>125</v>
      </c>
      <c r="H71" s="95"/>
      <c r="I71" s="95" t="s">
        <v>55</v>
      </c>
      <c r="J71" s="95" t="s">
        <v>233</v>
      </c>
      <c r="K71" s="94">
        <v>0</v>
      </c>
      <c r="L71" s="95" t="s">
        <v>0</v>
      </c>
      <c r="M71" s="82" t="s">
        <v>234</v>
      </c>
      <c r="N71" s="95"/>
      <c r="O71" s="95"/>
      <c r="P71" s="95"/>
      <c r="Q71" s="95"/>
      <c r="R71" s="105"/>
      <c r="S71" s="95"/>
      <c r="T71" s="95"/>
      <c r="U71" s="95"/>
      <c r="V71" s="95"/>
      <c r="W71" s="95"/>
      <c r="X71" s="95"/>
      <c r="Y71" s="95"/>
      <c r="Z71" s="95"/>
    </row>
    <row r="72" spans="1:26" s="17" customFormat="1">
      <c r="A72" s="93" t="s">
        <v>518</v>
      </c>
      <c r="B72" s="94">
        <f>COUNTA($B$1:B71)</f>
        <v>67</v>
      </c>
      <c r="C72" s="95" t="s">
        <v>235</v>
      </c>
      <c r="D72" s="95"/>
      <c r="E72" s="95"/>
      <c r="F72" s="94"/>
      <c r="G72" s="95" t="s">
        <v>125</v>
      </c>
      <c r="H72" s="95"/>
      <c r="I72" s="95" t="s">
        <v>55</v>
      </c>
      <c r="J72" s="95" t="s">
        <v>236</v>
      </c>
      <c r="K72" s="94">
        <v>0</v>
      </c>
      <c r="L72" s="95" t="s">
        <v>0</v>
      </c>
      <c r="M72" s="82" t="s">
        <v>237</v>
      </c>
      <c r="N72" s="95"/>
      <c r="O72" s="95"/>
      <c r="P72" s="95"/>
      <c r="Q72" s="95"/>
      <c r="R72" s="105"/>
      <c r="S72" s="95"/>
      <c r="T72" s="95"/>
      <c r="U72" s="95"/>
      <c r="V72" s="95"/>
      <c r="W72" s="95"/>
      <c r="X72" s="95"/>
      <c r="Y72" s="95"/>
      <c r="Z72" s="95"/>
    </row>
    <row r="73" spans="1:26" s="17" customFormat="1">
      <c r="A73" s="93" t="s">
        <v>518</v>
      </c>
      <c r="B73" s="94">
        <f>COUNTA($B$1:B72)</f>
        <v>68</v>
      </c>
      <c r="C73" s="95" t="s">
        <v>238</v>
      </c>
      <c r="D73" s="95"/>
      <c r="E73" s="95"/>
      <c r="F73" s="94"/>
      <c r="G73" s="95" t="s">
        <v>125</v>
      </c>
      <c r="H73" s="95"/>
      <c r="I73" s="95" t="s">
        <v>55</v>
      </c>
      <c r="J73" s="95" t="s">
        <v>90</v>
      </c>
      <c r="K73" s="94">
        <v>0</v>
      </c>
      <c r="L73" s="95" t="s">
        <v>0</v>
      </c>
      <c r="M73" s="82" t="s">
        <v>239</v>
      </c>
      <c r="N73" s="95"/>
      <c r="O73" s="95"/>
      <c r="P73" s="95"/>
      <c r="Q73" s="95"/>
      <c r="R73" s="105"/>
      <c r="S73" s="95"/>
      <c r="T73" s="95"/>
      <c r="U73" s="95"/>
      <c r="V73" s="95"/>
      <c r="W73" s="95"/>
      <c r="X73" s="95"/>
      <c r="Y73" s="95"/>
      <c r="Z73" s="95"/>
    </row>
    <row r="74" spans="1:26" s="17" customFormat="1">
      <c r="A74" s="93" t="s">
        <v>518</v>
      </c>
      <c r="B74" s="94">
        <f>COUNTA($B$1:B73)</f>
        <v>69</v>
      </c>
      <c r="C74" s="95" t="s">
        <v>523</v>
      </c>
      <c r="D74" s="95"/>
      <c r="E74" s="95"/>
      <c r="F74" s="94"/>
      <c r="G74" s="95" t="s">
        <v>125</v>
      </c>
      <c r="H74" s="95"/>
      <c r="I74" s="95" t="s">
        <v>55</v>
      </c>
      <c r="J74" s="95" t="s">
        <v>524</v>
      </c>
      <c r="K74" s="94">
        <v>0</v>
      </c>
      <c r="L74" s="95" t="s">
        <v>0</v>
      </c>
      <c r="M74" s="82" t="s">
        <v>525</v>
      </c>
      <c r="N74" s="95"/>
      <c r="O74" s="95"/>
      <c r="P74" s="95"/>
      <c r="Q74" s="95"/>
      <c r="R74" s="105"/>
      <c r="S74" s="95"/>
      <c r="T74" s="95"/>
      <c r="U74" s="95"/>
      <c r="V74" s="95"/>
      <c r="W74" s="95"/>
      <c r="X74" s="95"/>
      <c r="Y74" s="95"/>
      <c r="Z74" s="95"/>
    </row>
    <row r="75" spans="1:26" s="17" customFormat="1">
      <c r="A75" s="93" t="s">
        <v>518</v>
      </c>
      <c r="B75" s="94">
        <f>COUNTA($B$1:B74)</f>
        <v>70</v>
      </c>
      <c r="C75" s="95" t="s">
        <v>190</v>
      </c>
      <c r="D75" s="95"/>
      <c r="E75" s="95"/>
      <c r="F75" s="94"/>
      <c r="G75" s="95" t="s">
        <v>125</v>
      </c>
      <c r="H75" s="95"/>
      <c r="I75" s="95" t="s">
        <v>55</v>
      </c>
      <c r="J75" s="95" t="s">
        <v>87</v>
      </c>
      <c r="K75" s="94">
        <v>0</v>
      </c>
      <c r="L75" s="95" t="s">
        <v>147</v>
      </c>
      <c r="M75" s="96"/>
      <c r="N75" s="95"/>
      <c r="O75" s="95"/>
      <c r="P75" s="95"/>
      <c r="Q75" s="95"/>
      <c r="R75" s="95"/>
      <c r="S75" s="95"/>
      <c r="T75" s="95"/>
      <c r="U75" s="95"/>
      <c r="V75" s="95"/>
      <c r="W75" s="95"/>
      <c r="X75" s="95"/>
      <c r="Y75" s="95"/>
      <c r="Z75" s="95"/>
    </row>
    <row r="76" spans="1:26" s="17" customFormat="1">
      <c r="A76" s="93" t="s">
        <v>518</v>
      </c>
      <c r="B76" s="94">
        <f>COUNTA($B$1:B75)</f>
        <v>71</v>
      </c>
      <c r="C76" s="95" t="s">
        <v>67</v>
      </c>
      <c r="D76" s="95"/>
      <c r="E76" s="95"/>
      <c r="F76" s="94"/>
      <c r="G76" s="95" t="s">
        <v>125</v>
      </c>
      <c r="H76" s="95"/>
      <c r="I76" s="95"/>
      <c r="J76" s="95"/>
      <c r="K76" s="94"/>
      <c r="L76" s="95" t="s">
        <v>67</v>
      </c>
      <c r="M76" s="96">
        <v>10</v>
      </c>
      <c r="N76" s="95"/>
      <c r="O76" s="95"/>
      <c r="P76" s="95"/>
      <c r="Q76" s="95"/>
      <c r="R76" s="96"/>
      <c r="S76" s="95"/>
      <c r="T76" s="95"/>
      <c r="U76" s="95"/>
      <c r="V76" s="95"/>
      <c r="W76" s="95"/>
      <c r="X76" s="95"/>
      <c r="Y76" s="95"/>
      <c r="Z76" s="95"/>
    </row>
    <row r="77" spans="1:26" s="17" customFormat="1">
      <c r="A77" s="30" t="s">
        <v>91</v>
      </c>
      <c r="B77" s="31"/>
      <c r="C77" s="31"/>
      <c r="D77" s="32"/>
      <c r="E77" s="32"/>
      <c r="F77" s="31"/>
      <c r="G77" s="32"/>
      <c r="H77" s="32"/>
      <c r="I77" s="32"/>
      <c r="J77" s="32"/>
      <c r="K77" s="31"/>
      <c r="L77" s="32"/>
      <c r="M77" s="32"/>
      <c r="N77" s="32"/>
      <c r="O77" s="32"/>
      <c r="P77" s="32"/>
      <c r="Q77" s="32"/>
      <c r="R77" s="32"/>
      <c r="S77" s="32"/>
      <c r="T77" s="32"/>
      <c r="U77" s="32"/>
      <c r="V77" s="32"/>
      <c r="W77" s="32"/>
      <c r="X77" s="32"/>
      <c r="Y77" s="32"/>
      <c r="Z77" s="32"/>
    </row>
    <row r="78" spans="1:26" s="17" customFormat="1">
      <c r="A78" s="45" t="s">
        <v>518</v>
      </c>
      <c r="B78" s="94">
        <f>COUNTA($B$1:B77)</f>
        <v>72</v>
      </c>
      <c r="C78" s="46" t="s">
        <v>140</v>
      </c>
      <c r="D78" s="46"/>
      <c r="E78" s="46"/>
      <c r="F78" s="47"/>
      <c r="G78" s="46" t="s">
        <v>125</v>
      </c>
      <c r="H78" s="46"/>
      <c r="I78" s="46" t="s">
        <v>55</v>
      </c>
      <c r="J78" s="46" t="s">
        <v>141</v>
      </c>
      <c r="K78" s="47"/>
      <c r="L78" s="46" t="s">
        <v>142</v>
      </c>
      <c r="M78" s="48"/>
      <c r="N78" s="46"/>
      <c r="O78" s="46" t="s">
        <v>2</v>
      </c>
      <c r="P78" s="46"/>
      <c r="Q78" s="46"/>
      <c r="R78" s="49"/>
      <c r="S78" s="46"/>
      <c r="T78" s="46"/>
      <c r="U78" s="46"/>
      <c r="V78" s="46"/>
      <c r="W78" s="46"/>
      <c r="X78" s="46"/>
      <c r="Y78" s="46"/>
      <c r="Z78" s="46"/>
    </row>
    <row r="79" spans="1:26" s="17" customFormat="1">
      <c r="A79" s="45" t="str">
        <f>IF($D$78="PASSED","bln680759","N")</f>
        <v>N</v>
      </c>
      <c r="B79" s="94">
        <f>COUNTA($B$1:B78)</f>
        <v>73</v>
      </c>
      <c r="C79" s="46" t="s">
        <v>143</v>
      </c>
      <c r="D79" s="46"/>
      <c r="E79" s="46"/>
      <c r="F79" s="47"/>
      <c r="G79" s="46" t="s">
        <v>125</v>
      </c>
      <c r="H79" s="46"/>
      <c r="I79" s="46" t="s">
        <v>55</v>
      </c>
      <c r="J79" s="46" t="s">
        <v>141</v>
      </c>
      <c r="K79" s="47"/>
      <c r="L79" s="46" t="s">
        <v>98</v>
      </c>
      <c r="M79" s="48"/>
      <c r="N79" s="46" t="s">
        <v>99</v>
      </c>
      <c r="O79" s="46" t="s">
        <v>2</v>
      </c>
      <c r="P79" s="46"/>
      <c r="Q79" s="46"/>
      <c r="R79" s="49" t="s">
        <v>144</v>
      </c>
      <c r="S79" s="46"/>
      <c r="T79" s="46"/>
      <c r="U79" s="46"/>
      <c r="V79" s="46"/>
      <c r="W79" s="46"/>
      <c r="X79" s="46"/>
      <c r="Y79" s="46"/>
      <c r="Z79" s="46"/>
    </row>
    <row r="80" spans="1:26">
      <c r="A80" s="45" t="str">
        <f>A79</f>
        <v>N</v>
      </c>
      <c r="B80" s="94">
        <f>COUNTA($B$1:B79)</f>
        <v>74</v>
      </c>
      <c r="C80" s="46" t="s">
        <v>145</v>
      </c>
      <c r="D80" s="46"/>
      <c r="E80" s="46"/>
      <c r="F80" s="47"/>
      <c r="G80" s="46" t="s">
        <v>125</v>
      </c>
      <c r="H80" s="46"/>
      <c r="I80" s="46" t="s">
        <v>55</v>
      </c>
      <c r="J80" s="46" t="s">
        <v>146</v>
      </c>
      <c r="K80" s="47"/>
      <c r="L80" s="46" t="s">
        <v>147</v>
      </c>
      <c r="M80" s="48"/>
      <c r="N80" s="46"/>
      <c r="O80" s="46" t="s">
        <v>2</v>
      </c>
      <c r="P80" s="46"/>
      <c r="Q80" s="46"/>
      <c r="R80" s="48"/>
      <c r="S80" s="46"/>
      <c r="T80" s="46"/>
      <c r="U80" s="46"/>
      <c r="V80" s="46"/>
      <c r="W80" s="46"/>
      <c r="X80" s="46"/>
      <c r="Y80" s="46"/>
      <c r="Z80" s="46"/>
    </row>
    <row r="81" spans="1:26">
      <c r="A81" s="93" t="s">
        <v>518</v>
      </c>
      <c r="B81" s="94">
        <f>COUNTA($B$1:B80)</f>
        <v>75</v>
      </c>
      <c r="C81" s="95" t="s">
        <v>93</v>
      </c>
      <c r="D81" s="95"/>
      <c r="E81" s="95"/>
      <c r="F81" s="94"/>
      <c r="G81" s="95" t="s">
        <v>125</v>
      </c>
      <c r="H81" s="95"/>
      <c r="I81" s="95" t="s">
        <v>55</v>
      </c>
      <c r="J81" s="95" t="s">
        <v>92</v>
      </c>
      <c r="K81" s="94">
        <v>0</v>
      </c>
      <c r="L81" s="95" t="s">
        <v>0</v>
      </c>
      <c r="M81" s="82" t="s">
        <v>261</v>
      </c>
      <c r="N81" s="95"/>
      <c r="O81" s="95"/>
      <c r="P81" s="95"/>
      <c r="Q81" s="95"/>
      <c r="R81" s="105"/>
      <c r="S81" s="95"/>
      <c r="T81" s="95"/>
      <c r="U81" s="95"/>
      <c r="V81" s="95"/>
      <c r="W81" s="95"/>
      <c r="X81" s="95"/>
      <c r="Y81" s="95"/>
      <c r="Z81" s="95"/>
    </row>
    <row r="82" spans="1:26">
      <c r="A82" s="93" t="s">
        <v>518</v>
      </c>
      <c r="B82" s="94">
        <f>COUNTA($B$1:B81)</f>
        <v>76</v>
      </c>
      <c r="C82" s="95" t="s">
        <v>262</v>
      </c>
      <c r="D82" s="95"/>
      <c r="E82" s="95"/>
      <c r="F82" s="94"/>
      <c r="G82" s="95" t="s">
        <v>125</v>
      </c>
      <c r="H82" s="95"/>
      <c r="I82" s="107" t="s">
        <v>55</v>
      </c>
      <c r="J82" s="107"/>
      <c r="K82" s="94">
        <v>2</v>
      </c>
      <c r="L82" s="95" t="s">
        <v>95</v>
      </c>
      <c r="M82" s="95"/>
      <c r="N82" s="95"/>
      <c r="O82" s="95"/>
      <c r="P82" s="95"/>
      <c r="Q82" s="95"/>
      <c r="R82" s="105"/>
      <c r="S82" s="95"/>
      <c r="T82" s="95"/>
      <c r="U82" s="95"/>
      <c r="V82" s="95"/>
      <c r="W82" s="95"/>
      <c r="X82" s="95"/>
      <c r="Y82" s="95"/>
      <c r="Z82" s="95"/>
    </row>
    <row r="83" spans="1:26">
      <c r="A83" s="45" t="s">
        <v>518</v>
      </c>
      <c r="B83" s="94">
        <f>COUNTA($B$1:B82)</f>
        <v>77</v>
      </c>
      <c r="C83" s="46" t="s">
        <v>140</v>
      </c>
      <c r="D83" s="46"/>
      <c r="E83" s="46"/>
      <c r="F83" s="47"/>
      <c r="G83" s="46" t="s">
        <v>125</v>
      </c>
      <c r="H83" s="46"/>
      <c r="I83" s="46" t="s">
        <v>55</v>
      </c>
      <c r="J83" s="46" t="s">
        <v>141</v>
      </c>
      <c r="K83" s="47"/>
      <c r="L83" s="46" t="s">
        <v>142</v>
      </c>
      <c r="M83" s="48"/>
      <c r="N83" s="46"/>
      <c r="O83" s="46" t="s">
        <v>2</v>
      </c>
      <c r="P83" s="46"/>
      <c r="Q83" s="46"/>
      <c r="R83" s="49"/>
      <c r="S83" s="46"/>
      <c r="T83" s="46"/>
      <c r="U83" s="46"/>
      <c r="V83" s="46"/>
      <c r="W83" s="46"/>
      <c r="X83" s="46"/>
      <c r="Y83" s="46"/>
      <c r="Z83" s="46"/>
    </row>
    <row r="84" spans="1:26">
      <c r="A84" s="45" t="str">
        <f>IF($D$83="PASSED","bln680759","N")</f>
        <v>N</v>
      </c>
      <c r="B84" s="94">
        <f>COUNTA($B$1:B83)</f>
        <v>78</v>
      </c>
      <c r="C84" s="46" t="s">
        <v>143</v>
      </c>
      <c r="D84" s="46"/>
      <c r="E84" s="46"/>
      <c r="F84" s="47"/>
      <c r="G84" s="46" t="s">
        <v>125</v>
      </c>
      <c r="H84" s="46"/>
      <c r="I84" s="46" t="s">
        <v>55</v>
      </c>
      <c r="J84" s="46" t="s">
        <v>141</v>
      </c>
      <c r="K84" s="47"/>
      <c r="L84" s="46" t="s">
        <v>98</v>
      </c>
      <c r="M84" s="48"/>
      <c r="N84" s="46" t="s">
        <v>99</v>
      </c>
      <c r="O84" s="46" t="s">
        <v>2</v>
      </c>
      <c r="P84" s="46"/>
      <c r="Q84" s="46"/>
      <c r="R84" s="49" t="s">
        <v>144</v>
      </c>
      <c r="S84" s="46"/>
      <c r="T84" s="46"/>
      <c r="U84" s="46"/>
      <c r="V84" s="46"/>
      <c r="W84" s="46"/>
      <c r="X84" s="46"/>
      <c r="Y84" s="46"/>
      <c r="Z84" s="46"/>
    </row>
    <row r="85" spans="1:26">
      <c r="A85" s="45" t="str">
        <f>A84</f>
        <v>N</v>
      </c>
      <c r="B85" s="94">
        <f>COUNTA($B$1:B84)</f>
        <v>79</v>
      </c>
      <c r="C85" s="46" t="s">
        <v>145</v>
      </c>
      <c r="D85" s="46"/>
      <c r="E85" s="46"/>
      <c r="F85" s="47"/>
      <c r="G85" s="46" t="s">
        <v>125</v>
      </c>
      <c r="H85" s="46"/>
      <c r="I85" s="46" t="s">
        <v>55</v>
      </c>
      <c r="J85" s="46" t="s">
        <v>146</v>
      </c>
      <c r="K85" s="47"/>
      <c r="L85" s="46" t="s">
        <v>147</v>
      </c>
      <c r="M85" s="48"/>
      <c r="N85" s="46"/>
      <c r="O85" s="46" t="s">
        <v>2</v>
      </c>
      <c r="P85" s="46"/>
      <c r="Q85" s="46"/>
      <c r="R85" s="48"/>
      <c r="S85" s="46"/>
      <c r="T85" s="46"/>
      <c r="U85" s="46"/>
      <c r="V85" s="46"/>
      <c r="W85" s="46"/>
      <c r="X85" s="46"/>
      <c r="Y85" s="46"/>
      <c r="Z85" s="46"/>
    </row>
    <row r="86" spans="1:26">
      <c r="A86" s="93" t="s">
        <v>518</v>
      </c>
      <c r="B86" s="94">
        <f>COUNTA($B$1:B85)</f>
        <v>80</v>
      </c>
      <c r="C86" s="95" t="s">
        <v>94</v>
      </c>
      <c r="D86" s="95"/>
      <c r="E86" s="95"/>
      <c r="F86" s="94"/>
      <c r="G86" s="95" t="s">
        <v>125</v>
      </c>
      <c r="H86" s="95"/>
      <c r="I86" s="95" t="s">
        <v>55</v>
      </c>
      <c r="J86" s="95" t="s">
        <v>263</v>
      </c>
      <c r="K86" s="94">
        <v>0</v>
      </c>
      <c r="L86" s="95" t="s">
        <v>0</v>
      </c>
      <c r="M86" s="82" t="s">
        <v>264</v>
      </c>
      <c r="N86" s="95"/>
      <c r="O86" s="95"/>
      <c r="P86" s="95"/>
      <c r="Q86" s="95"/>
      <c r="R86" s="105"/>
      <c r="S86" s="95"/>
      <c r="T86" s="95"/>
      <c r="U86" s="95"/>
      <c r="V86" s="95"/>
      <c r="W86" s="95"/>
      <c r="X86" s="95"/>
      <c r="Y86" s="95"/>
      <c r="Z86" s="95"/>
    </row>
    <row r="87" spans="1:26">
      <c r="A87" s="93" t="s">
        <v>518</v>
      </c>
      <c r="B87" s="94">
        <f>COUNTA($B$1:B86)</f>
        <v>81</v>
      </c>
      <c r="C87" s="95" t="s">
        <v>262</v>
      </c>
      <c r="D87" s="95"/>
      <c r="E87" s="95"/>
      <c r="F87" s="94"/>
      <c r="G87" s="95" t="s">
        <v>125</v>
      </c>
      <c r="H87" s="95"/>
      <c r="I87" s="95"/>
      <c r="J87" s="95"/>
      <c r="K87" s="94">
        <v>0</v>
      </c>
      <c r="L87" s="95" t="s">
        <v>96</v>
      </c>
      <c r="M87" s="95"/>
      <c r="N87" s="95"/>
      <c r="O87" s="95"/>
      <c r="P87" s="95"/>
      <c r="Q87" s="95"/>
      <c r="R87" s="105"/>
      <c r="S87" s="95"/>
      <c r="T87" s="95"/>
      <c r="U87" s="95"/>
      <c r="V87" s="95"/>
      <c r="W87" s="95"/>
      <c r="X87" s="95"/>
      <c r="Y87" s="95"/>
      <c r="Z87" s="95"/>
    </row>
    <row r="88" spans="1:26">
      <c r="A88" s="93" t="s">
        <v>518</v>
      </c>
      <c r="B88" s="94">
        <f>COUNTA($B$1:B87)</f>
        <v>82</v>
      </c>
      <c r="C88" s="95" t="s">
        <v>262</v>
      </c>
      <c r="D88" s="95"/>
      <c r="E88" s="95"/>
      <c r="F88" s="94"/>
      <c r="G88" s="95" t="s">
        <v>125</v>
      </c>
      <c r="H88" s="95"/>
      <c r="I88" s="107"/>
      <c r="J88" s="107"/>
      <c r="K88" s="94">
        <v>2</v>
      </c>
      <c r="L88" s="95" t="s">
        <v>95</v>
      </c>
      <c r="M88" s="95"/>
      <c r="N88" s="95"/>
      <c r="O88" s="95"/>
      <c r="P88" s="95"/>
      <c r="Q88" s="95"/>
      <c r="R88" s="105"/>
      <c r="S88" s="95"/>
      <c r="T88" s="95"/>
      <c r="U88" s="95"/>
      <c r="V88" s="95"/>
      <c r="W88" s="95"/>
      <c r="X88" s="95"/>
      <c r="Y88" s="95"/>
      <c r="Z88" s="95"/>
    </row>
    <row r="89" spans="1:26" s="17" customFormat="1">
      <c r="A89" s="231" t="s">
        <v>21</v>
      </c>
      <c r="B89" s="232">
        <f>COUNTA($B$1:B88)</f>
        <v>83</v>
      </c>
      <c r="C89" s="233" t="s">
        <v>226</v>
      </c>
      <c r="D89" s="104"/>
      <c r="E89" s="105"/>
      <c r="F89" s="94"/>
      <c r="G89" s="95" t="s">
        <v>125</v>
      </c>
      <c r="H89" s="95"/>
      <c r="I89" s="95"/>
      <c r="J89" s="95"/>
      <c r="K89" s="94"/>
      <c r="L89" s="95" t="s">
        <v>227</v>
      </c>
      <c r="M89" s="96" t="s">
        <v>79</v>
      </c>
      <c r="N89" s="95"/>
      <c r="O89" s="95"/>
      <c r="P89" s="95"/>
      <c r="Q89" s="95"/>
      <c r="R89" s="95"/>
      <c r="S89" s="105"/>
      <c r="T89" s="95"/>
      <c r="U89" s="95"/>
      <c r="V89" s="95"/>
      <c r="W89" s="95"/>
      <c r="X89" s="105"/>
      <c r="Y89" s="105"/>
      <c r="Z89" s="105"/>
    </row>
    <row r="90" spans="1:26" s="17" customFormat="1">
      <c r="A90" s="231" t="s">
        <v>21</v>
      </c>
      <c r="B90" s="232">
        <f>COUNTA($B$1:B89)</f>
        <v>84</v>
      </c>
      <c r="C90" s="233" t="s">
        <v>265</v>
      </c>
      <c r="D90" s="95"/>
      <c r="E90" s="95"/>
      <c r="F90" s="94"/>
      <c r="G90" s="95" t="s">
        <v>125</v>
      </c>
      <c r="H90" s="95"/>
      <c r="I90" s="95"/>
      <c r="J90" s="95"/>
      <c r="K90" s="94"/>
      <c r="L90" s="95" t="s">
        <v>227</v>
      </c>
      <c r="M90" s="82" t="s">
        <v>266</v>
      </c>
      <c r="N90" s="95"/>
      <c r="O90" s="95"/>
      <c r="P90" s="95"/>
      <c r="Q90" s="95"/>
      <c r="R90" s="105"/>
      <c r="S90" s="95"/>
      <c r="T90" s="95"/>
      <c r="U90" s="95"/>
      <c r="V90" s="95"/>
      <c r="W90" s="95"/>
      <c r="X90" s="95"/>
      <c r="Y90" s="95"/>
      <c r="Z90" s="95"/>
    </row>
    <row r="91" spans="1:26" s="17" customFormat="1">
      <c r="A91" s="231" t="s">
        <v>21</v>
      </c>
      <c r="B91" s="232">
        <f>COUNTA($B$1:B90)</f>
        <v>85</v>
      </c>
      <c r="C91" s="233" t="s">
        <v>267</v>
      </c>
      <c r="D91" s="95"/>
      <c r="E91" s="95"/>
      <c r="F91" s="94"/>
      <c r="G91" s="95" t="s">
        <v>125</v>
      </c>
      <c r="H91" s="95"/>
      <c r="I91" s="95"/>
      <c r="J91" s="95"/>
      <c r="K91" s="94"/>
      <c r="L91" s="95" t="s">
        <v>227</v>
      </c>
      <c r="M91" s="82" t="s">
        <v>268</v>
      </c>
      <c r="N91" s="95"/>
      <c r="O91" s="95"/>
      <c r="P91" s="95"/>
      <c r="Q91" s="95"/>
      <c r="R91" s="105"/>
      <c r="S91" s="95"/>
      <c r="T91" s="95"/>
      <c r="U91" s="95"/>
      <c r="V91" s="95"/>
      <c r="W91" s="95"/>
      <c r="X91" s="95"/>
      <c r="Y91" s="95"/>
      <c r="Z91" s="95"/>
    </row>
    <row r="92" spans="1:26" s="19" customFormat="1" outlineLevel="1">
      <c r="A92" s="33" t="s">
        <v>518</v>
      </c>
      <c r="B92" s="34">
        <f>COUNTA($B$1:B91)</f>
        <v>86</v>
      </c>
      <c r="C92" s="35" t="s">
        <v>948</v>
      </c>
      <c r="D92" s="35"/>
      <c r="E92" s="35"/>
      <c r="F92" s="34"/>
      <c r="G92" s="35" t="s">
        <v>125</v>
      </c>
      <c r="H92" s="35"/>
      <c r="I92" s="35" t="s">
        <v>55</v>
      </c>
      <c r="J92" s="35" t="s">
        <v>949</v>
      </c>
      <c r="K92" s="34">
        <v>0</v>
      </c>
      <c r="L92" s="35" t="s">
        <v>34</v>
      </c>
      <c r="M92" s="35"/>
      <c r="N92" s="35"/>
      <c r="O92" s="35"/>
      <c r="P92" s="35"/>
      <c r="Q92" s="35"/>
      <c r="R92" s="35"/>
      <c r="S92" s="35"/>
      <c r="T92" s="35"/>
      <c r="U92" s="35"/>
      <c r="V92" s="35"/>
      <c r="W92" s="35"/>
      <c r="X92" s="35"/>
      <c r="Y92" s="35"/>
      <c r="Z92" s="35"/>
    </row>
    <row r="93" spans="1:26" s="19" customFormat="1" outlineLevel="1">
      <c r="A93" s="33" t="s">
        <v>518</v>
      </c>
      <c r="B93" s="34">
        <f>COUNTA($B$1:B92)</f>
        <v>87</v>
      </c>
      <c r="C93" s="35" t="s">
        <v>67</v>
      </c>
      <c r="D93" s="35"/>
      <c r="E93" s="35"/>
      <c r="F93" s="34"/>
      <c r="G93" s="35" t="s">
        <v>125</v>
      </c>
      <c r="H93" s="35"/>
      <c r="I93" s="35"/>
      <c r="J93" s="35"/>
      <c r="K93" s="34"/>
      <c r="L93" s="35" t="s">
        <v>67</v>
      </c>
      <c r="M93" s="36">
        <v>2</v>
      </c>
      <c r="N93" s="35"/>
      <c r="O93" s="35"/>
      <c r="P93" s="35"/>
      <c r="Q93" s="35"/>
      <c r="R93" s="35"/>
      <c r="S93" s="35"/>
      <c r="T93" s="35"/>
      <c r="U93" s="35"/>
      <c r="V93" s="35"/>
      <c r="W93" s="35"/>
      <c r="X93" s="35"/>
      <c r="Y93" s="35"/>
      <c r="Z93" s="35"/>
    </row>
    <row r="94" spans="1:26" s="19" customFormat="1" outlineLevel="1">
      <c r="A94" s="33" t="s">
        <v>518</v>
      </c>
      <c r="B94" s="34">
        <f>COUNTA($B$1:B93)</f>
        <v>88</v>
      </c>
      <c r="C94" s="35" t="s">
        <v>952</v>
      </c>
      <c r="D94" s="35"/>
      <c r="E94" s="35"/>
      <c r="F94" s="34"/>
      <c r="G94" s="35" t="s">
        <v>125</v>
      </c>
      <c r="H94" s="35"/>
      <c r="I94" s="35" t="s">
        <v>55</v>
      </c>
      <c r="J94" s="35" t="s">
        <v>949</v>
      </c>
      <c r="K94" s="34">
        <v>0</v>
      </c>
      <c r="L94" s="35" t="s">
        <v>951</v>
      </c>
      <c r="M94" s="50" t="s">
        <v>266</v>
      </c>
      <c r="N94" s="35"/>
      <c r="O94" s="35"/>
      <c r="P94" s="35"/>
      <c r="Q94" s="35"/>
      <c r="R94" s="35"/>
      <c r="S94" s="35"/>
      <c r="T94" s="35"/>
      <c r="U94" s="35"/>
      <c r="V94" s="35"/>
      <c r="W94" s="35"/>
      <c r="X94" s="35"/>
      <c r="Y94" s="35"/>
      <c r="Z94" s="35"/>
    </row>
    <row r="95" spans="1:26" s="19" customFormat="1" outlineLevel="1">
      <c r="A95" s="33" t="s">
        <v>518</v>
      </c>
      <c r="B95" s="34">
        <f>COUNTA($B$1:B94)</f>
        <v>89</v>
      </c>
      <c r="C95" s="35" t="s">
        <v>953</v>
      </c>
      <c r="D95" s="35"/>
      <c r="E95" s="35"/>
      <c r="F95" s="34"/>
      <c r="G95" s="35" t="s">
        <v>125</v>
      </c>
      <c r="H95" s="35"/>
      <c r="I95" s="35" t="s">
        <v>55</v>
      </c>
      <c r="J95" s="35" t="s">
        <v>949</v>
      </c>
      <c r="K95" s="34">
        <v>0</v>
      </c>
      <c r="L95" s="35" t="s">
        <v>951</v>
      </c>
      <c r="M95" s="50" t="s">
        <v>268</v>
      </c>
      <c r="N95" s="35"/>
      <c r="O95" s="35"/>
      <c r="P95" s="35"/>
      <c r="Q95" s="35"/>
      <c r="R95" s="35"/>
      <c r="S95" s="35"/>
      <c r="T95" s="35"/>
      <c r="U95" s="35"/>
      <c r="V95" s="35"/>
      <c r="W95" s="35"/>
      <c r="X95" s="35"/>
      <c r="Y95" s="35"/>
      <c r="Z95" s="35"/>
    </row>
    <row r="96" spans="1:26" s="19" customFormat="1" outlineLevel="1">
      <c r="A96" s="33" t="s">
        <v>518</v>
      </c>
      <c r="B96" s="34">
        <f>COUNTA($B$1:B95)</f>
        <v>90</v>
      </c>
      <c r="C96" s="35" t="s">
        <v>67</v>
      </c>
      <c r="D96" s="35"/>
      <c r="E96" s="35"/>
      <c r="F96" s="34"/>
      <c r="G96" s="35" t="s">
        <v>125</v>
      </c>
      <c r="H96" s="35"/>
      <c r="I96" s="35"/>
      <c r="J96" s="35"/>
      <c r="K96" s="34"/>
      <c r="L96" s="35" t="s">
        <v>67</v>
      </c>
      <c r="M96" s="36">
        <v>2</v>
      </c>
      <c r="N96" s="35"/>
      <c r="O96" s="35"/>
      <c r="P96" s="35"/>
      <c r="Q96" s="35"/>
      <c r="R96" s="35"/>
      <c r="S96" s="35"/>
      <c r="T96" s="35"/>
      <c r="U96" s="35"/>
      <c r="V96" s="35"/>
      <c r="W96" s="35"/>
      <c r="X96" s="35"/>
      <c r="Y96" s="35"/>
      <c r="Z96" s="35"/>
    </row>
    <row r="97" spans="1:26" s="17" customFormat="1">
      <c r="A97" s="93" t="s">
        <v>518</v>
      </c>
      <c r="B97" s="34">
        <f>COUNTA($B$1:B96)</f>
        <v>91</v>
      </c>
      <c r="C97" s="95" t="s">
        <v>262</v>
      </c>
      <c r="D97" s="95"/>
      <c r="E97" s="95"/>
      <c r="F97" s="94"/>
      <c r="G97" s="95" t="s">
        <v>125</v>
      </c>
      <c r="H97" s="95"/>
      <c r="I97" s="95"/>
      <c r="J97" s="95"/>
      <c r="K97" s="94">
        <v>0</v>
      </c>
      <c r="L97" s="95" t="s">
        <v>96</v>
      </c>
      <c r="M97" s="95"/>
      <c r="N97" s="95"/>
      <c r="O97" s="95"/>
      <c r="P97" s="95"/>
      <c r="Q97" s="95"/>
      <c r="R97" s="105"/>
      <c r="S97" s="95"/>
      <c r="T97" s="95"/>
      <c r="U97" s="95"/>
      <c r="V97" s="95"/>
      <c r="W97" s="95"/>
      <c r="X97" s="95"/>
      <c r="Y97" s="95"/>
      <c r="Z97" s="95"/>
    </row>
    <row r="98" spans="1:26" s="17" customFormat="1">
      <c r="A98" s="93" t="s">
        <v>518</v>
      </c>
      <c r="B98" s="94">
        <f>COUNTA($B$1:B97)</f>
        <v>92</v>
      </c>
      <c r="C98" s="95" t="s">
        <v>67</v>
      </c>
      <c r="D98" s="95"/>
      <c r="E98" s="95"/>
      <c r="F98" s="94"/>
      <c r="G98" s="95" t="s">
        <v>125</v>
      </c>
      <c r="H98" s="95"/>
      <c r="I98" s="95"/>
      <c r="J98" s="95"/>
      <c r="K98" s="94"/>
      <c r="L98" s="95" t="s">
        <v>67</v>
      </c>
      <c r="M98" s="96">
        <v>2</v>
      </c>
      <c r="N98" s="95"/>
      <c r="O98" s="95"/>
      <c r="P98" s="95"/>
      <c r="Q98" s="95"/>
      <c r="R98" s="96"/>
      <c r="S98" s="95"/>
      <c r="T98" s="95"/>
      <c r="U98" s="95"/>
      <c r="V98" s="95"/>
      <c r="W98" s="95"/>
      <c r="X98" s="95"/>
      <c r="Y98" s="95"/>
      <c r="Z98" s="95"/>
    </row>
    <row r="99" spans="1:26" s="17" customFormat="1">
      <c r="A99" s="93" t="s">
        <v>518</v>
      </c>
      <c r="B99" s="94">
        <f>COUNTA($B$1:B98)</f>
        <v>93</v>
      </c>
      <c r="C99" s="95" t="s">
        <v>312</v>
      </c>
      <c r="D99" s="104"/>
      <c r="E99" s="105" t="s">
        <v>154</v>
      </c>
      <c r="F99" s="94"/>
      <c r="G99" s="95" t="s">
        <v>125</v>
      </c>
      <c r="H99" s="95"/>
      <c r="I99" s="95" t="s">
        <v>55</v>
      </c>
      <c r="J99" s="95" t="s">
        <v>313</v>
      </c>
      <c r="K99" s="94">
        <v>0</v>
      </c>
      <c r="L99" s="95" t="s">
        <v>147</v>
      </c>
      <c r="M99" s="96"/>
      <c r="N99" s="95"/>
      <c r="O99" s="95"/>
      <c r="P99" s="95"/>
      <c r="Q99" s="95"/>
      <c r="R99" s="95"/>
      <c r="S99" s="105"/>
      <c r="T99" s="95"/>
      <c r="U99" s="95"/>
      <c r="V99" s="95"/>
      <c r="W99" s="95"/>
      <c r="X99" s="105"/>
      <c r="Y99" s="105"/>
      <c r="Z99" s="105"/>
    </row>
    <row r="100" spans="1:26" s="17" customFormat="1">
      <c r="A100" s="93" t="s">
        <v>518</v>
      </c>
      <c r="B100" s="94">
        <f>COUNTA($B$1:B99)</f>
        <v>94</v>
      </c>
      <c r="C100" s="95" t="s">
        <v>67</v>
      </c>
      <c r="D100" s="95"/>
      <c r="E100" s="95"/>
      <c r="F100" s="94"/>
      <c r="G100" s="95" t="s">
        <v>125</v>
      </c>
      <c r="H100" s="95"/>
      <c r="I100" s="95"/>
      <c r="J100" s="95"/>
      <c r="K100" s="94"/>
      <c r="L100" s="95" t="s">
        <v>67</v>
      </c>
      <c r="M100" s="96">
        <v>10</v>
      </c>
      <c r="N100" s="95"/>
      <c r="O100" s="95"/>
      <c r="P100" s="95"/>
      <c r="Q100" s="95"/>
      <c r="R100" s="96"/>
      <c r="S100" s="95"/>
      <c r="T100" s="95"/>
      <c r="U100" s="95"/>
      <c r="V100" s="95"/>
      <c r="W100" s="95"/>
      <c r="X100" s="95"/>
      <c r="Y100" s="95"/>
      <c r="Z100" s="95"/>
    </row>
    <row r="101" spans="1:26" s="17" customFormat="1">
      <c r="A101" s="30" t="s">
        <v>269</v>
      </c>
      <c r="B101" s="31"/>
      <c r="C101" s="31"/>
      <c r="D101" s="32"/>
      <c r="E101" s="32"/>
      <c r="F101" s="31"/>
      <c r="G101" s="32"/>
      <c r="H101" s="32"/>
      <c r="I101" s="32"/>
      <c r="J101" s="32"/>
      <c r="K101" s="31"/>
      <c r="L101" s="32"/>
      <c r="M101" s="32"/>
      <c r="N101" s="32"/>
      <c r="O101" s="32"/>
      <c r="P101" s="32"/>
      <c r="Q101" s="32"/>
      <c r="R101" s="32"/>
      <c r="S101" s="32"/>
      <c r="T101" s="32"/>
      <c r="U101" s="32"/>
      <c r="V101" s="32"/>
      <c r="W101" s="32"/>
      <c r="X101" s="32"/>
      <c r="Y101" s="32"/>
      <c r="Z101" s="32"/>
    </row>
    <row r="102" spans="1:26">
      <c r="A102" s="93" t="s">
        <v>518</v>
      </c>
      <c r="B102" s="94">
        <f>COUNTA($B$1:B101)</f>
        <v>95</v>
      </c>
      <c r="C102" s="95" t="s">
        <v>436</v>
      </c>
      <c r="D102" s="95"/>
      <c r="E102" s="95"/>
      <c r="F102" s="94"/>
      <c r="G102" s="95" t="s">
        <v>125</v>
      </c>
      <c r="H102" s="95"/>
      <c r="I102" s="95" t="s">
        <v>55</v>
      </c>
      <c r="J102" s="95" t="s">
        <v>271</v>
      </c>
      <c r="K102" s="94">
        <v>0</v>
      </c>
      <c r="L102" s="95" t="s">
        <v>147</v>
      </c>
      <c r="M102" s="96"/>
      <c r="N102" s="95"/>
      <c r="O102" s="95"/>
      <c r="P102" s="95"/>
      <c r="Q102" s="95"/>
      <c r="R102" s="96"/>
      <c r="S102" s="95"/>
      <c r="T102" s="95"/>
      <c r="U102" s="95"/>
      <c r="V102" s="95"/>
      <c r="W102" s="95"/>
      <c r="X102" s="95"/>
      <c r="Y102" s="95"/>
      <c r="Z102" s="95"/>
    </row>
    <row r="103" spans="1:26">
      <c r="A103" s="93" t="s">
        <v>518</v>
      </c>
      <c r="B103" s="94">
        <f>COUNTA($B$1:B102)</f>
        <v>96</v>
      </c>
      <c r="C103" s="95" t="s">
        <v>67</v>
      </c>
      <c r="D103" s="95"/>
      <c r="E103" s="95"/>
      <c r="F103" s="94"/>
      <c r="G103" s="95" t="s">
        <v>125</v>
      </c>
      <c r="H103" s="95"/>
      <c r="I103" s="95"/>
      <c r="J103" s="95"/>
      <c r="K103" s="94"/>
      <c r="L103" s="95" t="s">
        <v>67</v>
      </c>
      <c r="M103" s="96">
        <v>3</v>
      </c>
      <c r="N103" s="95"/>
      <c r="O103" s="95"/>
      <c r="P103" s="95"/>
      <c r="Q103" s="95"/>
      <c r="R103" s="96"/>
      <c r="S103" s="95"/>
      <c r="T103" s="95"/>
      <c r="U103" s="95"/>
      <c r="V103" s="95"/>
      <c r="W103" s="95"/>
      <c r="X103" s="95"/>
      <c r="Y103" s="95"/>
      <c r="Z103" s="95"/>
    </row>
    <row r="104" spans="1:26" s="12" customFormat="1" ht="12.75" customHeight="1">
      <c r="A104" s="93" t="s">
        <v>518</v>
      </c>
      <c r="B104" s="94">
        <f>COUNTA($B$1:B103)</f>
        <v>97</v>
      </c>
      <c r="C104" s="95" t="s">
        <v>148</v>
      </c>
      <c r="D104" s="95"/>
      <c r="E104" s="95"/>
      <c r="F104" s="94"/>
      <c r="G104" s="95" t="s">
        <v>125</v>
      </c>
      <c r="H104" s="95"/>
      <c r="I104" s="95" t="s">
        <v>55</v>
      </c>
      <c r="J104" s="95" t="s">
        <v>439</v>
      </c>
      <c r="K104" s="94">
        <v>0</v>
      </c>
      <c r="L104" s="95" t="s">
        <v>34</v>
      </c>
      <c r="M104" s="95"/>
      <c r="N104" s="95"/>
      <c r="O104" s="95"/>
      <c r="P104" s="95"/>
      <c r="Q104" s="95"/>
      <c r="R104" s="96"/>
      <c r="S104" s="95"/>
      <c r="T104" s="95"/>
      <c r="U104" s="95"/>
      <c r="V104" s="95"/>
      <c r="W104" s="95"/>
      <c r="X104" s="95"/>
      <c r="Y104" s="95"/>
      <c r="Z104" s="95"/>
    </row>
    <row r="105" spans="1:26">
      <c r="A105" s="93" t="s">
        <v>518</v>
      </c>
      <c r="B105" s="94">
        <f>COUNTA($B$1:B104)</f>
        <v>98</v>
      </c>
      <c r="C105" s="95" t="s">
        <v>67</v>
      </c>
      <c r="D105" s="95"/>
      <c r="E105" s="95"/>
      <c r="F105" s="94"/>
      <c r="G105" s="95" t="s">
        <v>125</v>
      </c>
      <c r="H105" s="95"/>
      <c r="I105" s="95"/>
      <c r="J105" s="95"/>
      <c r="K105" s="94"/>
      <c r="L105" s="95" t="s">
        <v>67</v>
      </c>
      <c r="M105" s="96">
        <v>2</v>
      </c>
      <c r="N105" s="95"/>
      <c r="O105" s="95"/>
      <c r="P105" s="95"/>
      <c r="Q105" s="95"/>
      <c r="R105" s="96"/>
      <c r="S105" s="95"/>
      <c r="T105" s="95"/>
      <c r="U105" s="95"/>
      <c r="V105" s="95"/>
      <c r="W105" s="95"/>
      <c r="X105" s="95"/>
      <c r="Y105" s="95"/>
      <c r="Z105" s="95"/>
    </row>
    <row r="106" spans="1:26">
      <c r="A106" s="93" t="s">
        <v>518</v>
      </c>
      <c r="B106" s="94">
        <f>COUNTA($B$1:B105)</f>
        <v>99</v>
      </c>
      <c r="C106" s="95" t="s">
        <v>150</v>
      </c>
      <c r="D106" s="95"/>
      <c r="E106" s="95"/>
      <c r="F106" s="94"/>
      <c r="G106" s="95" t="s">
        <v>125</v>
      </c>
      <c r="H106" s="95"/>
      <c r="I106" s="95" t="s">
        <v>55</v>
      </c>
      <c r="J106" s="95" t="s">
        <v>273</v>
      </c>
      <c r="K106" s="94">
        <v>0</v>
      </c>
      <c r="L106" s="95" t="s">
        <v>151</v>
      </c>
      <c r="M106" s="82" t="s">
        <v>274</v>
      </c>
      <c r="N106" s="95"/>
      <c r="O106" s="95"/>
      <c r="P106" s="95"/>
      <c r="Q106" s="95"/>
      <c r="R106" s="96"/>
      <c r="S106" s="95"/>
      <c r="T106" s="95"/>
      <c r="U106" s="95"/>
      <c r="V106" s="95"/>
      <c r="W106" s="95"/>
      <c r="X106" s="95"/>
      <c r="Y106" s="95"/>
      <c r="Z106" s="95"/>
    </row>
    <row r="107" spans="1:26">
      <c r="A107" s="93" t="s">
        <v>518</v>
      </c>
      <c r="B107" s="94">
        <f>COUNTA($B$1:B106)</f>
        <v>100</v>
      </c>
      <c r="C107" s="95" t="s">
        <v>67</v>
      </c>
      <c r="D107" s="95"/>
      <c r="E107" s="95"/>
      <c r="F107" s="94"/>
      <c r="G107" s="95" t="s">
        <v>125</v>
      </c>
      <c r="H107" s="95"/>
      <c r="I107" s="95"/>
      <c r="J107" s="95"/>
      <c r="K107" s="94"/>
      <c r="L107" s="95" t="s">
        <v>67</v>
      </c>
      <c r="M107" s="96">
        <v>2</v>
      </c>
      <c r="N107" s="95"/>
      <c r="O107" s="95"/>
      <c r="P107" s="95"/>
      <c r="Q107" s="95"/>
      <c r="R107" s="96"/>
      <c r="S107" s="95"/>
      <c r="T107" s="95"/>
      <c r="U107" s="95"/>
      <c r="V107" s="95"/>
      <c r="W107" s="95"/>
      <c r="X107" s="95"/>
      <c r="Y107" s="95"/>
      <c r="Z107" s="95"/>
    </row>
    <row r="108" spans="1:26">
      <c r="A108" s="93" t="s">
        <v>518</v>
      </c>
      <c r="B108" s="94">
        <f>COUNTA($B$1:B107)</f>
        <v>101</v>
      </c>
      <c r="C108" s="95" t="s">
        <v>148</v>
      </c>
      <c r="D108" s="95"/>
      <c r="E108" s="95"/>
      <c r="F108" s="102"/>
      <c r="G108" s="95" t="s">
        <v>125</v>
      </c>
      <c r="H108" s="95"/>
      <c r="I108" s="95" t="s">
        <v>55</v>
      </c>
      <c r="J108" s="95" t="str">
        <f>"//a[contains(.,'"&amp;M106&amp;"')]"</f>
        <v>//a[contains(.,'Destination1')]</v>
      </c>
      <c r="K108" s="94">
        <v>0</v>
      </c>
      <c r="L108" s="95" t="s">
        <v>147</v>
      </c>
      <c r="M108" s="95"/>
      <c r="N108" s="95"/>
      <c r="O108" s="95"/>
      <c r="P108" s="95"/>
      <c r="Q108" s="95"/>
      <c r="R108" s="96"/>
      <c r="S108" s="95"/>
      <c r="T108" s="95"/>
      <c r="U108" s="95"/>
      <c r="V108" s="95"/>
      <c r="W108" s="95"/>
      <c r="X108" s="95"/>
      <c r="Y108" s="95"/>
      <c r="Z108" s="95"/>
    </row>
    <row r="109" spans="1:26" s="12" customFormat="1" ht="12.75" customHeight="1">
      <c r="A109" s="93" t="s">
        <v>518</v>
      </c>
      <c r="B109" s="94">
        <f>COUNTA($B$1:B108)</f>
        <v>102</v>
      </c>
      <c r="C109" s="95" t="s">
        <v>153</v>
      </c>
      <c r="D109" s="104"/>
      <c r="E109" s="105" t="s">
        <v>154</v>
      </c>
      <c r="F109" s="98"/>
      <c r="G109" s="95" t="s">
        <v>125</v>
      </c>
      <c r="H109" s="95"/>
      <c r="I109" s="95" t="s">
        <v>55</v>
      </c>
      <c r="J109" s="95" t="s">
        <v>81</v>
      </c>
      <c r="K109" s="94">
        <v>0</v>
      </c>
      <c r="L109" s="95" t="s">
        <v>0</v>
      </c>
      <c r="M109" s="82" t="s">
        <v>440</v>
      </c>
      <c r="N109" s="95"/>
      <c r="O109" s="95"/>
      <c r="P109" s="95"/>
      <c r="Q109" s="95"/>
      <c r="R109" s="96"/>
      <c r="S109" s="95"/>
      <c r="T109" s="95"/>
      <c r="U109" s="95"/>
      <c r="V109" s="95"/>
      <c r="W109" s="95"/>
      <c r="X109" s="95"/>
      <c r="Y109" s="95"/>
      <c r="Z109" s="95"/>
    </row>
    <row r="110" spans="1:26">
      <c r="A110" s="93" t="s">
        <v>518</v>
      </c>
      <c r="B110" s="94">
        <f>COUNTA($B$1:B109)</f>
        <v>103</v>
      </c>
      <c r="C110" s="95" t="s">
        <v>156</v>
      </c>
      <c r="D110" s="104"/>
      <c r="E110" s="105" t="s">
        <v>154</v>
      </c>
      <c r="F110" s="98"/>
      <c r="G110" s="95" t="s">
        <v>125</v>
      </c>
      <c r="H110" s="95"/>
      <c r="I110" s="95" t="s">
        <v>55</v>
      </c>
      <c r="J110" s="95" t="s">
        <v>82</v>
      </c>
      <c r="K110" s="94">
        <v>0</v>
      </c>
      <c r="L110" s="95" t="s">
        <v>0</v>
      </c>
      <c r="M110" s="82" t="s">
        <v>441</v>
      </c>
      <c r="N110" s="95"/>
      <c r="O110" s="95"/>
      <c r="P110" s="95"/>
      <c r="Q110" s="95"/>
      <c r="R110" s="96"/>
      <c r="S110" s="95"/>
      <c r="T110" s="95"/>
      <c r="U110" s="95"/>
      <c r="V110" s="95"/>
      <c r="W110" s="95"/>
      <c r="X110" s="95"/>
      <c r="Y110" s="95"/>
      <c r="Z110" s="95"/>
    </row>
    <row r="111" spans="1:26" s="17" customFormat="1">
      <c r="A111" s="93" t="s">
        <v>518</v>
      </c>
      <c r="B111" s="94">
        <f>COUNTA($B$1:B110)</f>
        <v>104</v>
      </c>
      <c r="C111" s="95" t="s">
        <v>161</v>
      </c>
      <c r="D111" s="95"/>
      <c r="E111" s="95"/>
      <c r="F111" s="94"/>
      <c r="G111" s="95" t="s">
        <v>125</v>
      </c>
      <c r="H111" s="95"/>
      <c r="I111" s="95" t="s">
        <v>55</v>
      </c>
      <c r="J111" s="95" t="s">
        <v>442</v>
      </c>
      <c r="K111" s="94">
        <v>0</v>
      </c>
      <c r="L111" s="95" t="s">
        <v>34</v>
      </c>
      <c r="M111" s="95"/>
      <c r="N111" s="95"/>
      <c r="O111" s="95"/>
      <c r="P111" s="95"/>
      <c r="Q111" s="95"/>
      <c r="R111" s="96"/>
      <c r="S111" s="95"/>
      <c r="T111" s="95"/>
      <c r="U111" s="95"/>
      <c r="V111" s="95"/>
      <c r="W111" s="95"/>
      <c r="X111" s="95"/>
      <c r="Y111" s="95"/>
      <c r="Z111" s="95"/>
    </row>
    <row r="112" spans="1:26">
      <c r="A112" s="93" t="s">
        <v>518</v>
      </c>
      <c r="B112" s="94">
        <f>COUNTA($B$1:B111)</f>
        <v>105</v>
      </c>
      <c r="C112" s="95" t="s">
        <v>67</v>
      </c>
      <c r="D112" s="95"/>
      <c r="E112" s="95"/>
      <c r="F112" s="94"/>
      <c r="G112" s="95" t="s">
        <v>125</v>
      </c>
      <c r="H112" s="95"/>
      <c r="I112" s="95"/>
      <c r="J112" s="95"/>
      <c r="K112" s="94"/>
      <c r="L112" s="95" t="s">
        <v>67</v>
      </c>
      <c r="M112" s="96">
        <v>2</v>
      </c>
      <c r="N112" s="95"/>
      <c r="O112" s="95"/>
      <c r="P112" s="95"/>
      <c r="Q112" s="95"/>
      <c r="R112" s="96"/>
      <c r="S112" s="95"/>
      <c r="T112" s="95"/>
      <c r="U112" s="95"/>
      <c r="V112" s="95"/>
      <c r="W112" s="95"/>
      <c r="X112" s="95"/>
      <c r="Y112" s="95"/>
      <c r="Z112" s="95"/>
    </row>
    <row r="113" spans="1:26" s="17" customFormat="1">
      <c r="A113" s="93" t="s">
        <v>518</v>
      </c>
      <c r="B113" s="94">
        <f>COUNTA($B$1:B112)</f>
        <v>106</v>
      </c>
      <c r="C113" s="95" t="s">
        <v>163</v>
      </c>
      <c r="D113" s="95"/>
      <c r="E113" s="95"/>
      <c r="F113" s="94"/>
      <c r="G113" s="95" t="s">
        <v>125</v>
      </c>
      <c r="H113" s="95"/>
      <c r="I113" s="95" t="s">
        <v>55</v>
      </c>
      <c r="J113" s="95" t="s">
        <v>277</v>
      </c>
      <c r="K113" s="94">
        <v>0</v>
      </c>
      <c r="L113" s="95" t="s">
        <v>151</v>
      </c>
      <c r="M113" s="82" t="s">
        <v>278</v>
      </c>
      <c r="N113" s="95"/>
      <c r="O113" s="95"/>
      <c r="P113" s="95"/>
      <c r="Q113" s="95"/>
      <c r="R113" s="96"/>
      <c r="S113" s="95"/>
      <c r="T113" s="95"/>
      <c r="U113" s="95"/>
      <c r="V113" s="95"/>
      <c r="W113" s="95"/>
      <c r="X113" s="95"/>
      <c r="Y113" s="95"/>
      <c r="Z113" s="95"/>
    </row>
    <row r="114" spans="1:26">
      <c r="A114" s="93" t="s">
        <v>518</v>
      </c>
      <c r="B114" s="94">
        <f>COUNTA($B$1:B113)</f>
        <v>107</v>
      </c>
      <c r="C114" s="95" t="s">
        <v>67</v>
      </c>
      <c r="D114" s="95"/>
      <c r="E114" s="95"/>
      <c r="F114" s="94"/>
      <c r="G114" s="95" t="s">
        <v>125</v>
      </c>
      <c r="H114" s="95"/>
      <c r="I114" s="95"/>
      <c r="J114" s="95"/>
      <c r="K114" s="94"/>
      <c r="L114" s="95" t="s">
        <v>67</v>
      </c>
      <c r="M114" s="96">
        <v>2</v>
      </c>
      <c r="N114" s="95"/>
      <c r="O114" s="95"/>
      <c r="P114" s="95"/>
      <c r="Q114" s="95"/>
      <c r="R114" s="96"/>
      <c r="S114" s="95"/>
      <c r="T114" s="95"/>
      <c r="U114" s="95"/>
      <c r="V114" s="95"/>
      <c r="W114" s="95"/>
      <c r="X114" s="95"/>
      <c r="Y114" s="95"/>
      <c r="Z114" s="95"/>
    </row>
    <row r="115" spans="1:26">
      <c r="A115" s="93" t="s">
        <v>518</v>
      </c>
      <c r="B115" s="94">
        <f>COUNTA($B$1:B114)</f>
        <v>108</v>
      </c>
      <c r="C115" s="95" t="s">
        <v>148</v>
      </c>
      <c r="D115" s="95"/>
      <c r="E115" s="95"/>
      <c r="F115" s="102"/>
      <c r="G115" s="95" t="s">
        <v>125</v>
      </c>
      <c r="H115" s="95"/>
      <c r="I115" s="95" t="s">
        <v>55</v>
      </c>
      <c r="J115" s="95" t="str">
        <f>"//a[contains(.,'"&amp;M113&amp;"')]"</f>
        <v>//a[contains(.,'Residence1')]</v>
      </c>
      <c r="K115" s="94">
        <v>0</v>
      </c>
      <c r="L115" s="95" t="s">
        <v>147</v>
      </c>
      <c r="M115" s="95"/>
      <c r="N115" s="95"/>
      <c r="O115" s="95"/>
      <c r="P115" s="95"/>
      <c r="Q115" s="95"/>
      <c r="R115" s="96"/>
      <c r="S115" s="95"/>
      <c r="T115" s="95"/>
      <c r="U115" s="95"/>
      <c r="V115" s="95"/>
      <c r="W115" s="95"/>
      <c r="X115" s="95"/>
      <c r="Y115" s="95"/>
      <c r="Z115" s="95"/>
    </row>
    <row r="116" spans="1:26">
      <c r="A116" s="93" t="s">
        <v>518</v>
      </c>
      <c r="B116" s="94">
        <f>COUNTA($B$1:B115)</f>
        <v>109</v>
      </c>
      <c r="C116" s="95" t="s">
        <v>165</v>
      </c>
      <c r="D116" s="104"/>
      <c r="E116" s="105" t="s">
        <v>154</v>
      </c>
      <c r="F116" s="98"/>
      <c r="G116" s="95" t="s">
        <v>125</v>
      </c>
      <c r="H116" s="95"/>
      <c r="I116" s="95" t="s">
        <v>55</v>
      </c>
      <c r="J116" s="95" t="s">
        <v>526</v>
      </c>
      <c r="K116" s="94">
        <v>0</v>
      </c>
      <c r="L116" s="95" t="s">
        <v>0</v>
      </c>
      <c r="M116" s="82" t="s">
        <v>174</v>
      </c>
      <c r="N116" s="95"/>
      <c r="O116" s="95"/>
      <c r="P116" s="95"/>
      <c r="Q116" s="95"/>
      <c r="R116" s="96"/>
      <c r="S116" s="95"/>
      <c r="T116" s="95"/>
      <c r="U116" s="95"/>
      <c r="V116" s="95"/>
      <c r="W116" s="95"/>
      <c r="X116" s="95"/>
      <c r="Y116" s="95"/>
      <c r="Z116" s="95"/>
    </row>
    <row r="117" spans="1:26">
      <c r="A117" s="93" t="s">
        <v>518</v>
      </c>
      <c r="B117" s="94">
        <f>COUNTA($B$1:B116)</f>
        <v>110</v>
      </c>
      <c r="C117" s="95" t="s">
        <v>168</v>
      </c>
      <c r="D117" s="104"/>
      <c r="E117" s="105" t="s">
        <v>154</v>
      </c>
      <c r="F117" s="98"/>
      <c r="G117" s="95" t="s">
        <v>125</v>
      </c>
      <c r="H117" s="95"/>
      <c r="I117" s="95" t="s">
        <v>55</v>
      </c>
      <c r="J117" s="95" t="s">
        <v>519</v>
      </c>
      <c r="K117" s="94">
        <v>0</v>
      </c>
      <c r="L117" s="95" t="s">
        <v>0</v>
      </c>
      <c r="M117" s="82" t="s">
        <v>177</v>
      </c>
      <c r="N117" s="95"/>
      <c r="O117" s="95"/>
      <c r="P117" s="95"/>
      <c r="Q117" s="95"/>
      <c r="R117" s="95"/>
      <c r="S117" s="105"/>
      <c r="T117" s="95"/>
      <c r="U117" s="95"/>
      <c r="V117" s="95"/>
      <c r="W117" s="95"/>
      <c r="X117" s="105"/>
      <c r="Y117" s="105"/>
      <c r="Z117" s="105"/>
    </row>
    <row r="118" spans="1:26">
      <c r="A118" s="93" t="s">
        <v>518</v>
      </c>
      <c r="B118" s="94">
        <f>COUNTA($B$1:B117)</f>
        <v>111</v>
      </c>
      <c r="C118" s="95" t="s">
        <v>190</v>
      </c>
      <c r="D118" s="95"/>
      <c r="E118" s="95"/>
      <c r="F118" s="94"/>
      <c r="G118" s="95" t="s">
        <v>125</v>
      </c>
      <c r="H118" s="95"/>
      <c r="I118" s="95" t="s">
        <v>55</v>
      </c>
      <c r="J118" s="95" t="s">
        <v>87</v>
      </c>
      <c r="K118" s="94">
        <v>0</v>
      </c>
      <c r="L118" s="95" t="s">
        <v>147</v>
      </c>
      <c r="M118" s="96"/>
      <c r="N118" s="95"/>
      <c r="O118" s="95"/>
      <c r="P118" s="95"/>
      <c r="Q118" s="95"/>
      <c r="R118" s="96"/>
      <c r="S118" s="95"/>
      <c r="T118" s="95"/>
      <c r="U118" s="95"/>
      <c r="V118" s="95"/>
      <c r="W118" s="95"/>
      <c r="X118" s="95"/>
      <c r="Y118" s="95"/>
      <c r="Z118" s="95"/>
    </row>
    <row r="119" spans="1:26">
      <c r="A119" s="93" t="s">
        <v>518</v>
      </c>
      <c r="B119" s="94">
        <f>COUNTA($B$1:B118)</f>
        <v>112</v>
      </c>
      <c r="C119" s="95" t="s">
        <v>67</v>
      </c>
      <c r="D119" s="95"/>
      <c r="E119" s="95"/>
      <c r="F119" s="94"/>
      <c r="G119" s="95" t="s">
        <v>125</v>
      </c>
      <c r="H119" s="95"/>
      <c r="I119" s="95"/>
      <c r="J119" s="95"/>
      <c r="K119" s="94"/>
      <c r="L119" s="95" t="s">
        <v>67</v>
      </c>
      <c r="M119" s="96">
        <v>13</v>
      </c>
      <c r="N119" s="95"/>
      <c r="O119" s="95"/>
      <c r="P119" s="95"/>
      <c r="Q119" s="95"/>
      <c r="R119" s="96"/>
      <c r="S119" s="95"/>
      <c r="T119" s="95"/>
      <c r="U119" s="95"/>
      <c r="V119" s="95"/>
      <c r="W119" s="95"/>
      <c r="X119" s="95"/>
      <c r="Y119" s="95"/>
      <c r="Z119" s="95"/>
    </row>
    <row r="120" spans="1:26" s="20" customFormat="1" ht="12.75" customHeight="1">
      <c r="A120" s="30" t="s">
        <v>191</v>
      </c>
      <c r="B120" s="31"/>
      <c r="C120" s="31"/>
      <c r="D120" s="32"/>
      <c r="E120" s="32"/>
      <c r="F120" s="31"/>
      <c r="G120" s="32"/>
      <c r="H120" s="32"/>
      <c r="I120" s="32"/>
      <c r="J120" s="32"/>
      <c r="K120" s="31"/>
      <c r="L120" s="32"/>
      <c r="M120" s="32"/>
      <c r="N120" s="32"/>
      <c r="O120" s="32"/>
      <c r="P120" s="32"/>
      <c r="Q120" s="32"/>
      <c r="R120" s="32"/>
      <c r="S120" s="32"/>
      <c r="T120" s="32"/>
      <c r="U120" s="32"/>
      <c r="V120" s="32"/>
      <c r="W120" s="32"/>
      <c r="X120" s="32"/>
      <c r="Y120" s="32"/>
      <c r="Z120" s="32"/>
    </row>
    <row r="121" spans="1:26" s="213" customFormat="1">
      <c r="A121" s="220" t="s">
        <v>518</v>
      </c>
      <c r="B121" s="209">
        <f>COUNTA($B$1:B120)</f>
        <v>113</v>
      </c>
      <c r="C121" s="210" t="s">
        <v>921</v>
      </c>
      <c r="D121" s="210"/>
      <c r="E121" s="210"/>
      <c r="F121" s="209"/>
      <c r="G121" s="210" t="s">
        <v>125</v>
      </c>
      <c r="H121" s="210"/>
      <c r="I121" s="210" t="s">
        <v>55</v>
      </c>
      <c r="J121" s="210" t="s">
        <v>907</v>
      </c>
      <c r="K121" s="209">
        <v>0</v>
      </c>
      <c r="L121" s="210" t="s">
        <v>147</v>
      </c>
      <c r="M121" s="214"/>
      <c r="N121" s="210"/>
      <c r="O121" s="210"/>
      <c r="P121" s="210"/>
      <c r="Q121" s="210"/>
      <c r="R121" s="210"/>
      <c r="S121" s="210"/>
      <c r="T121" s="210"/>
      <c r="U121" s="210"/>
      <c r="V121" s="210"/>
      <c r="W121" s="210"/>
      <c r="X121" s="210"/>
      <c r="Y121" s="210"/>
      <c r="Z121" s="210"/>
    </row>
    <row r="122" spans="1:26" s="213" customFormat="1">
      <c r="A122" s="220" t="s">
        <v>518</v>
      </c>
      <c r="B122" s="209">
        <f>COUNTA($B$1:B121)</f>
        <v>114</v>
      </c>
      <c r="C122" s="210" t="s">
        <v>916</v>
      </c>
      <c r="D122" s="215"/>
      <c r="E122" s="212"/>
      <c r="F122" s="209"/>
      <c r="G122" s="210" t="s">
        <v>125</v>
      </c>
      <c r="H122" s="210"/>
      <c r="I122" s="210" t="s">
        <v>55</v>
      </c>
      <c r="J122" s="210" t="s">
        <v>898</v>
      </c>
      <c r="K122" s="209">
        <v>0</v>
      </c>
      <c r="L122" s="210" t="s">
        <v>98</v>
      </c>
      <c r="M122" s="214"/>
      <c r="N122" s="210" t="s">
        <v>99</v>
      </c>
      <c r="O122" s="210"/>
      <c r="P122" s="210"/>
      <c r="Q122" s="210"/>
      <c r="R122" s="210" t="str">
        <f>M106</f>
        <v>Destination1</v>
      </c>
      <c r="S122" s="210"/>
      <c r="T122" s="210" t="s">
        <v>2</v>
      </c>
      <c r="U122" s="210"/>
      <c r="V122" s="210"/>
      <c r="W122" s="210"/>
      <c r="X122" s="210"/>
      <c r="Y122" s="210"/>
      <c r="Z122" s="210"/>
    </row>
    <row r="123" spans="1:26" s="213" customFormat="1">
      <c r="A123" s="220" t="s">
        <v>518</v>
      </c>
      <c r="B123" s="209">
        <f>COUNTA($B$1:B122)</f>
        <v>115</v>
      </c>
      <c r="C123" s="210" t="s">
        <v>914</v>
      </c>
      <c r="D123" s="215"/>
      <c r="E123" s="212"/>
      <c r="F123" s="209"/>
      <c r="G123" s="210" t="s">
        <v>125</v>
      </c>
      <c r="H123" s="210"/>
      <c r="I123" s="210" t="s">
        <v>55</v>
      </c>
      <c r="J123" s="210" t="s">
        <v>298</v>
      </c>
      <c r="K123" s="209">
        <v>0</v>
      </c>
      <c r="L123" s="210" t="s">
        <v>98</v>
      </c>
      <c r="M123" s="214"/>
      <c r="N123" s="210" t="s">
        <v>99</v>
      </c>
      <c r="O123" s="210"/>
      <c r="P123" s="210"/>
      <c r="Q123" s="210"/>
      <c r="R123" s="210" t="str">
        <f>TEXT(M109,"mm/dd/yyyy")</f>
        <v>DepDate1</v>
      </c>
      <c r="S123" s="210"/>
      <c r="T123" s="210" t="s">
        <v>2</v>
      </c>
      <c r="U123" s="210"/>
      <c r="V123" s="210"/>
      <c r="W123" s="210"/>
      <c r="X123" s="210"/>
      <c r="Y123" s="210"/>
      <c r="Z123" s="210"/>
    </row>
    <row r="124" spans="1:26" s="213" customFormat="1">
      <c r="A124" s="220" t="s">
        <v>518</v>
      </c>
      <c r="B124" s="209">
        <f>COUNTA($B$1:B123)</f>
        <v>116</v>
      </c>
      <c r="C124" s="210" t="s">
        <v>915</v>
      </c>
      <c r="D124" s="215"/>
      <c r="E124" s="212"/>
      <c r="F124" s="209"/>
      <c r="G124" s="210" t="s">
        <v>125</v>
      </c>
      <c r="H124" s="210"/>
      <c r="I124" s="210" t="s">
        <v>55</v>
      </c>
      <c r="J124" s="210" t="s">
        <v>300</v>
      </c>
      <c r="K124" s="209">
        <v>0</v>
      </c>
      <c r="L124" s="210" t="s">
        <v>98</v>
      </c>
      <c r="M124" s="214"/>
      <c r="N124" s="210" t="s">
        <v>99</v>
      </c>
      <c r="O124" s="210"/>
      <c r="P124" s="210"/>
      <c r="Q124" s="210"/>
      <c r="R124" s="210" t="str">
        <f>TEXT(M110,"mm/dd/yyyy")</f>
        <v>RetDate1</v>
      </c>
      <c r="S124" s="210"/>
      <c r="T124" s="210" t="s">
        <v>2</v>
      </c>
      <c r="U124" s="210"/>
      <c r="V124" s="210"/>
      <c r="W124" s="210"/>
      <c r="X124" s="210"/>
      <c r="Y124" s="210"/>
      <c r="Z124" s="210"/>
    </row>
    <row r="125" spans="1:26" s="213" customFormat="1">
      <c r="A125" s="220" t="s">
        <v>518</v>
      </c>
      <c r="B125" s="209">
        <f>COUNTA($B$1:B124)</f>
        <v>117</v>
      </c>
      <c r="C125" s="210" t="s">
        <v>913</v>
      </c>
      <c r="D125" s="215"/>
      <c r="E125" s="212"/>
      <c r="F125" s="209"/>
      <c r="G125" s="210" t="s">
        <v>125</v>
      </c>
      <c r="H125" s="210"/>
      <c r="I125" s="210" t="s">
        <v>55</v>
      </c>
      <c r="J125" s="210" t="s">
        <v>899</v>
      </c>
      <c r="K125" s="209">
        <v>0</v>
      </c>
      <c r="L125" s="210" t="s">
        <v>98</v>
      </c>
      <c r="M125" s="214"/>
      <c r="N125" s="210" t="s">
        <v>99</v>
      </c>
      <c r="O125" s="210"/>
      <c r="P125" s="210"/>
      <c r="Q125" s="210"/>
      <c r="R125" s="210" t="str">
        <f>M116</f>
        <v>Age1</v>
      </c>
      <c r="S125" s="210"/>
      <c r="T125" s="210" t="s">
        <v>2</v>
      </c>
      <c r="U125" s="210"/>
      <c r="V125" s="210"/>
      <c r="W125" s="210"/>
      <c r="X125" s="210"/>
      <c r="Y125" s="210"/>
      <c r="Z125" s="210"/>
    </row>
    <row r="126" spans="1:26" s="213" customFormat="1">
      <c r="A126" s="220" t="s">
        <v>518</v>
      </c>
      <c r="B126" s="209">
        <f>COUNTA($B$1:B125)</f>
        <v>118</v>
      </c>
      <c r="C126" s="210" t="s">
        <v>540</v>
      </c>
      <c r="D126" s="215"/>
      <c r="E126" s="212"/>
      <c r="F126" s="209"/>
      <c r="G126" s="210" t="s">
        <v>125</v>
      </c>
      <c r="H126" s="210"/>
      <c r="I126" s="210" t="s">
        <v>55</v>
      </c>
      <c r="J126" s="210" t="s">
        <v>901</v>
      </c>
      <c r="K126" s="209">
        <v>0</v>
      </c>
      <c r="L126" s="210" t="s">
        <v>98</v>
      </c>
      <c r="M126" s="214"/>
      <c r="N126" s="210" t="s">
        <v>99</v>
      </c>
      <c r="O126" s="210"/>
      <c r="P126" s="210"/>
      <c r="Q126" s="210"/>
      <c r="R126" s="210" t="str">
        <f>M117</f>
        <v>Cost1</v>
      </c>
      <c r="S126" s="210"/>
      <c r="T126" s="210"/>
      <c r="U126" s="210"/>
      <c r="V126" s="210"/>
      <c r="W126" s="210"/>
      <c r="X126" s="210"/>
      <c r="Y126" s="210"/>
      <c r="Z126" s="210"/>
    </row>
    <row r="127" spans="1:26" s="16" customFormat="1" outlineLevel="1">
      <c r="A127" s="93" t="s">
        <v>518</v>
      </c>
      <c r="B127" s="94">
        <f>COUNTA($B$1:B126)</f>
        <v>119</v>
      </c>
      <c r="C127" s="106" t="s">
        <v>520</v>
      </c>
      <c r="D127" s="95"/>
      <c r="E127" s="95"/>
      <c r="F127" s="94"/>
      <c r="G127" s="95" t="s">
        <v>125</v>
      </c>
      <c r="H127" s="95"/>
      <c r="I127" s="95" t="s">
        <v>55</v>
      </c>
      <c r="J127" s="95" t="s">
        <v>521</v>
      </c>
      <c r="K127" s="94">
        <v>0</v>
      </c>
      <c r="L127" s="95" t="s">
        <v>147</v>
      </c>
      <c r="M127" s="96"/>
      <c r="N127" s="95"/>
      <c r="O127" s="95"/>
      <c r="P127" s="95"/>
      <c r="Q127" s="95"/>
      <c r="R127" s="95"/>
      <c r="S127" s="95"/>
      <c r="T127" s="95"/>
      <c r="U127" s="95"/>
      <c r="V127" s="95"/>
      <c r="W127" s="95"/>
      <c r="X127" s="95"/>
      <c r="Y127" s="95"/>
      <c r="Z127" s="95"/>
    </row>
    <row r="128" spans="1:26" s="16" customFormat="1" outlineLevel="1">
      <c r="A128" s="93" t="s">
        <v>518</v>
      </c>
      <c r="B128" s="94">
        <f>COUNTA($B$1:B127)</f>
        <v>120</v>
      </c>
      <c r="C128" s="95" t="s">
        <v>67</v>
      </c>
      <c r="D128" s="95"/>
      <c r="E128" s="95"/>
      <c r="F128" s="94"/>
      <c r="G128" s="95" t="s">
        <v>125</v>
      </c>
      <c r="H128" s="95"/>
      <c r="I128" s="95"/>
      <c r="J128" s="95"/>
      <c r="K128" s="94"/>
      <c r="L128" s="95" t="s">
        <v>67</v>
      </c>
      <c r="M128" s="96">
        <v>10</v>
      </c>
      <c r="N128" s="95"/>
      <c r="O128" s="95"/>
      <c r="P128" s="95"/>
      <c r="Q128" s="95"/>
      <c r="R128" s="95"/>
      <c r="S128" s="95"/>
      <c r="T128" s="95"/>
      <c r="U128" s="95"/>
      <c r="V128" s="95"/>
      <c r="W128" s="95"/>
      <c r="X128" s="95"/>
      <c r="Y128" s="95"/>
      <c r="Z128" s="95"/>
    </row>
    <row r="129" spans="1:26" s="213" customFormat="1">
      <c r="A129" s="220" t="s">
        <v>518</v>
      </c>
      <c r="B129" s="209">
        <f>COUNTA($B$1:B128)</f>
        <v>121</v>
      </c>
      <c r="C129" s="210" t="s">
        <v>921</v>
      </c>
      <c r="D129" s="210"/>
      <c r="E129" s="210"/>
      <c r="F129" s="209"/>
      <c r="G129" s="210" t="s">
        <v>125</v>
      </c>
      <c r="H129" s="210"/>
      <c r="I129" s="210" t="s">
        <v>55</v>
      </c>
      <c r="J129" s="210" t="s">
        <v>907</v>
      </c>
      <c r="K129" s="209">
        <v>0</v>
      </c>
      <c r="L129" s="210" t="s">
        <v>147</v>
      </c>
      <c r="M129" s="214"/>
      <c r="N129" s="210"/>
      <c r="O129" s="210"/>
      <c r="P129" s="210"/>
      <c r="Q129" s="210"/>
      <c r="R129" s="210"/>
      <c r="S129" s="210"/>
      <c r="T129" s="210"/>
      <c r="U129" s="210"/>
      <c r="V129" s="210"/>
      <c r="W129" s="210"/>
      <c r="X129" s="210"/>
      <c r="Y129" s="210"/>
      <c r="Z129" s="210"/>
    </row>
    <row r="130" spans="1:26" s="213" customFormat="1">
      <c r="A130" s="220" t="s">
        <v>518</v>
      </c>
      <c r="B130" s="209">
        <f>COUNTA($B$1:B129)</f>
        <v>122</v>
      </c>
      <c r="C130" s="210" t="s">
        <v>917</v>
      </c>
      <c r="D130" s="215"/>
      <c r="E130" s="212"/>
      <c r="F130" s="209"/>
      <c r="G130" s="210" t="s">
        <v>125</v>
      </c>
      <c r="H130" s="210"/>
      <c r="I130" s="210" t="s">
        <v>55</v>
      </c>
      <c r="J130" s="210" t="s">
        <v>898</v>
      </c>
      <c r="K130" s="209">
        <v>0</v>
      </c>
      <c r="L130" s="210" t="s">
        <v>98</v>
      </c>
      <c r="M130" s="214"/>
      <c r="N130" s="210" t="s">
        <v>99</v>
      </c>
      <c r="O130" s="210"/>
      <c r="P130" s="210"/>
      <c r="Q130" s="210"/>
      <c r="R130" s="210">
        <f>S122</f>
        <v>0</v>
      </c>
      <c r="S130" s="210"/>
      <c r="T130" s="210" t="s">
        <v>2</v>
      </c>
      <c r="U130" s="210"/>
      <c r="V130" s="210"/>
      <c r="W130" s="210"/>
      <c r="X130" s="210"/>
      <c r="Y130" s="210"/>
      <c r="Z130" s="210"/>
    </row>
    <row r="131" spans="1:26" s="213" customFormat="1">
      <c r="A131" s="220" t="s">
        <v>518</v>
      </c>
      <c r="B131" s="209">
        <f>COUNTA($B$1:B130)</f>
        <v>123</v>
      </c>
      <c r="C131" s="210" t="s">
        <v>918</v>
      </c>
      <c r="D131" s="215"/>
      <c r="E131" s="212"/>
      <c r="F131" s="209"/>
      <c r="G131" s="210" t="s">
        <v>125</v>
      </c>
      <c r="H131" s="210"/>
      <c r="I131" s="210" t="s">
        <v>55</v>
      </c>
      <c r="J131" s="210" t="s">
        <v>298</v>
      </c>
      <c r="K131" s="209">
        <v>0</v>
      </c>
      <c r="L131" s="210" t="s">
        <v>98</v>
      </c>
      <c r="M131" s="214"/>
      <c r="N131" s="210" t="s">
        <v>99</v>
      </c>
      <c r="O131" s="210"/>
      <c r="P131" s="210"/>
      <c r="Q131" s="210"/>
      <c r="R131" s="210">
        <f t="shared" ref="R131:R134" si="0">S123</f>
        <v>0</v>
      </c>
      <c r="S131" s="210"/>
      <c r="T131" s="210" t="s">
        <v>2</v>
      </c>
      <c r="U131" s="210"/>
      <c r="V131" s="210"/>
      <c r="W131" s="210"/>
      <c r="X131" s="210"/>
      <c r="Y131" s="210"/>
      <c r="Z131" s="210"/>
    </row>
    <row r="132" spans="1:26" s="213" customFormat="1">
      <c r="A132" s="220" t="s">
        <v>518</v>
      </c>
      <c r="B132" s="209">
        <f>COUNTA($B$1:B131)</f>
        <v>124</v>
      </c>
      <c r="C132" s="210" t="s">
        <v>919</v>
      </c>
      <c r="D132" s="215"/>
      <c r="E132" s="212"/>
      <c r="F132" s="209"/>
      <c r="G132" s="210" t="s">
        <v>125</v>
      </c>
      <c r="H132" s="210"/>
      <c r="I132" s="210" t="s">
        <v>55</v>
      </c>
      <c r="J132" s="210" t="s">
        <v>300</v>
      </c>
      <c r="K132" s="209">
        <v>0</v>
      </c>
      <c r="L132" s="210" t="s">
        <v>98</v>
      </c>
      <c r="M132" s="214"/>
      <c r="N132" s="210" t="s">
        <v>99</v>
      </c>
      <c r="O132" s="210"/>
      <c r="P132" s="210"/>
      <c r="Q132" s="210"/>
      <c r="R132" s="210">
        <f t="shared" si="0"/>
        <v>0</v>
      </c>
      <c r="S132" s="210"/>
      <c r="T132" s="210" t="s">
        <v>2</v>
      </c>
      <c r="U132" s="210"/>
      <c r="V132" s="210"/>
      <c r="W132" s="210"/>
      <c r="X132" s="210"/>
      <c r="Y132" s="210"/>
      <c r="Z132" s="210"/>
    </row>
    <row r="133" spans="1:26" s="213" customFormat="1">
      <c r="A133" s="220" t="s">
        <v>518</v>
      </c>
      <c r="B133" s="209">
        <f>COUNTA($B$1:B132)</f>
        <v>125</v>
      </c>
      <c r="C133" s="210" t="s">
        <v>920</v>
      </c>
      <c r="D133" s="215"/>
      <c r="E133" s="212"/>
      <c r="F133" s="209"/>
      <c r="G133" s="210" t="s">
        <v>125</v>
      </c>
      <c r="H133" s="210"/>
      <c r="I133" s="210" t="s">
        <v>55</v>
      </c>
      <c r="J133" s="210" t="s">
        <v>899</v>
      </c>
      <c r="K133" s="209">
        <v>0</v>
      </c>
      <c r="L133" s="210" t="s">
        <v>98</v>
      </c>
      <c r="M133" s="214"/>
      <c r="N133" s="210" t="s">
        <v>99</v>
      </c>
      <c r="O133" s="210"/>
      <c r="P133" s="210"/>
      <c r="Q133" s="210"/>
      <c r="R133" s="210">
        <f t="shared" si="0"/>
        <v>0</v>
      </c>
      <c r="S133" s="210"/>
      <c r="T133" s="210" t="s">
        <v>2</v>
      </c>
      <c r="U133" s="210"/>
      <c r="V133" s="210"/>
      <c r="W133" s="210"/>
      <c r="X133" s="210"/>
      <c r="Y133" s="210"/>
      <c r="Z133" s="210"/>
    </row>
    <row r="134" spans="1:26" s="213" customFormat="1">
      <c r="A134" s="220" t="s">
        <v>518</v>
      </c>
      <c r="B134" s="209">
        <f>COUNTA($B$1:B133)</f>
        <v>126</v>
      </c>
      <c r="C134" s="210" t="s">
        <v>923</v>
      </c>
      <c r="D134" s="215"/>
      <c r="E134" s="212"/>
      <c r="F134" s="209"/>
      <c r="G134" s="210" t="s">
        <v>125</v>
      </c>
      <c r="H134" s="210"/>
      <c r="I134" s="210" t="s">
        <v>55</v>
      </c>
      <c r="J134" s="210" t="s">
        <v>901</v>
      </c>
      <c r="K134" s="209">
        <v>0</v>
      </c>
      <c r="L134" s="210" t="s">
        <v>98</v>
      </c>
      <c r="M134" s="214"/>
      <c r="N134" s="210" t="s">
        <v>99</v>
      </c>
      <c r="O134" s="210"/>
      <c r="P134" s="210"/>
      <c r="Q134" s="210"/>
      <c r="R134" s="210">
        <f t="shared" si="0"/>
        <v>0</v>
      </c>
      <c r="S134" s="210"/>
      <c r="T134" s="210" t="s">
        <v>2</v>
      </c>
      <c r="U134" s="210"/>
      <c r="V134" s="210"/>
      <c r="W134" s="210"/>
      <c r="X134" s="210"/>
      <c r="Y134" s="210"/>
      <c r="Z134" s="210"/>
    </row>
    <row r="135" spans="1:26" s="213" customFormat="1">
      <c r="A135" s="220" t="s">
        <v>518</v>
      </c>
      <c r="B135" s="209">
        <f>COUNTA($B$1:B134)</f>
        <v>127</v>
      </c>
      <c r="C135" s="210" t="s">
        <v>905</v>
      </c>
      <c r="D135" s="215"/>
      <c r="E135" s="212"/>
      <c r="F135" s="209"/>
      <c r="G135" s="210" t="s">
        <v>125</v>
      </c>
      <c r="H135" s="210"/>
      <c r="I135" s="210" t="s">
        <v>55</v>
      </c>
      <c r="J135" s="210" t="s">
        <v>107</v>
      </c>
      <c r="K135" s="209">
        <v>0</v>
      </c>
      <c r="L135" s="210" t="s">
        <v>98</v>
      </c>
      <c r="M135" s="214"/>
      <c r="N135" s="210" t="s">
        <v>99</v>
      </c>
      <c r="O135" s="210"/>
      <c r="P135" s="210"/>
      <c r="Q135" s="210"/>
      <c r="R135" s="210"/>
      <c r="S135" s="210"/>
      <c r="T135" s="210"/>
      <c r="U135" s="210"/>
      <c r="V135" s="210"/>
      <c r="W135" s="210"/>
      <c r="X135" s="210"/>
      <c r="Y135" s="210"/>
      <c r="Z135" s="210"/>
    </row>
    <row r="136" spans="1:26" s="213" customFormat="1">
      <c r="A136" s="220" t="s">
        <v>518</v>
      </c>
      <c r="B136" s="209">
        <f>COUNTA($B$1:B135)</f>
        <v>128</v>
      </c>
      <c r="C136" s="210" t="s">
        <v>906</v>
      </c>
      <c r="D136" s="215"/>
      <c r="E136" s="212"/>
      <c r="F136" s="209"/>
      <c r="G136" s="210" t="s">
        <v>125</v>
      </c>
      <c r="H136" s="210"/>
      <c r="I136" s="210" t="s">
        <v>55</v>
      </c>
      <c r="J136" s="210" t="s">
        <v>838</v>
      </c>
      <c r="K136" s="209">
        <v>0</v>
      </c>
      <c r="L136" s="210" t="s">
        <v>98</v>
      </c>
      <c r="M136" s="214"/>
      <c r="N136" s="210" t="s">
        <v>99</v>
      </c>
      <c r="O136" s="210"/>
      <c r="P136" s="210"/>
      <c r="Q136" s="210"/>
      <c r="R136" s="210"/>
      <c r="S136" s="210"/>
      <c r="T136" s="210"/>
      <c r="U136" s="210"/>
      <c r="V136" s="210"/>
      <c r="W136" s="210"/>
      <c r="X136" s="210"/>
      <c r="Y136" s="210"/>
      <c r="Z136" s="210"/>
    </row>
    <row r="137" spans="1:26" s="213" customFormat="1">
      <c r="A137" s="220" t="s">
        <v>518</v>
      </c>
      <c r="B137" s="209">
        <f>COUNTA($B$1:B136)</f>
        <v>129</v>
      </c>
      <c r="C137" s="210" t="s">
        <v>922</v>
      </c>
      <c r="D137" s="215"/>
      <c r="E137" s="212"/>
      <c r="F137" s="209"/>
      <c r="G137" s="210" t="s">
        <v>125</v>
      </c>
      <c r="H137" s="210"/>
      <c r="I137" s="210" t="s">
        <v>55</v>
      </c>
      <c r="J137" s="210" t="s">
        <v>574</v>
      </c>
      <c r="K137" s="209">
        <v>0</v>
      </c>
      <c r="L137" s="210" t="s">
        <v>98</v>
      </c>
      <c r="M137" s="214"/>
      <c r="N137" s="210" t="s">
        <v>99</v>
      </c>
      <c r="O137" s="210"/>
      <c r="P137" s="210"/>
      <c r="Q137" s="210"/>
      <c r="R137" s="210"/>
      <c r="S137" s="210"/>
      <c r="T137" s="210"/>
      <c r="U137" s="210"/>
      <c r="V137" s="210"/>
      <c r="W137" s="210"/>
      <c r="X137" s="210"/>
      <c r="Y137" s="210"/>
      <c r="Z137" s="210"/>
    </row>
    <row r="138" spans="1:26" s="16" customFormat="1" outlineLevel="1">
      <c r="A138" s="93" t="s">
        <v>518</v>
      </c>
      <c r="B138" s="94">
        <f>COUNTA($B$1:B137)</f>
        <v>130</v>
      </c>
      <c r="C138" s="95" t="s">
        <v>199</v>
      </c>
      <c r="D138" s="104"/>
      <c r="E138" s="105" t="s">
        <v>154</v>
      </c>
      <c r="F138" s="98"/>
      <c r="G138" s="95" t="s">
        <v>125</v>
      </c>
      <c r="H138" s="95"/>
      <c r="I138" s="95" t="s">
        <v>55</v>
      </c>
      <c r="J138" s="95" t="s">
        <v>200</v>
      </c>
      <c r="K138" s="94">
        <v>0</v>
      </c>
      <c r="L138" s="95" t="s">
        <v>147</v>
      </c>
      <c r="M138" s="96"/>
      <c r="N138" s="95"/>
      <c r="O138" s="95"/>
      <c r="P138" s="95"/>
      <c r="Q138" s="95"/>
      <c r="R138" s="95"/>
      <c r="S138" s="105"/>
      <c r="T138" s="95"/>
      <c r="U138" s="95"/>
      <c r="V138" s="95"/>
      <c r="W138" s="95"/>
      <c r="X138" s="95"/>
      <c r="Y138" s="95"/>
      <c r="Z138" s="95"/>
    </row>
    <row r="139" spans="1:26" s="16" customFormat="1" outlineLevel="1">
      <c r="A139" s="93" t="s">
        <v>518</v>
      </c>
      <c r="B139" s="94">
        <f>COUNTA($B$1:B138)</f>
        <v>131</v>
      </c>
      <c r="C139" s="95" t="s">
        <v>201</v>
      </c>
      <c r="D139" s="104"/>
      <c r="E139" s="105" t="s">
        <v>154</v>
      </c>
      <c r="F139" s="98"/>
      <c r="G139" s="95" t="s">
        <v>125</v>
      </c>
      <c r="H139" s="95"/>
      <c r="I139" s="95" t="s">
        <v>55</v>
      </c>
      <c r="J139" s="95" t="s">
        <v>202</v>
      </c>
      <c r="K139" s="94">
        <v>0</v>
      </c>
      <c r="L139" s="95" t="s">
        <v>0</v>
      </c>
      <c r="M139" s="82" t="s">
        <v>527</v>
      </c>
      <c r="N139" s="95"/>
      <c r="O139" s="95"/>
      <c r="P139" s="95"/>
      <c r="Q139" s="95"/>
      <c r="R139" s="95"/>
      <c r="S139" s="105"/>
      <c r="T139" s="95"/>
      <c r="U139" s="95"/>
      <c r="V139" s="95"/>
      <c r="W139" s="95"/>
      <c r="X139" s="95"/>
      <c r="Y139" s="95"/>
      <c r="Z139" s="95"/>
    </row>
    <row r="140" spans="1:26" s="16" customFormat="1" outlineLevel="1">
      <c r="A140" s="93" t="s">
        <v>518</v>
      </c>
      <c r="B140" s="94">
        <f>COUNTA($B$1:B139)</f>
        <v>132</v>
      </c>
      <c r="C140" s="95" t="s">
        <v>204</v>
      </c>
      <c r="D140" s="104"/>
      <c r="E140" s="105" t="s">
        <v>154</v>
      </c>
      <c r="F140" s="98"/>
      <c r="G140" s="95" t="s">
        <v>125</v>
      </c>
      <c r="H140" s="95"/>
      <c r="I140" s="95" t="s">
        <v>55</v>
      </c>
      <c r="J140" s="95" t="s">
        <v>205</v>
      </c>
      <c r="K140" s="94">
        <v>0</v>
      </c>
      <c r="L140" s="95" t="s">
        <v>0</v>
      </c>
      <c r="M140" s="82" t="s">
        <v>528</v>
      </c>
      <c r="N140" s="95"/>
      <c r="O140" s="95"/>
      <c r="P140" s="95"/>
      <c r="Q140" s="95"/>
      <c r="R140" s="95"/>
      <c r="S140" s="105"/>
      <c r="T140" s="95"/>
      <c r="U140" s="95"/>
      <c r="V140" s="95"/>
      <c r="W140" s="95"/>
      <c r="X140" s="95"/>
      <c r="Y140" s="95"/>
      <c r="Z140" s="95"/>
    </row>
    <row r="141" spans="1:26" s="16" customFormat="1" outlineLevel="1">
      <c r="A141" s="93" t="s">
        <v>518</v>
      </c>
      <c r="B141" s="94">
        <f>COUNTA($B$1:B140)</f>
        <v>133</v>
      </c>
      <c r="C141" s="95" t="s">
        <v>226</v>
      </c>
      <c r="D141" s="104"/>
      <c r="E141" s="105"/>
      <c r="F141" s="94"/>
      <c r="G141" s="95" t="s">
        <v>125</v>
      </c>
      <c r="H141" s="95"/>
      <c r="I141" s="95"/>
      <c r="J141" s="95"/>
      <c r="K141" s="94"/>
      <c r="L141" s="95" t="s">
        <v>227</v>
      </c>
      <c r="M141" s="96" t="s">
        <v>79</v>
      </c>
      <c r="N141" s="95"/>
      <c r="O141" s="95"/>
      <c r="P141" s="95"/>
      <c r="Q141" s="95"/>
      <c r="R141" s="96"/>
      <c r="S141" s="95"/>
      <c r="T141" s="95"/>
      <c r="U141" s="95"/>
      <c r="V141" s="95"/>
      <c r="W141" s="95"/>
      <c r="X141" s="95"/>
      <c r="Y141" s="95"/>
      <c r="Z141" s="95"/>
    </row>
    <row r="142" spans="1:26" s="16" customFormat="1" outlineLevel="1">
      <c r="A142" s="93" t="s">
        <v>518</v>
      </c>
      <c r="B142" s="94">
        <f>COUNTA($B$1:B141)</f>
        <v>134</v>
      </c>
      <c r="C142" s="95" t="s">
        <v>207</v>
      </c>
      <c r="D142" s="95"/>
      <c r="E142" s="95"/>
      <c r="F142" s="94"/>
      <c r="G142" s="95" t="s">
        <v>125</v>
      </c>
      <c r="H142" s="95"/>
      <c r="I142" s="95" t="s">
        <v>55</v>
      </c>
      <c r="J142" s="95" t="s">
        <v>208</v>
      </c>
      <c r="K142" s="94">
        <v>0</v>
      </c>
      <c r="L142" s="95" t="s">
        <v>147</v>
      </c>
      <c r="M142" s="96"/>
      <c r="N142" s="95"/>
      <c r="O142" s="95"/>
      <c r="P142" s="95"/>
      <c r="Q142" s="95"/>
      <c r="R142" s="95"/>
      <c r="S142" s="95"/>
      <c r="T142" s="95"/>
      <c r="U142" s="95"/>
      <c r="V142" s="95"/>
      <c r="W142" s="95"/>
      <c r="X142" s="95"/>
      <c r="Y142" s="95"/>
      <c r="Z142" s="95"/>
    </row>
    <row r="143" spans="1:26" s="16" customFormat="1" outlineLevel="1">
      <c r="A143" s="93" t="str">
        <f>IF(Global!B2="QA","Y","N")</f>
        <v>N</v>
      </c>
      <c r="B143" s="94">
        <f>COUNTA($B$1:B142)</f>
        <v>135</v>
      </c>
      <c r="C143" s="95" t="s">
        <v>209</v>
      </c>
      <c r="D143" s="104"/>
      <c r="E143" s="105"/>
      <c r="F143" s="94"/>
      <c r="G143" s="95" t="s">
        <v>125</v>
      </c>
      <c r="H143" s="95"/>
      <c r="I143" s="95" t="s">
        <v>55</v>
      </c>
      <c r="J143" s="95" t="s">
        <v>210</v>
      </c>
      <c r="K143" s="94"/>
      <c r="L143" s="95" t="s">
        <v>98</v>
      </c>
      <c r="M143" s="95"/>
      <c r="N143" s="95" t="s">
        <v>99</v>
      </c>
      <c r="O143" s="95"/>
      <c r="P143" s="95"/>
      <c r="Q143" s="95"/>
      <c r="R143" s="95" t="str">
        <f>TEXT(M139,"mm/dd/yyyy") &amp; " - " &amp; TEXT(M140,"mm/dd/yyyy")</f>
        <v>PickUpDate3 - DropOffDate3</v>
      </c>
      <c r="S143" s="105"/>
      <c r="T143" s="95" t="s">
        <v>2</v>
      </c>
      <c r="U143" s="95"/>
      <c r="V143" s="95"/>
      <c r="W143" s="95"/>
      <c r="X143" s="95"/>
      <c r="Y143" s="95"/>
      <c r="Z143" s="95"/>
    </row>
    <row r="144" spans="1:26" s="16" customFormat="1" outlineLevel="1">
      <c r="A144" s="93" t="str">
        <f>IF(OR(Global!B2="UAT",Global!B2="PROD"),"Y","N")</f>
        <v>Y</v>
      </c>
      <c r="B144" s="94">
        <f>COUNTA($B$1:B143)</f>
        <v>136</v>
      </c>
      <c r="C144" s="95" t="s">
        <v>209</v>
      </c>
      <c r="D144" s="104"/>
      <c r="E144" s="105"/>
      <c r="F144" s="94"/>
      <c r="G144" s="95" t="s">
        <v>125</v>
      </c>
      <c r="H144" s="95"/>
      <c r="I144" s="95" t="s">
        <v>55</v>
      </c>
      <c r="J144" s="95" t="s">
        <v>839</v>
      </c>
      <c r="K144" s="94"/>
      <c r="L144" s="95" t="s">
        <v>98</v>
      </c>
      <c r="M144" s="95"/>
      <c r="N144" s="95" t="s">
        <v>99</v>
      </c>
      <c r="O144" s="95"/>
      <c r="P144" s="95"/>
      <c r="Q144" s="95"/>
      <c r="R144" s="95" t="str">
        <f>TEXT(M139,"mm/dd/yyyy") &amp; " - " &amp; TEXT(M140,"mm/dd/yyyy")</f>
        <v>PickUpDate3 - DropOffDate3</v>
      </c>
      <c r="S144" s="105"/>
      <c r="T144" s="95" t="s">
        <v>2</v>
      </c>
      <c r="U144" s="95"/>
      <c r="V144" s="95"/>
      <c r="W144" s="95"/>
      <c r="X144" s="95"/>
      <c r="Y144" s="95"/>
      <c r="Z144" s="95"/>
    </row>
    <row r="145" spans="1:26">
      <c r="A145" s="93" t="s">
        <v>518</v>
      </c>
      <c r="B145" s="94">
        <f>COUNTA($B$1:B144)</f>
        <v>137</v>
      </c>
      <c r="C145" s="95" t="s">
        <v>201</v>
      </c>
      <c r="D145" s="104"/>
      <c r="E145" s="105" t="s">
        <v>154</v>
      </c>
      <c r="F145" s="98"/>
      <c r="G145" s="95" t="s">
        <v>125</v>
      </c>
      <c r="H145" s="95"/>
      <c r="I145" s="95" t="s">
        <v>55</v>
      </c>
      <c r="J145" s="95" t="s">
        <v>202</v>
      </c>
      <c r="K145" s="94">
        <v>0</v>
      </c>
      <c r="L145" s="95" t="s">
        <v>0</v>
      </c>
      <c r="M145" s="82" t="s">
        <v>529</v>
      </c>
      <c r="N145" s="95"/>
      <c r="O145" s="95"/>
      <c r="P145" s="95"/>
      <c r="Q145" s="95"/>
      <c r="R145" s="95"/>
      <c r="S145" s="105"/>
      <c r="T145" s="95"/>
      <c r="U145" s="95"/>
      <c r="V145" s="95"/>
      <c r="W145" s="95"/>
      <c r="X145" s="95"/>
      <c r="Y145" s="95"/>
      <c r="Z145" s="95"/>
    </row>
    <row r="146" spans="1:26">
      <c r="A146" s="93" t="s">
        <v>518</v>
      </c>
      <c r="B146" s="94">
        <f>COUNTA($B$1:B145)</f>
        <v>138</v>
      </c>
      <c r="C146" s="95" t="s">
        <v>204</v>
      </c>
      <c r="D146" s="104"/>
      <c r="E146" s="105" t="s">
        <v>154</v>
      </c>
      <c r="F146" s="98"/>
      <c r="G146" s="95" t="s">
        <v>125</v>
      </c>
      <c r="H146" s="95"/>
      <c r="I146" s="95" t="s">
        <v>55</v>
      </c>
      <c r="J146" s="95" t="s">
        <v>205</v>
      </c>
      <c r="K146" s="94">
        <v>0</v>
      </c>
      <c r="L146" s="95" t="s">
        <v>0</v>
      </c>
      <c r="M146" s="82" t="s">
        <v>530</v>
      </c>
      <c r="N146" s="95"/>
      <c r="O146" s="95"/>
      <c r="P146" s="95"/>
      <c r="Q146" s="95"/>
      <c r="R146" s="95"/>
      <c r="S146" s="105"/>
      <c r="T146" s="95"/>
      <c r="U146" s="95"/>
      <c r="V146" s="95"/>
      <c r="W146" s="95"/>
      <c r="X146" s="95"/>
      <c r="Y146" s="95"/>
      <c r="Z146" s="95"/>
    </row>
    <row r="147" spans="1:26">
      <c r="A147" s="93" t="s">
        <v>518</v>
      </c>
      <c r="B147" s="94">
        <f>COUNTA($B$1:B146)</f>
        <v>139</v>
      </c>
      <c r="C147" s="95" t="s">
        <v>226</v>
      </c>
      <c r="D147" s="104"/>
      <c r="E147" s="105"/>
      <c r="F147" s="94"/>
      <c r="G147" s="95" t="s">
        <v>125</v>
      </c>
      <c r="H147" s="95"/>
      <c r="I147" s="95"/>
      <c r="J147" s="95"/>
      <c r="K147" s="94"/>
      <c r="L147" s="95" t="s">
        <v>227</v>
      </c>
      <c r="M147" s="96" t="s">
        <v>79</v>
      </c>
      <c r="N147" s="95"/>
      <c r="O147" s="95"/>
      <c r="P147" s="95"/>
      <c r="Q147" s="95"/>
      <c r="R147" s="96"/>
      <c r="S147" s="95"/>
      <c r="T147" s="95"/>
      <c r="U147" s="95"/>
      <c r="V147" s="95"/>
      <c r="W147" s="95"/>
      <c r="X147" s="95"/>
      <c r="Y147" s="95"/>
      <c r="Z147" s="95"/>
    </row>
    <row r="148" spans="1:26" s="11" customFormat="1">
      <c r="A148" s="93" t="s">
        <v>518</v>
      </c>
      <c r="B148" s="94">
        <f>COUNTA($B$1:B147)</f>
        <v>140</v>
      </c>
      <c r="C148" s="95" t="s">
        <v>207</v>
      </c>
      <c r="D148" s="95"/>
      <c r="E148" s="95"/>
      <c r="F148" s="94"/>
      <c r="G148" s="95" t="s">
        <v>125</v>
      </c>
      <c r="H148" s="95"/>
      <c r="I148" s="95" t="s">
        <v>55</v>
      </c>
      <c r="J148" s="95" t="s">
        <v>208</v>
      </c>
      <c r="K148" s="94">
        <v>0</v>
      </c>
      <c r="L148" s="95" t="s">
        <v>147</v>
      </c>
      <c r="M148" s="96"/>
      <c r="N148" s="95"/>
      <c r="O148" s="95"/>
      <c r="P148" s="95"/>
      <c r="Q148" s="95"/>
      <c r="R148" s="95"/>
      <c r="S148" s="95"/>
      <c r="T148" s="95"/>
      <c r="U148" s="95"/>
      <c r="V148" s="95"/>
      <c r="W148" s="95"/>
      <c r="X148" s="95"/>
      <c r="Y148" s="95"/>
      <c r="Z148" s="95"/>
    </row>
    <row r="149" spans="1:26">
      <c r="A149" s="93" t="str">
        <f>IF(Global!B2="QA","Y","N")</f>
        <v>N</v>
      </c>
      <c r="B149" s="94">
        <f>COUNTA($B$1:B148)</f>
        <v>141</v>
      </c>
      <c r="C149" s="95" t="s">
        <v>209</v>
      </c>
      <c r="D149" s="104"/>
      <c r="E149" s="105"/>
      <c r="F149" s="94"/>
      <c r="G149" s="95" t="s">
        <v>125</v>
      </c>
      <c r="H149" s="95"/>
      <c r="I149" s="95" t="s">
        <v>55</v>
      </c>
      <c r="J149" s="95" t="s">
        <v>213</v>
      </c>
      <c r="K149" s="94"/>
      <c r="L149" s="95" t="s">
        <v>98</v>
      </c>
      <c r="M149" s="95"/>
      <c r="N149" s="95" t="s">
        <v>99</v>
      </c>
      <c r="O149" s="95"/>
      <c r="P149" s="95"/>
      <c r="Q149" s="95"/>
      <c r="R149" s="95" t="str">
        <f>TEXT(M145,"mm/dd/yyyy") &amp; " - " &amp; TEXT(M146,"mm/dd/yyyy")</f>
        <v>PickUpDate4 - DropOffDate4</v>
      </c>
      <c r="S149" s="105"/>
      <c r="T149" s="95" t="s">
        <v>2</v>
      </c>
      <c r="U149" s="95"/>
      <c r="V149" s="95"/>
      <c r="W149" s="95"/>
      <c r="X149" s="95"/>
      <c r="Y149" s="95"/>
      <c r="Z149" s="95"/>
    </row>
    <row r="150" spans="1:26">
      <c r="A150" s="93" t="str">
        <f>IF(OR(Global!B2="UAT",Global!B2="PROD"),"Y","N")</f>
        <v>Y</v>
      </c>
      <c r="B150" s="94">
        <f>COUNTA($B$1:B149)</f>
        <v>142</v>
      </c>
      <c r="C150" s="95" t="s">
        <v>209</v>
      </c>
      <c r="D150" s="104"/>
      <c r="E150" s="105"/>
      <c r="F150" s="94"/>
      <c r="G150" s="95" t="s">
        <v>125</v>
      </c>
      <c r="H150" s="95"/>
      <c r="I150" s="95" t="s">
        <v>55</v>
      </c>
      <c r="J150" s="95" t="s">
        <v>840</v>
      </c>
      <c r="K150" s="94"/>
      <c r="L150" s="95" t="s">
        <v>98</v>
      </c>
      <c r="M150" s="95"/>
      <c r="N150" s="95" t="s">
        <v>99</v>
      </c>
      <c r="O150" s="95"/>
      <c r="P150" s="95"/>
      <c r="Q150" s="95"/>
      <c r="R150" s="95" t="str">
        <f>TEXT(M145,"mm/dd/yyyy") &amp; " - " &amp; TEXT(M146,"mm/dd/yyyy")</f>
        <v>PickUpDate4 - DropOffDate4</v>
      </c>
      <c r="S150" s="105"/>
      <c r="T150" s="95" t="s">
        <v>2</v>
      </c>
      <c r="U150" s="95"/>
      <c r="V150" s="95"/>
      <c r="W150" s="95"/>
      <c r="X150" s="95"/>
      <c r="Y150" s="95"/>
      <c r="Z150" s="95"/>
    </row>
    <row r="151" spans="1:26">
      <c r="A151" s="93" t="s">
        <v>518</v>
      </c>
      <c r="B151" s="94">
        <f>COUNTA($B$1:B150)</f>
        <v>143</v>
      </c>
      <c r="C151" s="95" t="s">
        <v>531</v>
      </c>
      <c r="D151" s="95"/>
      <c r="E151" s="95"/>
      <c r="F151" s="94"/>
      <c r="G151" s="95" t="s">
        <v>125</v>
      </c>
      <c r="H151" s="95"/>
      <c r="I151" s="95" t="s">
        <v>55</v>
      </c>
      <c r="J151" s="95" t="s">
        <v>510</v>
      </c>
      <c r="K151" s="94">
        <v>0</v>
      </c>
      <c r="L151" s="95" t="s">
        <v>98</v>
      </c>
      <c r="M151" s="95"/>
      <c r="N151" s="95" t="s">
        <v>99</v>
      </c>
      <c r="O151" s="95"/>
      <c r="P151" s="95"/>
      <c r="Q151" s="95"/>
      <c r="R151" s="95"/>
      <c r="S151" s="95"/>
      <c r="T151" s="95"/>
      <c r="U151" s="95"/>
      <c r="V151" s="95"/>
      <c r="W151" s="95"/>
      <c r="X151" s="95"/>
      <c r="Y151" s="95"/>
      <c r="Z151" s="95"/>
    </row>
    <row r="152" spans="1:26" s="213" customFormat="1">
      <c r="A152" s="220" t="s">
        <v>518</v>
      </c>
      <c r="B152" s="209">
        <f>COUNTA($B$1:B151)</f>
        <v>144</v>
      </c>
      <c r="C152" s="210" t="s">
        <v>902</v>
      </c>
      <c r="D152" s="215"/>
      <c r="E152" s="212"/>
      <c r="F152" s="209"/>
      <c r="G152" s="210" t="s">
        <v>125</v>
      </c>
      <c r="H152" s="210"/>
      <c r="I152" s="210" t="s">
        <v>55</v>
      </c>
      <c r="J152" s="210" t="s">
        <v>574</v>
      </c>
      <c r="K152" s="209">
        <v>0</v>
      </c>
      <c r="L152" s="210" t="s">
        <v>98</v>
      </c>
      <c r="M152" s="214"/>
      <c r="N152" s="210" t="s">
        <v>99</v>
      </c>
      <c r="O152" s="210"/>
      <c r="P152" s="210"/>
      <c r="Q152" s="210"/>
      <c r="R152" s="210"/>
      <c r="S152" s="210"/>
      <c r="T152" s="210"/>
      <c r="U152" s="210"/>
      <c r="V152" s="210"/>
      <c r="W152" s="210"/>
      <c r="X152" s="210"/>
      <c r="Y152" s="210"/>
      <c r="Z152" s="210"/>
    </row>
    <row r="153" spans="1:26">
      <c r="A153" s="93" t="s">
        <v>518</v>
      </c>
      <c r="B153" s="94">
        <f>COUNTA($B$1:B152)</f>
        <v>145</v>
      </c>
      <c r="C153" s="95" t="s">
        <v>190</v>
      </c>
      <c r="D153" s="95"/>
      <c r="E153" s="95"/>
      <c r="F153" s="94"/>
      <c r="G153" s="95" t="s">
        <v>125</v>
      </c>
      <c r="H153" s="95"/>
      <c r="I153" s="95" t="s">
        <v>55</v>
      </c>
      <c r="J153" s="95" t="s">
        <v>87</v>
      </c>
      <c r="K153" s="94">
        <v>0</v>
      </c>
      <c r="L153" s="95" t="s">
        <v>147</v>
      </c>
      <c r="M153" s="96"/>
      <c r="N153" s="95"/>
      <c r="O153" s="95"/>
      <c r="P153" s="95"/>
      <c r="Q153" s="95"/>
      <c r="R153" s="95"/>
      <c r="S153" s="95"/>
      <c r="T153" s="95"/>
      <c r="U153" s="95"/>
      <c r="V153" s="95"/>
      <c r="W153" s="95"/>
      <c r="X153" s="95"/>
      <c r="Y153" s="95"/>
      <c r="Z153" s="95"/>
    </row>
    <row r="154" spans="1:26">
      <c r="A154" s="93" t="s">
        <v>518</v>
      </c>
      <c r="B154" s="94">
        <f>COUNTA($B$1:B153)</f>
        <v>146</v>
      </c>
      <c r="C154" s="95" t="s">
        <v>67</v>
      </c>
      <c r="D154" s="95"/>
      <c r="E154" s="95"/>
      <c r="F154" s="94"/>
      <c r="G154" s="95" t="s">
        <v>125</v>
      </c>
      <c r="H154" s="95"/>
      <c r="I154" s="95"/>
      <c r="J154" s="95"/>
      <c r="K154" s="94"/>
      <c r="L154" s="95" t="s">
        <v>67</v>
      </c>
      <c r="M154" s="96">
        <v>10</v>
      </c>
      <c r="N154" s="95"/>
      <c r="O154" s="95"/>
      <c r="P154" s="95"/>
      <c r="Q154" s="95"/>
      <c r="R154" s="96"/>
      <c r="S154" s="95"/>
      <c r="T154" s="95"/>
      <c r="U154" s="95"/>
      <c r="V154" s="95"/>
      <c r="W154" s="95"/>
      <c r="X154" s="95"/>
      <c r="Y154" s="95"/>
      <c r="Z154" s="95"/>
    </row>
    <row r="155" spans="1:26">
      <c r="A155" s="30" t="s">
        <v>219</v>
      </c>
      <c r="B155" s="31"/>
      <c r="C155" s="31"/>
      <c r="D155" s="32"/>
      <c r="E155" s="32"/>
      <c r="F155" s="31"/>
      <c r="G155" s="32"/>
      <c r="H155" s="32"/>
      <c r="I155" s="32"/>
      <c r="J155" s="32"/>
      <c r="K155" s="31"/>
      <c r="L155" s="32"/>
      <c r="M155" s="32"/>
      <c r="N155" s="32"/>
      <c r="O155" s="32"/>
      <c r="P155" s="32"/>
      <c r="Q155" s="32"/>
      <c r="R155" s="32"/>
      <c r="S155" s="32"/>
      <c r="T155" s="32"/>
      <c r="U155" s="32"/>
      <c r="V155" s="32"/>
      <c r="W155" s="32"/>
      <c r="X155" s="32"/>
      <c r="Y155" s="32"/>
      <c r="Z155" s="32"/>
    </row>
    <row r="156" spans="1:26" s="213" customFormat="1">
      <c r="A156" s="220" t="s">
        <v>518</v>
      </c>
      <c r="B156" s="209">
        <f>COUNTA($B$1:B155)</f>
        <v>147</v>
      </c>
      <c r="C156" s="210" t="s">
        <v>921</v>
      </c>
      <c r="D156" s="210"/>
      <c r="E156" s="210"/>
      <c r="F156" s="209"/>
      <c r="G156" s="210" t="s">
        <v>125</v>
      </c>
      <c r="H156" s="210"/>
      <c r="I156" s="210" t="s">
        <v>55</v>
      </c>
      <c r="J156" s="210" t="s">
        <v>907</v>
      </c>
      <c r="K156" s="209">
        <v>0</v>
      </c>
      <c r="L156" s="210" t="s">
        <v>147</v>
      </c>
      <c r="M156" s="214"/>
      <c r="N156" s="210"/>
      <c r="O156" s="210"/>
      <c r="P156" s="210"/>
      <c r="Q156" s="210"/>
      <c r="R156" s="210"/>
      <c r="S156" s="210"/>
      <c r="T156" s="210"/>
      <c r="U156" s="210"/>
      <c r="V156" s="210"/>
      <c r="W156" s="210"/>
      <c r="X156" s="210"/>
      <c r="Y156" s="210"/>
      <c r="Z156" s="210"/>
    </row>
    <row r="157" spans="1:26" s="213" customFormat="1">
      <c r="A157" s="220" t="s">
        <v>518</v>
      </c>
      <c r="B157" s="209">
        <f>COUNTA($B$1:B156)</f>
        <v>148</v>
      </c>
      <c r="C157" s="210" t="s">
        <v>897</v>
      </c>
      <c r="D157" s="211"/>
      <c r="E157" s="212"/>
      <c r="F157" s="209"/>
      <c r="G157" s="210" t="s">
        <v>125</v>
      </c>
      <c r="H157" s="210"/>
      <c r="I157" s="210" t="s">
        <v>55</v>
      </c>
      <c r="J157" s="210" t="s">
        <v>898</v>
      </c>
      <c r="K157" s="209">
        <v>0</v>
      </c>
      <c r="L157" s="210" t="s">
        <v>98</v>
      </c>
      <c r="M157" s="210"/>
      <c r="N157" s="210" t="s">
        <v>99</v>
      </c>
      <c r="O157" s="210"/>
      <c r="P157" s="210"/>
      <c r="Q157" s="210"/>
      <c r="R157" s="210">
        <f>S130</f>
        <v>0</v>
      </c>
      <c r="S157" s="212"/>
      <c r="T157" s="210" t="s">
        <v>2</v>
      </c>
      <c r="U157" s="210"/>
      <c r="V157" s="210"/>
      <c r="W157" s="210"/>
      <c r="X157" s="212"/>
      <c r="Y157" s="212"/>
      <c r="Z157" s="212"/>
    </row>
    <row r="158" spans="1:26" s="213" customFormat="1">
      <c r="A158" s="220" t="s">
        <v>518</v>
      </c>
      <c r="B158" s="209">
        <f>COUNTA($B$1:B157)</f>
        <v>149</v>
      </c>
      <c r="C158" s="210" t="s">
        <v>297</v>
      </c>
      <c r="D158" s="215"/>
      <c r="E158" s="212"/>
      <c r="F158" s="209"/>
      <c r="G158" s="210" t="s">
        <v>125</v>
      </c>
      <c r="H158" s="210"/>
      <c r="I158" s="210" t="s">
        <v>55</v>
      </c>
      <c r="J158" s="210" t="s">
        <v>298</v>
      </c>
      <c r="K158" s="209">
        <v>0</v>
      </c>
      <c r="L158" s="210" t="s">
        <v>98</v>
      </c>
      <c r="M158" s="214"/>
      <c r="N158" s="210" t="s">
        <v>99</v>
      </c>
      <c r="O158" s="210"/>
      <c r="P158" s="210"/>
      <c r="Q158" s="210"/>
      <c r="R158" s="210">
        <f t="shared" ref="R158:R163" si="1">S131</f>
        <v>0</v>
      </c>
      <c r="S158" s="210"/>
      <c r="T158" s="210" t="s">
        <v>2</v>
      </c>
      <c r="U158" s="210"/>
      <c r="V158" s="210"/>
      <c r="W158" s="210"/>
      <c r="X158" s="210"/>
      <c r="Y158" s="210"/>
      <c r="Z158" s="210"/>
    </row>
    <row r="159" spans="1:26" s="213" customFormat="1">
      <c r="A159" s="220" t="s">
        <v>518</v>
      </c>
      <c r="B159" s="209">
        <f>COUNTA($B$1:B158)</f>
        <v>150</v>
      </c>
      <c r="C159" s="210" t="s">
        <v>299</v>
      </c>
      <c r="D159" s="215"/>
      <c r="E159" s="212"/>
      <c r="F159" s="209"/>
      <c r="G159" s="210" t="s">
        <v>125</v>
      </c>
      <c r="H159" s="210"/>
      <c r="I159" s="210" t="s">
        <v>55</v>
      </c>
      <c r="J159" s="210" t="s">
        <v>300</v>
      </c>
      <c r="K159" s="209">
        <v>0</v>
      </c>
      <c r="L159" s="210" t="s">
        <v>98</v>
      </c>
      <c r="M159" s="214"/>
      <c r="N159" s="210" t="s">
        <v>99</v>
      </c>
      <c r="O159" s="210"/>
      <c r="P159" s="210"/>
      <c r="Q159" s="210"/>
      <c r="R159" s="210">
        <f t="shared" si="1"/>
        <v>0</v>
      </c>
      <c r="S159" s="210"/>
      <c r="T159" s="210" t="s">
        <v>2</v>
      </c>
      <c r="U159" s="210"/>
      <c r="V159" s="210"/>
      <c r="W159" s="210"/>
      <c r="X159" s="210"/>
      <c r="Y159" s="210"/>
      <c r="Z159" s="210"/>
    </row>
    <row r="160" spans="1:26" s="213" customFormat="1">
      <c r="A160" s="220" t="s">
        <v>518</v>
      </c>
      <c r="B160" s="209">
        <f>COUNTA($B$1:B159)</f>
        <v>151</v>
      </c>
      <c r="C160" s="210" t="s">
        <v>903</v>
      </c>
      <c r="D160" s="215"/>
      <c r="E160" s="212"/>
      <c r="F160" s="209"/>
      <c r="G160" s="210" t="s">
        <v>125</v>
      </c>
      <c r="H160" s="210"/>
      <c r="I160" s="210" t="s">
        <v>55</v>
      </c>
      <c r="J160" s="210" t="s">
        <v>899</v>
      </c>
      <c r="K160" s="209">
        <v>0</v>
      </c>
      <c r="L160" s="210" t="s">
        <v>98</v>
      </c>
      <c r="M160" s="214"/>
      <c r="N160" s="210" t="s">
        <v>99</v>
      </c>
      <c r="O160" s="210"/>
      <c r="P160" s="210"/>
      <c r="Q160" s="210"/>
      <c r="R160" s="210">
        <f t="shared" si="1"/>
        <v>0</v>
      </c>
      <c r="S160" s="210"/>
      <c r="T160" s="210" t="s">
        <v>2</v>
      </c>
      <c r="U160" s="210"/>
      <c r="V160" s="210"/>
      <c r="W160" s="210"/>
      <c r="X160" s="210"/>
      <c r="Y160" s="210"/>
      <c r="Z160" s="210"/>
    </row>
    <row r="161" spans="1:26" s="213" customFormat="1">
      <c r="A161" s="220" t="s">
        <v>518</v>
      </c>
      <c r="B161" s="209">
        <f>COUNTA($B$1:B160)</f>
        <v>152</v>
      </c>
      <c r="C161" s="210" t="s">
        <v>923</v>
      </c>
      <c r="D161" s="215"/>
      <c r="E161" s="212"/>
      <c r="F161" s="209"/>
      <c r="G161" s="210" t="s">
        <v>125</v>
      </c>
      <c r="H161" s="210"/>
      <c r="I161" s="210" t="s">
        <v>55</v>
      </c>
      <c r="J161" s="210" t="s">
        <v>901</v>
      </c>
      <c r="K161" s="209">
        <v>0</v>
      </c>
      <c r="L161" s="210" t="s">
        <v>98</v>
      </c>
      <c r="M161" s="214"/>
      <c r="N161" s="210" t="s">
        <v>99</v>
      </c>
      <c r="O161" s="210"/>
      <c r="P161" s="210"/>
      <c r="Q161" s="210"/>
      <c r="R161" s="210">
        <f t="shared" si="1"/>
        <v>0</v>
      </c>
      <c r="S161" s="210"/>
      <c r="T161" s="210" t="s">
        <v>2</v>
      </c>
      <c r="U161" s="210"/>
      <c r="V161" s="210"/>
      <c r="W161" s="210"/>
      <c r="X161" s="210"/>
      <c r="Y161" s="210"/>
      <c r="Z161" s="210"/>
    </row>
    <row r="162" spans="1:26" s="213" customFormat="1">
      <c r="A162" s="220" t="s">
        <v>518</v>
      </c>
      <c r="B162" s="209">
        <f>COUNTA($B$1:B161)</f>
        <v>153</v>
      </c>
      <c r="C162" s="210" t="s">
        <v>301</v>
      </c>
      <c r="D162" s="215"/>
      <c r="E162" s="212"/>
      <c r="F162" s="209"/>
      <c r="G162" s="210" t="s">
        <v>125</v>
      </c>
      <c r="H162" s="210"/>
      <c r="I162" s="210" t="s">
        <v>55</v>
      </c>
      <c r="J162" s="210" t="s">
        <v>107</v>
      </c>
      <c r="K162" s="209">
        <v>0</v>
      </c>
      <c r="L162" s="210" t="s">
        <v>98</v>
      </c>
      <c r="M162" s="214"/>
      <c r="N162" s="210" t="s">
        <v>99</v>
      </c>
      <c r="O162" s="210"/>
      <c r="P162" s="210"/>
      <c r="Q162" s="210"/>
      <c r="R162" s="210">
        <f t="shared" si="1"/>
        <v>0</v>
      </c>
      <c r="S162" s="210"/>
      <c r="T162" s="210" t="s">
        <v>2</v>
      </c>
      <c r="U162" s="210"/>
      <c r="V162" s="210"/>
      <c r="W162" s="210"/>
      <c r="X162" s="210"/>
      <c r="Y162" s="210"/>
      <c r="Z162" s="210"/>
    </row>
    <row r="163" spans="1:26" s="213" customFormat="1">
      <c r="A163" s="220" t="s">
        <v>518</v>
      </c>
      <c r="B163" s="209">
        <f>COUNTA($B$1:B162)</f>
        <v>154</v>
      </c>
      <c r="C163" s="210" t="s">
        <v>924</v>
      </c>
      <c r="D163" s="215"/>
      <c r="E163" s="212"/>
      <c r="F163" s="209"/>
      <c r="G163" s="210" t="s">
        <v>125</v>
      </c>
      <c r="H163" s="210"/>
      <c r="I163" s="210" t="s">
        <v>55</v>
      </c>
      <c r="J163" s="210" t="s">
        <v>838</v>
      </c>
      <c r="K163" s="209">
        <v>0</v>
      </c>
      <c r="L163" s="210" t="s">
        <v>98</v>
      </c>
      <c r="M163" s="214"/>
      <c r="N163" s="210" t="s">
        <v>99</v>
      </c>
      <c r="O163" s="210"/>
      <c r="P163" s="210"/>
      <c r="Q163" s="210"/>
      <c r="R163" s="210">
        <f t="shared" si="1"/>
        <v>0</v>
      </c>
      <c r="S163" s="210"/>
      <c r="T163" s="210" t="s">
        <v>2</v>
      </c>
      <c r="U163" s="210"/>
      <c r="V163" s="210"/>
      <c r="W163" s="210"/>
      <c r="X163" s="210"/>
      <c r="Y163" s="210"/>
      <c r="Z163" s="210"/>
    </row>
    <row r="164" spans="1:26" s="213" customFormat="1">
      <c r="A164" s="220" t="s">
        <v>518</v>
      </c>
      <c r="B164" s="209">
        <f>COUNTA($B$1:B163)</f>
        <v>155</v>
      </c>
      <c r="C164" s="210" t="s">
        <v>909</v>
      </c>
      <c r="D164" s="211"/>
      <c r="E164" s="212" t="s">
        <v>154</v>
      </c>
      <c r="F164" s="209"/>
      <c r="G164" s="210" t="s">
        <v>125</v>
      </c>
      <c r="H164" s="210"/>
      <c r="I164" s="210" t="s">
        <v>55</v>
      </c>
      <c r="J164" s="210" t="s">
        <v>911</v>
      </c>
      <c r="K164" s="209">
        <v>0</v>
      </c>
      <c r="L164" s="210" t="s">
        <v>98</v>
      </c>
      <c r="M164" s="214"/>
      <c r="N164" s="210" t="s">
        <v>99</v>
      </c>
      <c r="O164" s="210"/>
      <c r="P164" s="210"/>
      <c r="Q164" s="210"/>
      <c r="R164" s="216"/>
      <c r="S164" s="212"/>
      <c r="T164" s="210"/>
      <c r="U164" s="210"/>
      <c r="V164" s="210"/>
      <c r="W164" s="210"/>
      <c r="X164" s="210"/>
      <c r="Y164" s="210"/>
      <c r="Z164" s="210"/>
    </row>
    <row r="165" spans="1:26" s="213" customFormat="1">
      <c r="A165" s="220" t="s">
        <v>518</v>
      </c>
      <c r="B165" s="209">
        <f>COUNTA($B$1:B164)</f>
        <v>156</v>
      </c>
      <c r="C165" s="210" t="s">
        <v>310</v>
      </c>
      <c r="D165" s="215"/>
      <c r="E165" s="212"/>
      <c r="F165" s="209"/>
      <c r="G165" s="210" t="s">
        <v>125</v>
      </c>
      <c r="H165" s="210"/>
      <c r="I165" s="210" t="s">
        <v>55</v>
      </c>
      <c r="J165" s="210" t="s">
        <v>574</v>
      </c>
      <c r="K165" s="209">
        <v>0</v>
      </c>
      <c r="L165" s="210" t="s">
        <v>98</v>
      </c>
      <c r="M165" s="214"/>
      <c r="N165" s="210" t="s">
        <v>99</v>
      </c>
      <c r="O165" s="210"/>
      <c r="P165" s="210"/>
      <c r="Q165" s="210"/>
      <c r="R165" s="210">
        <f>S152</f>
        <v>0</v>
      </c>
      <c r="S165" s="210"/>
      <c r="T165" s="210" t="s">
        <v>2</v>
      </c>
      <c r="U165" s="210"/>
      <c r="V165" s="210"/>
      <c r="W165" s="210"/>
      <c r="X165" s="210"/>
      <c r="Y165" s="210"/>
      <c r="Z165" s="210"/>
    </row>
    <row r="166" spans="1:26">
      <c r="A166" s="93" t="s">
        <v>518</v>
      </c>
      <c r="B166" s="94">
        <f>COUNTA($B$1:B165)</f>
        <v>157</v>
      </c>
      <c r="C166" s="95" t="s">
        <v>220</v>
      </c>
      <c r="D166" s="95"/>
      <c r="E166" s="95"/>
      <c r="F166" s="94"/>
      <c r="G166" s="95" t="s">
        <v>125</v>
      </c>
      <c r="H166" s="95"/>
      <c r="I166" s="95" t="s">
        <v>55</v>
      </c>
      <c r="J166" s="95" t="s">
        <v>221</v>
      </c>
      <c r="K166" s="94">
        <v>0</v>
      </c>
      <c r="L166" s="95" t="s">
        <v>0</v>
      </c>
      <c r="M166" s="82" t="s">
        <v>288</v>
      </c>
      <c r="N166" s="95"/>
      <c r="O166" s="95"/>
      <c r="P166" s="95"/>
      <c r="Q166" s="95"/>
      <c r="R166" s="105"/>
      <c r="S166" s="95"/>
      <c r="T166" s="95"/>
      <c r="U166" s="95"/>
      <c r="V166" s="95"/>
      <c r="W166" s="95"/>
      <c r="X166" s="95"/>
      <c r="Y166" s="95"/>
      <c r="Z166" s="95"/>
    </row>
    <row r="167" spans="1:26">
      <c r="A167" s="93" t="s">
        <v>518</v>
      </c>
      <c r="B167" s="94">
        <f>COUNTA($B$1:B166)</f>
        <v>158</v>
      </c>
      <c r="C167" s="95" t="s">
        <v>103</v>
      </c>
      <c r="D167" s="95"/>
      <c r="E167" s="95"/>
      <c r="F167" s="94"/>
      <c r="G167" s="95" t="s">
        <v>125</v>
      </c>
      <c r="H167" s="95"/>
      <c r="I167" s="95" t="s">
        <v>55</v>
      </c>
      <c r="J167" s="95" t="s">
        <v>105</v>
      </c>
      <c r="K167" s="94">
        <v>0</v>
      </c>
      <c r="L167" s="95" t="s">
        <v>0</v>
      </c>
      <c r="M167" s="82" t="s">
        <v>291</v>
      </c>
      <c r="N167" s="95"/>
      <c r="O167" s="95"/>
      <c r="P167" s="95"/>
      <c r="Q167" s="95"/>
      <c r="R167" s="105"/>
      <c r="S167" s="95"/>
      <c r="T167" s="95"/>
      <c r="U167" s="95"/>
      <c r="V167" s="95"/>
      <c r="W167" s="95"/>
      <c r="X167" s="95"/>
      <c r="Y167" s="95"/>
      <c r="Z167" s="95"/>
    </row>
    <row r="168" spans="1:26">
      <c r="A168" s="93" t="s">
        <v>518</v>
      </c>
      <c r="B168" s="94">
        <f>COUNTA($B$1:B167)</f>
        <v>159</v>
      </c>
      <c r="C168" s="95" t="s">
        <v>224</v>
      </c>
      <c r="D168" s="95"/>
      <c r="E168" s="95"/>
      <c r="F168" s="94"/>
      <c r="G168" s="95" t="s">
        <v>125</v>
      </c>
      <c r="H168" s="95"/>
      <c r="I168" s="95" t="s">
        <v>55</v>
      </c>
      <c r="J168" s="95" t="s">
        <v>83</v>
      </c>
      <c r="K168" s="94">
        <v>0</v>
      </c>
      <c r="L168" s="95" t="s">
        <v>0</v>
      </c>
      <c r="M168" s="82" t="s">
        <v>294</v>
      </c>
      <c r="N168" s="95"/>
      <c r="O168" s="95"/>
      <c r="P168" s="95"/>
      <c r="Q168" s="95"/>
      <c r="R168" s="105"/>
      <c r="S168" s="95"/>
      <c r="T168" s="95"/>
      <c r="U168" s="95"/>
      <c r="V168" s="95"/>
      <c r="W168" s="95"/>
      <c r="X168" s="95"/>
      <c r="Y168" s="95"/>
      <c r="Z168" s="95"/>
    </row>
    <row r="169" spans="1:26">
      <c r="A169" s="93" t="s">
        <v>518</v>
      </c>
      <c r="B169" s="94">
        <f>COUNTA($B$1:B168)</f>
        <v>160</v>
      </c>
      <c r="C169" s="95" t="s">
        <v>226</v>
      </c>
      <c r="D169" s="104"/>
      <c r="E169" s="105"/>
      <c r="F169" s="94"/>
      <c r="G169" s="95" t="s">
        <v>125</v>
      </c>
      <c r="H169" s="95"/>
      <c r="I169" s="95"/>
      <c r="J169" s="95"/>
      <c r="K169" s="94"/>
      <c r="L169" s="95" t="s">
        <v>227</v>
      </c>
      <c r="M169" s="96" t="s">
        <v>79</v>
      </c>
      <c r="N169" s="95"/>
      <c r="O169" s="95"/>
      <c r="P169" s="95"/>
      <c r="Q169" s="95"/>
      <c r="R169" s="95"/>
      <c r="S169" s="105"/>
      <c r="T169" s="95"/>
      <c r="U169" s="95"/>
      <c r="V169" s="95"/>
      <c r="W169" s="95"/>
      <c r="X169" s="105"/>
      <c r="Y169" s="105"/>
      <c r="Z169" s="105"/>
    </row>
    <row r="170" spans="1:26">
      <c r="A170" s="93" t="s">
        <v>518</v>
      </c>
      <c r="B170" s="94">
        <f>COUNTA($B$1:B169)</f>
        <v>161</v>
      </c>
      <c r="C170" s="95" t="s">
        <v>67</v>
      </c>
      <c r="D170" s="95"/>
      <c r="E170" s="95"/>
      <c r="F170" s="94"/>
      <c r="G170" s="95" t="s">
        <v>125</v>
      </c>
      <c r="H170" s="95"/>
      <c r="I170" s="95"/>
      <c r="J170" s="95"/>
      <c r="K170" s="94"/>
      <c r="L170" s="95" t="s">
        <v>67</v>
      </c>
      <c r="M170" s="96">
        <v>10</v>
      </c>
      <c r="N170" s="95"/>
      <c r="O170" s="95"/>
      <c r="P170" s="95"/>
      <c r="Q170" s="95"/>
      <c r="R170" s="96"/>
      <c r="S170" s="95"/>
      <c r="T170" s="95"/>
      <c r="U170" s="95"/>
      <c r="V170" s="95"/>
      <c r="W170" s="95"/>
      <c r="X170" s="95"/>
      <c r="Y170" s="95"/>
      <c r="Z170" s="95"/>
    </row>
    <row r="171" spans="1:26">
      <c r="A171" s="93" t="s">
        <v>518</v>
      </c>
      <c r="B171" s="94">
        <f>COUNTA($B$1:B170)</f>
        <v>162</v>
      </c>
      <c r="C171" s="95" t="s">
        <v>417</v>
      </c>
      <c r="D171" s="95"/>
      <c r="E171" s="95"/>
      <c r="F171" s="94"/>
      <c r="G171" s="95" t="s">
        <v>125</v>
      </c>
      <c r="H171" s="95"/>
      <c r="I171" s="95" t="s">
        <v>55</v>
      </c>
      <c r="J171" s="95" t="s">
        <v>418</v>
      </c>
      <c r="K171" s="94">
        <v>0</v>
      </c>
      <c r="L171" s="95" t="s">
        <v>147</v>
      </c>
      <c r="M171" s="96"/>
      <c r="N171" s="95"/>
      <c r="O171" s="95"/>
      <c r="P171" s="95"/>
      <c r="Q171" s="95"/>
      <c r="R171" s="95"/>
      <c r="S171" s="105"/>
      <c r="T171" s="95"/>
      <c r="U171" s="95"/>
      <c r="V171" s="95"/>
      <c r="W171" s="95"/>
      <c r="X171" s="105"/>
      <c r="Y171" s="105"/>
      <c r="Z171" s="105"/>
    </row>
    <row r="172" spans="1:26">
      <c r="A172" s="93" t="s">
        <v>518</v>
      </c>
      <c r="B172" s="94">
        <f>COUNTA($B$1:B171)</f>
        <v>163</v>
      </c>
      <c r="C172" s="95" t="s">
        <v>67</v>
      </c>
      <c r="D172" s="95"/>
      <c r="E172" s="95"/>
      <c r="F172" s="94"/>
      <c r="G172" s="95" t="s">
        <v>125</v>
      </c>
      <c r="H172" s="95"/>
      <c r="I172" s="95"/>
      <c r="J172" s="95"/>
      <c r="K172" s="94"/>
      <c r="L172" s="95" t="s">
        <v>67</v>
      </c>
      <c r="M172" s="96">
        <v>5</v>
      </c>
      <c r="N172" s="95"/>
      <c r="O172" s="95"/>
      <c r="P172" s="95"/>
      <c r="Q172" s="95"/>
      <c r="R172" s="96"/>
      <c r="S172" s="95"/>
      <c r="T172" s="95"/>
      <c r="U172" s="95"/>
      <c r="V172" s="95"/>
      <c r="W172" s="95"/>
      <c r="X172" s="95"/>
      <c r="Y172" s="95"/>
      <c r="Z172" s="95"/>
    </row>
    <row r="173" spans="1:26">
      <c r="A173" s="93" t="s">
        <v>518</v>
      </c>
      <c r="B173" s="94">
        <f>COUNTA($B$1:B172)</f>
        <v>164</v>
      </c>
      <c r="C173" s="95" t="s">
        <v>85</v>
      </c>
      <c r="D173" s="95"/>
      <c r="E173" s="95"/>
      <c r="F173" s="94"/>
      <c r="G173" s="95" t="s">
        <v>125</v>
      </c>
      <c r="H173" s="95"/>
      <c r="I173" s="95" t="s">
        <v>55</v>
      </c>
      <c r="J173" s="95" t="s">
        <v>87</v>
      </c>
      <c r="K173" s="94">
        <v>0</v>
      </c>
      <c r="L173" s="95" t="s">
        <v>147</v>
      </c>
      <c r="M173" s="96"/>
      <c r="N173" s="95"/>
      <c r="O173" s="95"/>
      <c r="P173" s="95"/>
      <c r="Q173" s="95"/>
      <c r="R173" s="96"/>
      <c r="S173" s="95"/>
      <c r="T173" s="95"/>
      <c r="U173" s="95"/>
      <c r="V173" s="95"/>
      <c r="W173" s="95"/>
      <c r="X173" s="95"/>
      <c r="Y173" s="95"/>
      <c r="Z173" s="95"/>
    </row>
    <row r="174" spans="1:26">
      <c r="A174" s="93" t="s">
        <v>518</v>
      </c>
      <c r="B174" s="94">
        <f>COUNTA($B$1:B173)</f>
        <v>165</v>
      </c>
      <c r="C174" s="95" t="s">
        <v>67</v>
      </c>
      <c r="D174" s="95"/>
      <c r="E174" s="95"/>
      <c r="F174" s="94"/>
      <c r="G174" s="95" t="s">
        <v>125</v>
      </c>
      <c r="H174" s="95"/>
      <c r="I174" s="95"/>
      <c r="J174" s="95"/>
      <c r="K174" s="94"/>
      <c r="L174" s="95" t="s">
        <v>67</v>
      </c>
      <c r="M174" s="96">
        <v>10</v>
      </c>
      <c r="N174" s="95"/>
      <c r="O174" s="95"/>
      <c r="P174" s="95"/>
      <c r="Q174" s="95"/>
      <c r="R174" s="96"/>
      <c r="S174" s="95"/>
      <c r="T174" s="95"/>
      <c r="U174" s="95"/>
      <c r="V174" s="95"/>
      <c r="W174" s="95"/>
      <c r="X174" s="95"/>
      <c r="Y174" s="95"/>
      <c r="Z174" s="95"/>
    </row>
    <row r="175" spans="1:26" s="180" customFormat="1">
      <c r="A175" s="93" t="s">
        <v>518</v>
      </c>
      <c r="B175" s="94">
        <f>COUNTA($B$1:B174)</f>
        <v>166</v>
      </c>
      <c r="C175" s="95" t="s">
        <v>805</v>
      </c>
      <c r="D175" s="104"/>
      <c r="E175" s="105"/>
      <c r="F175" s="94"/>
      <c r="G175" s="95" t="s">
        <v>125</v>
      </c>
      <c r="H175" s="95"/>
      <c r="I175" s="95" t="s">
        <v>55</v>
      </c>
      <c r="J175" s="95" t="s">
        <v>807</v>
      </c>
      <c r="K175" s="94"/>
      <c r="L175" s="95" t="s">
        <v>98</v>
      </c>
      <c r="M175" s="96"/>
      <c r="N175" s="95" t="s">
        <v>99</v>
      </c>
      <c r="O175" s="95"/>
      <c r="P175" s="95"/>
      <c r="Q175" s="95"/>
      <c r="R175" s="96" t="s">
        <v>806</v>
      </c>
      <c r="S175" s="95"/>
      <c r="T175" s="95" t="s">
        <v>2</v>
      </c>
      <c r="U175" s="95"/>
      <c r="V175" s="95"/>
      <c r="W175" s="95"/>
      <c r="X175" s="95"/>
      <c r="Y175" s="95"/>
      <c r="Z175" s="95"/>
    </row>
    <row r="176" spans="1:26">
      <c r="A176" s="93" t="s">
        <v>518</v>
      </c>
      <c r="B176" s="94">
        <f>COUNTA($B$1:B175)</f>
        <v>167</v>
      </c>
      <c r="C176" s="95" t="s">
        <v>228</v>
      </c>
      <c r="D176" s="95"/>
      <c r="E176" s="95"/>
      <c r="F176" s="94"/>
      <c r="G176" s="95" t="s">
        <v>125</v>
      </c>
      <c r="H176" s="95"/>
      <c r="I176" s="95" t="s">
        <v>55</v>
      </c>
      <c r="J176" s="95" t="s">
        <v>229</v>
      </c>
      <c r="K176" s="94">
        <v>0</v>
      </c>
      <c r="L176" s="95" t="s">
        <v>0</v>
      </c>
      <c r="M176" s="82" t="s">
        <v>230</v>
      </c>
      <c r="N176" s="95"/>
      <c r="O176" s="95"/>
      <c r="P176" s="95"/>
      <c r="Q176" s="95"/>
      <c r="R176" s="105"/>
      <c r="S176" s="95"/>
      <c r="T176" s="95"/>
      <c r="U176" s="95"/>
      <c r="V176" s="95"/>
      <c r="W176" s="95"/>
      <c r="X176" s="95"/>
      <c r="Y176" s="95"/>
      <c r="Z176" s="95"/>
    </row>
    <row r="177" spans="1:26">
      <c r="A177" s="93" t="s">
        <v>518</v>
      </c>
      <c r="B177" s="94">
        <f>COUNTA($B$1:B176)</f>
        <v>168</v>
      </c>
      <c r="C177" s="95" t="s">
        <v>89</v>
      </c>
      <c r="D177" s="95"/>
      <c r="E177" s="95"/>
      <c r="F177" s="94"/>
      <c r="G177" s="95" t="s">
        <v>125</v>
      </c>
      <c r="H177" s="95"/>
      <c r="I177" s="95" t="s">
        <v>55</v>
      </c>
      <c r="J177" s="95" t="s">
        <v>231</v>
      </c>
      <c r="K177" s="94">
        <v>0</v>
      </c>
      <c r="L177" s="95" t="s">
        <v>0</v>
      </c>
      <c r="M177" s="82" t="s">
        <v>816</v>
      </c>
      <c r="N177" s="95"/>
      <c r="O177" s="95"/>
      <c r="P177" s="95"/>
      <c r="Q177" s="95"/>
      <c r="R177" s="105"/>
      <c r="S177" s="95"/>
      <c r="T177" s="95"/>
      <c r="U177" s="95"/>
      <c r="V177" s="95"/>
      <c r="W177" s="95"/>
      <c r="X177" s="95"/>
      <c r="Y177" s="95"/>
      <c r="Z177" s="95"/>
    </row>
    <row r="178" spans="1:26" s="181" customFormat="1" outlineLevel="1">
      <c r="A178" s="93" t="s">
        <v>518</v>
      </c>
      <c r="B178" s="94">
        <f>COUNTA($B$1:B177)</f>
        <v>169</v>
      </c>
      <c r="C178" s="95" t="s">
        <v>232</v>
      </c>
      <c r="D178" s="95"/>
      <c r="E178" s="95"/>
      <c r="F178" s="94"/>
      <c r="G178" s="95" t="s">
        <v>125</v>
      </c>
      <c r="H178" s="95"/>
      <c r="I178" s="95" t="s">
        <v>55</v>
      </c>
      <c r="J178" s="95" t="s">
        <v>233</v>
      </c>
      <c r="K178" s="94">
        <v>0</v>
      </c>
      <c r="L178" s="95" t="s">
        <v>0</v>
      </c>
      <c r="M178" s="82" t="s">
        <v>818</v>
      </c>
      <c r="N178" s="95"/>
      <c r="O178" s="95"/>
      <c r="P178" s="95"/>
      <c r="Q178" s="95"/>
      <c r="R178" s="105"/>
      <c r="S178" s="95"/>
      <c r="T178" s="95"/>
      <c r="U178" s="95"/>
      <c r="V178" s="95"/>
      <c r="W178" s="95"/>
      <c r="X178" s="95"/>
      <c r="Y178" s="95"/>
      <c r="Z178" s="95"/>
    </row>
    <row r="179" spans="1:26">
      <c r="A179" s="93" t="s">
        <v>518</v>
      </c>
      <c r="B179" s="94">
        <f>COUNTA($B$1:B178)</f>
        <v>170</v>
      </c>
      <c r="C179" s="95" t="s">
        <v>235</v>
      </c>
      <c r="D179" s="95"/>
      <c r="E179" s="95"/>
      <c r="F179" s="94"/>
      <c r="G179" s="95" t="s">
        <v>125</v>
      </c>
      <c r="H179" s="95"/>
      <c r="I179" s="95" t="s">
        <v>55</v>
      </c>
      <c r="J179" s="95" t="s">
        <v>236</v>
      </c>
      <c r="K179" s="94">
        <v>0</v>
      </c>
      <c r="L179" s="95" t="s">
        <v>0</v>
      </c>
      <c r="M179" s="82" t="s">
        <v>282</v>
      </c>
      <c r="N179" s="95"/>
      <c r="O179" s="95"/>
      <c r="P179" s="95"/>
      <c r="Q179" s="95"/>
      <c r="R179" s="105"/>
      <c r="S179" s="95"/>
      <c r="T179" s="95"/>
      <c r="U179" s="95"/>
      <c r="V179" s="95"/>
      <c r="W179" s="95"/>
      <c r="X179" s="95"/>
      <c r="Y179" s="95"/>
      <c r="Z179" s="95"/>
    </row>
    <row r="180" spans="1:26">
      <c r="A180" s="93" t="s">
        <v>518</v>
      </c>
      <c r="B180" s="94">
        <f>COUNTA($B$1:B179)</f>
        <v>171</v>
      </c>
      <c r="C180" s="95" t="s">
        <v>238</v>
      </c>
      <c r="D180" s="95"/>
      <c r="E180" s="95"/>
      <c r="F180" s="94"/>
      <c r="G180" s="95" t="s">
        <v>125</v>
      </c>
      <c r="H180" s="95"/>
      <c r="I180" s="95" t="s">
        <v>55</v>
      </c>
      <c r="J180" s="95" t="s">
        <v>90</v>
      </c>
      <c r="K180" s="94">
        <v>0</v>
      </c>
      <c r="L180" s="95" t="s">
        <v>0</v>
      </c>
      <c r="M180" s="82" t="s">
        <v>283</v>
      </c>
      <c r="N180" s="95"/>
      <c r="O180" s="95"/>
      <c r="P180" s="95"/>
      <c r="Q180" s="95"/>
      <c r="R180" s="105"/>
      <c r="S180" s="95"/>
      <c r="T180" s="95"/>
      <c r="U180" s="95"/>
      <c r="V180" s="95"/>
      <c r="W180" s="95"/>
      <c r="X180" s="95"/>
      <c r="Y180" s="95"/>
      <c r="Z180" s="95"/>
    </row>
    <row r="181" spans="1:26">
      <c r="A181" s="93" t="s">
        <v>518</v>
      </c>
      <c r="B181" s="94">
        <f>COUNTA($B$1:B180)</f>
        <v>172</v>
      </c>
      <c r="C181" s="95" t="s">
        <v>523</v>
      </c>
      <c r="D181" s="95"/>
      <c r="E181" s="95"/>
      <c r="F181" s="94"/>
      <c r="G181" s="95" t="s">
        <v>125</v>
      </c>
      <c r="H181" s="95"/>
      <c r="I181" s="95" t="s">
        <v>55</v>
      </c>
      <c r="J181" s="95" t="s">
        <v>524</v>
      </c>
      <c r="K181" s="94">
        <v>0</v>
      </c>
      <c r="L181" s="95" t="s">
        <v>0</v>
      </c>
      <c r="M181" s="82" t="s">
        <v>525</v>
      </c>
      <c r="N181" s="95"/>
      <c r="O181" s="95"/>
      <c r="P181" s="95"/>
      <c r="Q181" s="95"/>
      <c r="R181" s="105"/>
      <c r="S181" s="95"/>
      <c r="T181" s="95"/>
      <c r="U181" s="95"/>
      <c r="V181" s="95"/>
      <c r="W181" s="95"/>
      <c r="X181" s="95"/>
      <c r="Y181" s="95"/>
      <c r="Z181" s="95"/>
    </row>
    <row r="182" spans="1:26">
      <c r="A182" s="93" t="s">
        <v>518</v>
      </c>
      <c r="B182" s="94">
        <f>COUNTA($B$1:B181)</f>
        <v>173</v>
      </c>
      <c r="C182" s="95" t="s">
        <v>226</v>
      </c>
      <c r="D182" s="104"/>
      <c r="E182" s="105"/>
      <c r="F182" s="94"/>
      <c r="G182" s="95" t="s">
        <v>125</v>
      </c>
      <c r="H182" s="95"/>
      <c r="I182" s="95"/>
      <c r="J182" s="95"/>
      <c r="K182" s="94"/>
      <c r="L182" s="95" t="s">
        <v>227</v>
      </c>
      <c r="M182" s="96" t="s">
        <v>79</v>
      </c>
      <c r="N182" s="95"/>
      <c r="O182" s="95"/>
      <c r="P182" s="95"/>
      <c r="Q182" s="95"/>
      <c r="R182" s="95"/>
      <c r="S182" s="95"/>
      <c r="T182" s="95"/>
      <c r="U182" s="95"/>
      <c r="V182" s="95"/>
      <c r="W182" s="95"/>
      <c r="X182" s="95"/>
      <c r="Y182" s="95"/>
      <c r="Z182" s="95"/>
    </row>
    <row r="183" spans="1:26" s="182" customFormat="1">
      <c r="A183" s="93" t="s">
        <v>518</v>
      </c>
      <c r="B183" s="94">
        <f>COUNTA($B$1:B182)</f>
        <v>174</v>
      </c>
      <c r="C183" s="95" t="s">
        <v>190</v>
      </c>
      <c r="D183" s="95"/>
      <c r="E183" s="95"/>
      <c r="F183" s="94"/>
      <c r="G183" s="95" t="s">
        <v>125</v>
      </c>
      <c r="H183" s="95"/>
      <c r="I183" s="95" t="s">
        <v>55</v>
      </c>
      <c r="J183" s="95" t="s">
        <v>87</v>
      </c>
      <c r="K183" s="94">
        <v>0</v>
      </c>
      <c r="L183" s="95" t="s">
        <v>147</v>
      </c>
      <c r="M183" s="96"/>
      <c r="N183" s="95"/>
      <c r="O183" s="95"/>
      <c r="P183" s="95"/>
      <c r="Q183" s="95"/>
      <c r="R183" s="95"/>
      <c r="S183" s="95"/>
      <c r="T183" s="95"/>
      <c r="U183" s="95"/>
      <c r="V183" s="95"/>
      <c r="W183" s="95"/>
      <c r="X183" s="95"/>
      <c r="Y183" s="95"/>
      <c r="Z183" s="95"/>
    </row>
    <row r="184" spans="1:26" s="180" customFormat="1">
      <c r="A184" s="93" t="s">
        <v>518</v>
      </c>
      <c r="B184" s="94">
        <f>COUNTA($B$1:B183)</f>
        <v>175</v>
      </c>
      <c r="C184" s="95" t="s">
        <v>67</v>
      </c>
      <c r="D184" s="95"/>
      <c r="E184" s="95"/>
      <c r="F184" s="94"/>
      <c r="G184" s="95" t="s">
        <v>125</v>
      </c>
      <c r="H184" s="95"/>
      <c r="I184" s="95"/>
      <c r="J184" s="95"/>
      <c r="K184" s="94"/>
      <c r="L184" s="95" t="s">
        <v>67</v>
      </c>
      <c r="M184" s="96">
        <v>10</v>
      </c>
      <c r="N184" s="95"/>
      <c r="O184" s="95"/>
      <c r="P184" s="95"/>
      <c r="Q184" s="95"/>
      <c r="R184" s="95"/>
      <c r="S184" s="95"/>
      <c r="T184" s="95"/>
      <c r="U184" s="95"/>
      <c r="V184" s="95"/>
      <c r="W184" s="95"/>
      <c r="X184" s="95"/>
      <c r="Y184" s="95"/>
      <c r="Z184" s="95"/>
    </row>
    <row r="185" spans="1:26" s="180" customFormat="1">
      <c r="A185" s="93" t="s">
        <v>518</v>
      </c>
      <c r="B185" s="94">
        <f>COUNTA($B$1:B184)</f>
        <v>176</v>
      </c>
      <c r="C185" s="95" t="s">
        <v>810</v>
      </c>
      <c r="D185" s="104"/>
      <c r="E185" s="105"/>
      <c r="F185" s="94"/>
      <c r="G185" s="95" t="s">
        <v>125</v>
      </c>
      <c r="H185" s="95"/>
      <c r="I185" s="95" t="s">
        <v>55</v>
      </c>
      <c r="J185" s="95" t="s">
        <v>807</v>
      </c>
      <c r="K185" s="94"/>
      <c r="L185" s="95" t="s">
        <v>98</v>
      </c>
      <c r="M185" s="96"/>
      <c r="N185" s="95" t="s">
        <v>99</v>
      </c>
      <c r="O185" s="95"/>
      <c r="P185" s="95"/>
      <c r="Q185" s="95"/>
      <c r="R185" s="96" t="s">
        <v>808</v>
      </c>
      <c r="S185" s="95"/>
      <c r="T185" s="95" t="s">
        <v>2</v>
      </c>
      <c r="U185" s="95"/>
      <c r="V185" s="95"/>
      <c r="W185" s="95"/>
      <c r="X185" s="95"/>
      <c r="Y185" s="95"/>
      <c r="Z185" s="95"/>
    </row>
    <row r="186" spans="1:26" s="181" customFormat="1" outlineLevel="1">
      <c r="A186" s="93" t="s">
        <v>518</v>
      </c>
      <c r="B186" s="94">
        <f>COUNTA($B$1:B185)</f>
        <v>177</v>
      </c>
      <c r="C186" s="95" t="s">
        <v>811</v>
      </c>
      <c r="D186" s="95"/>
      <c r="E186" s="95"/>
      <c r="F186" s="94"/>
      <c r="G186" s="95" t="s">
        <v>125</v>
      </c>
      <c r="H186" s="95"/>
      <c r="I186" s="95" t="s">
        <v>55</v>
      </c>
      <c r="J186" s="95" t="s">
        <v>233</v>
      </c>
      <c r="K186" s="94">
        <v>0</v>
      </c>
      <c r="L186" s="95" t="s">
        <v>0</v>
      </c>
      <c r="M186" s="82" t="s">
        <v>281</v>
      </c>
      <c r="N186" s="95"/>
      <c r="O186" s="95"/>
      <c r="P186" s="95"/>
      <c r="Q186" s="95"/>
      <c r="R186" s="105"/>
      <c r="S186" s="95"/>
      <c r="T186" s="95"/>
      <c r="U186" s="95"/>
      <c r="V186" s="95"/>
      <c r="W186" s="95"/>
      <c r="X186" s="95"/>
      <c r="Y186" s="95"/>
      <c r="Z186" s="95"/>
    </row>
    <row r="187" spans="1:26">
      <c r="A187" s="93" t="s">
        <v>518</v>
      </c>
      <c r="B187" s="94">
        <f>COUNTA($B$1:B186)</f>
        <v>178</v>
      </c>
      <c r="C187" s="95" t="s">
        <v>226</v>
      </c>
      <c r="D187" s="104"/>
      <c r="E187" s="105"/>
      <c r="F187" s="94"/>
      <c r="G187" s="95" t="s">
        <v>125</v>
      </c>
      <c r="H187" s="95"/>
      <c r="I187" s="95"/>
      <c r="J187" s="95"/>
      <c r="K187" s="94"/>
      <c r="L187" s="95" t="s">
        <v>227</v>
      </c>
      <c r="M187" s="96" t="s">
        <v>79</v>
      </c>
      <c r="N187" s="95"/>
      <c r="O187" s="95"/>
      <c r="P187" s="95"/>
      <c r="Q187" s="95"/>
      <c r="R187" s="95"/>
      <c r="S187" s="95"/>
      <c r="T187" s="95"/>
      <c r="U187" s="95"/>
      <c r="V187" s="95"/>
      <c r="W187" s="95"/>
      <c r="X187" s="95"/>
      <c r="Y187" s="95"/>
      <c r="Z187" s="95"/>
    </row>
    <row r="188" spans="1:26" s="182" customFormat="1">
      <c r="A188" s="93" t="s">
        <v>518</v>
      </c>
      <c r="B188" s="94">
        <f>COUNTA($B$1:B187)</f>
        <v>179</v>
      </c>
      <c r="C188" s="95" t="s">
        <v>190</v>
      </c>
      <c r="D188" s="95"/>
      <c r="E188" s="95"/>
      <c r="F188" s="94"/>
      <c r="G188" s="95" t="s">
        <v>125</v>
      </c>
      <c r="H188" s="95"/>
      <c r="I188" s="95" t="s">
        <v>55</v>
      </c>
      <c r="J188" s="95" t="s">
        <v>87</v>
      </c>
      <c r="K188" s="94">
        <v>0</v>
      </c>
      <c r="L188" s="95" t="s">
        <v>147</v>
      </c>
      <c r="M188" s="96"/>
      <c r="N188" s="95"/>
      <c r="O188" s="95"/>
      <c r="P188" s="95"/>
      <c r="Q188" s="95"/>
      <c r="R188" s="95"/>
      <c r="S188" s="95"/>
      <c r="T188" s="95"/>
      <c r="U188" s="95"/>
      <c r="V188" s="95"/>
      <c r="W188" s="95"/>
      <c r="X188" s="95"/>
      <c r="Y188" s="95"/>
      <c r="Z188" s="95"/>
    </row>
    <row r="189" spans="1:26" s="180" customFormat="1">
      <c r="A189" s="93" t="s">
        <v>518</v>
      </c>
      <c r="B189" s="94">
        <f>COUNTA($B$1:B188)</f>
        <v>180</v>
      </c>
      <c r="C189" s="95" t="s">
        <v>67</v>
      </c>
      <c r="D189" s="95"/>
      <c r="E189" s="95"/>
      <c r="F189" s="94"/>
      <c r="G189" s="95" t="s">
        <v>125</v>
      </c>
      <c r="H189" s="95"/>
      <c r="I189" s="95"/>
      <c r="J189" s="95"/>
      <c r="K189" s="94"/>
      <c r="L189" s="95" t="s">
        <v>67</v>
      </c>
      <c r="M189" s="96">
        <v>10</v>
      </c>
      <c r="N189" s="95"/>
      <c r="O189" s="95"/>
      <c r="P189" s="95"/>
      <c r="Q189" s="95"/>
      <c r="R189" s="95"/>
      <c r="S189" s="95"/>
      <c r="T189" s="95"/>
      <c r="U189" s="95"/>
      <c r="V189" s="95"/>
      <c r="W189" s="95"/>
      <c r="X189" s="95"/>
      <c r="Y189" s="95"/>
      <c r="Z189" s="95"/>
    </row>
    <row r="190" spans="1:26">
      <c r="A190" s="30" t="s">
        <v>91</v>
      </c>
      <c r="B190" s="31"/>
      <c r="C190" s="31"/>
      <c r="D190" s="32"/>
      <c r="E190" s="32"/>
      <c r="F190" s="31"/>
      <c r="G190" s="32"/>
      <c r="H190" s="32"/>
      <c r="I190" s="32"/>
      <c r="J190" s="32"/>
      <c r="K190" s="31"/>
      <c r="L190" s="32"/>
      <c r="M190" s="32"/>
      <c r="N190" s="32"/>
      <c r="O190" s="32"/>
      <c r="P190" s="32"/>
      <c r="Q190" s="32"/>
      <c r="R190" s="32"/>
      <c r="S190" s="32"/>
      <c r="T190" s="32"/>
      <c r="U190" s="32"/>
      <c r="V190" s="32"/>
      <c r="W190" s="32"/>
      <c r="X190" s="32"/>
      <c r="Y190" s="32"/>
      <c r="Z190" s="32"/>
    </row>
    <row r="191" spans="1:26">
      <c r="A191" s="93" t="s">
        <v>518</v>
      </c>
      <c r="B191" s="94">
        <f>COUNTA($B$1:B190)</f>
        <v>181</v>
      </c>
      <c r="C191" s="95" t="s">
        <v>295</v>
      </c>
      <c r="D191" s="108"/>
      <c r="E191" s="105"/>
      <c r="F191" s="94"/>
      <c r="G191" s="95" t="s">
        <v>125</v>
      </c>
      <c r="H191" s="95"/>
      <c r="I191" s="95" t="s">
        <v>55</v>
      </c>
      <c r="J191" s="95" t="s">
        <v>296</v>
      </c>
      <c r="K191" s="94">
        <v>0</v>
      </c>
      <c r="L191" s="95" t="s">
        <v>98</v>
      </c>
      <c r="M191" s="96"/>
      <c r="N191" s="95" t="s">
        <v>99</v>
      </c>
      <c r="O191" s="95"/>
      <c r="P191" s="95"/>
      <c r="Q191" s="95"/>
      <c r="R191" s="95" t="str">
        <f>TEXT(M106,"")</f>
        <v>Destination1</v>
      </c>
      <c r="S191" s="95"/>
      <c r="T191" s="95" t="s">
        <v>2</v>
      </c>
      <c r="U191" s="95"/>
      <c r="V191" s="95"/>
      <c r="W191" s="95"/>
      <c r="X191" s="95"/>
      <c r="Y191" s="95"/>
      <c r="Z191" s="95"/>
    </row>
    <row r="192" spans="1:26">
      <c r="A192" s="93" t="str">
        <f>IF(Global!B2="QA","Y","N")</f>
        <v>N</v>
      </c>
      <c r="B192" s="94">
        <f>COUNTA($B$1:B191)</f>
        <v>182</v>
      </c>
      <c r="C192" s="95" t="s">
        <v>297</v>
      </c>
      <c r="D192" s="108"/>
      <c r="E192" s="105"/>
      <c r="F192" s="94"/>
      <c r="G192" s="95" t="s">
        <v>125</v>
      </c>
      <c r="H192" s="95"/>
      <c r="I192" s="95" t="s">
        <v>55</v>
      </c>
      <c r="J192" s="95" t="s">
        <v>298</v>
      </c>
      <c r="K192" s="94">
        <v>2</v>
      </c>
      <c r="L192" s="95" t="s">
        <v>98</v>
      </c>
      <c r="M192" s="96"/>
      <c r="N192" s="95" t="s">
        <v>99</v>
      </c>
      <c r="O192" s="95"/>
      <c r="P192" s="95"/>
      <c r="Q192" s="95"/>
      <c r="R192" s="95" t="str">
        <f>TEXT(M109,"mm/dd/yyyy")</f>
        <v>DepDate1</v>
      </c>
      <c r="S192" s="95"/>
      <c r="T192" s="95" t="s">
        <v>2</v>
      </c>
      <c r="U192" s="95"/>
      <c r="V192" s="95"/>
      <c r="W192" s="95"/>
      <c r="X192" s="95"/>
      <c r="Y192" s="95"/>
      <c r="Z192" s="95"/>
    </row>
    <row r="193" spans="1:26">
      <c r="A193" s="93" t="str">
        <f>A192</f>
        <v>N</v>
      </c>
      <c r="B193" s="94">
        <f>COUNTA($B$1:B192)</f>
        <v>183</v>
      </c>
      <c r="C193" s="95" t="s">
        <v>299</v>
      </c>
      <c r="D193" s="108"/>
      <c r="E193" s="105"/>
      <c r="F193" s="94"/>
      <c r="G193" s="95" t="s">
        <v>125</v>
      </c>
      <c r="H193" s="95"/>
      <c r="I193" s="95" t="s">
        <v>55</v>
      </c>
      <c r="J193" s="95" t="s">
        <v>300</v>
      </c>
      <c r="K193" s="94">
        <v>2</v>
      </c>
      <c r="L193" s="95" t="s">
        <v>98</v>
      </c>
      <c r="M193" s="96"/>
      <c r="N193" s="95" t="s">
        <v>99</v>
      </c>
      <c r="O193" s="95"/>
      <c r="P193" s="95"/>
      <c r="Q193" s="95"/>
      <c r="R193" s="95" t="str">
        <f>TEXT(M110,"mm/dd/yyyy")</f>
        <v>RetDate1</v>
      </c>
      <c r="S193" s="95"/>
      <c r="T193" s="95" t="s">
        <v>2</v>
      </c>
      <c r="U193" s="95"/>
      <c r="V193" s="95"/>
      <c r="W193" s="95"/>
      <c r="X193" s="95"/>
      <c r="Y193" s="95"/>
      <c r="Z193" s="95"/>
    </row>
    <row r="194" spans="1:26">
      <c r="A194" s="93" t="str">
        <f t="shared" ref="A194:A195" si="2">A193</f>
        <v>N</v>
      </c>
      <c r="B194" s="94">
        <f>COUNTA($B$1:B193)</f>
        <v>184</v>
      </c>
      <c r="C194" s="95" t="s">
        <v>301</v>
      </c>
      <c r="D194" s="108"/>
      <c r="E194" s="105"/>
      <c r="F194" s="94"/>
      <c r="G194" s="95" t="s">
        <v>125</v>
      </c>
      <c r="H194" s="95"/>
      <c r="I194" s="95" t="s">
        <v>55</v>
      </c>
      <c r="J194" s="95" t="s">
        <v>107</v>
      </c>
      <c r="K194" s="94">
        <v>2</v>
      </c>
      <c r="L194" s="95" t="s">
        <v>98</v>
      </c>
      <c r="M194" s="96"/>
      <c r="N194" s="95" t="s">
        <v>99</v>
      </c>
      <c r="O194" s="95"/>
      <c r="P194" s="95"/>
      <c r="Q194" s="95"/>
      <c r="R194" s="95" t="s">
        <v>126</v>
      </c>
      <c r="S194" s="95"/>
      <c r="T194" s="95" t="s">
        <v>2</v>
      </c>
      <c r="U194" s="95"/>
      <c r="V194" s="95"/>
      <c r="W194" s="95"/>
      <c r="X194" s="95"/>
      <c r="Y194" s="95"/>
      <c r="Z194" s="95"/>
    </row>
    <row r="195" spans="1:26">
      <c r="A195" s="93" t="str">
        <f t="shared" si="2"/>
        <v>N</v>
      </c>
      <c r="B195" s="94">
        <f>COUNTA($B$1:B194)</f>
        <v>185</v>
      </c>
      <c r="C195" s="95" t="s">
        <v>511</v>
      </c>
      <c r="D195" s="104"/>
      <c r="E195" s="105" t="s">
        <v>154</v>
      </c>
      <c r="F195" s="94"/>
      <c r="G195" s="95" t="s">
        <v>125</v>
      </c>
      <c r="H195" s="95"/>
      <c r="I195" s="95" t="s">
        <v>55</v>
      </c>
      <c r="J195" s="95" t="s">
        <v>512</v>
      </c>
      <c r="K195" s="94">
        <v>0</v>
      </c>
      <c r="L195" s="95" t="s">
        <v>98</v>
      </c>
      <c r="M195" s="96"/>
      <c r="N195" s="95" t="s">
        <v>99</v>
      </c>
      <c r="O195" s="95"/>
      <c r="P195" s="95"/>
      <c r="Q195" s="95"/>
      <c r="R195" s="109" t="s">
        <v>532</v>
      </c>
      <c r="S195" s="105"/>
      <c r="T195" s="95" t="s">
        <v>2</v>
      </c>
      <c r="U195" s="95"/>
      <c r="V195" s="95"/>
      <c r="W195" s="95"/>
      <c r="X195" s="95"/>
      <c r="Y195" s="95"/>
      <c r="Z195" s="95"/>
    </row>
    <row r="196" spans="1:26">
      <c r="A196" s="93" t="str">
        <f>IF(OR(Global!B2="UAT",Global!B2="PROD"),"Y","N")</f>
        <v>Y</v>
      </c>
      <c r="B196" s="94">
        <f>COUNTA($B$1:B195)</f>
        <v>186</v>
      </c>
      <c r="C196" s="95" t="s">
        <v>297</v>
      </c>
      <c r="D196" s="108"/>
      <c r="E196" s="105"/>
      <c r="F196" s="94"/>
      <c r="G196" s="95" t="s">
        <v>125</v>
      </c>
      <c r="H196" s="95"/>
      <c r="I196" s="95" t="s">
        <v>55</v>
      </c>
      <c r="J196" s="95" t="s">
        <v>824</v>
      </c>
      <c r="K196" s="94">
        <v>0</v>
      </c>
      <c r="L196" s="95" t="s">
        <v>98</v>
      </c>
      <c r="M196" s="96"/>
      <c r="N196" s="95" t="s">
        <v>99</v>
      </c>
      <c r="O196" s="95"/>
      <c r="P196" s="95"/>
      <c r="Q196" s="95"/>
      <c r="R196" s="95" t="str">
        <f>TEXT(M109,"mm/dd/yyyy")</f>
        <v>DepDate1</v>
      </c>
      <c r="S196" s="95"/>
      <c r="T196" s="95" t="s">
        <v>2</v>
      </c>
      <c r="U196" s="95"/>
      <c r="V196" s="95"/>
      <c r="W196" s="95"/>
      <c r="X196" s="95"/>
      <c r="Y196" s="95"/>
      <c r="Z196" s="95"/>
    </row>
    <row r="197" spans="1:26">
      <c r="A197" s="93" t="str">
        <f>A196</f>
        <v>Y</v>
      </c>
      <c r="B197" s="94">
        <f>COUNTA($B$1:B196)</f>
        <v>187</v>
      </c>
      <c r="C197" s="95" t="s">
        <v>299</v>
      </c>
      <c r="D197" s="108"/>
      <c r="E197" s="105"/>
      <c r="F197" s="94"/>
      <c r="G197" s="95" t="s">
        <v>125</v>
      </c>
      <c r="H197" s="95"/>
      <c r="I197" s="95" t="s">
        <v>55</v>
      </c>
      <c r="J197" s="95" t="s">
        <v>825</v>
      </c>
      <c r="K197" s="94">
        <v>0</v>
      </c>
      <c r="L197" s="95" t="s">
        <v>98</v>
      </c>
      <c r="M197" s="96"/>
      <c r="N197" s="95" t="s">
        <v>99</v>
      </c>
      <c r="O197" s="95"/>
      <c r="P197" s="95"/>
      <c r="Q197" s="95"/>
      <c r="R197" s="95" t="str">
        <f>TEXT(M110,"mm/dd/yyyy")</f>
        <v>RetDate1</v>
      </c>
      <c r="S197" s="95"/>
      <c r="T197" s="95" t="s">
        <v>2</v>
      </c>
      <c r="U197" s="95"/>
      <c r="V197" s="95"/>
      <c r="W197" s="95"/>
      <c r="X197" s="95"/>
      <c r="Y197" s="95"/>
      <c r="Z197" s="95"/>
    </row>
    <row r="198" spans="1:26">
      <c r="A198" s="93" t="str">
        <f t="shared" ref="A198:A199" si="3">A197</f>
        <v>Y</v>
      </c>
      <c r="B198" s="94">
        <f>COUNTA($B$1:B197)</f>
        <v>188</v>
      </c>
      <c r="C198" s="95" t="s">
        <v>301</v>
      </c>
      <c r="D198" s="108"/>
      <c r="E198" s="105"/>
      <c r="F198" s="94"/>
      <c r="G198" s="95" t="s">
        <v>125</v>
      </c>
      <c r="H198" s="95"/>
      <c r="I198" s="95" t="s">
        <v>55</v>
      </c>
      <c r="J198" s="95" t="s">
        <v>826</v>
      </c>
      <c r="K198" s="94">
        <v>0</v>
      </c>
      <c r="L198" s="95" t="s">
        <v>98</v>
      </c>
      <c r="M198" s="96"/>
      <c r="N198" s="95" t="s">
        <v>99</v>
      </c>
      <c r="O198" s="95"/>
      <c r="P198" s="95"/>
      <c r="Q198" s="95"/>
      <c r="R198" s="95" t="s">
        <v>126</v>
      </c>
      <c r="S198" s="95"/>
      <c r="T198" s="95" t="s">
        <v>2</v>
      </c>
      <c r="U198" s="95"/>
      <c r="V198" s="95"/>
      <c r="W198" s="95"/>
      <c r="X198" s="95"/>
      <c r="Y198" s="95"/>
      <c r="Z198" s="95"/>
    </row>
    <row r="199" spans="1:26">
      <c r="A199" s="93" t="str">
        <f t="shared" si="3"/>
        <v>Y</v>
      </c>
      <c r="B199" s="94">
        <f>COUNTA($B$1:B198)</f>
        <v>189</v>
      </c>
      <c r="C199" s="95" t="s">
        <v>511</v>
      </c>
      <c r="D199" s="104"/>
      <c r="E199" s="105" t="s">
        <v>154</v>
      </c>
      <c r="F199" s="94"/>
      <c r="G199" s="95" t="s">
        <v>125</v>
      </c>
      <c r="H199" s="95"/>
      <c r="I199" s="95" t="s">
        <v>55</v>
      </c>
      <c r="J199" s="95" t="s">
        <v>512</v>
      </c>
      <c r="K199" s="94">
        <v>0</v>
      </c>
      <c r="L199" s="95" t="s">
        <v>98</v>
      </c>
      <c r="M199" s="96"/>
      <c r="N199" s="95" t="s">
        <v>99</v>
      </c>
      <c r="O199" s="95"/>
      <c r="P199" s="95"/>
      <c r="Q199" s="95"/>
      <c r="R199" s="109" t="s">
        <v>532</v>
      </c>
      <c r="S199" s="105"/>
      <c r="T199" s="95" t="s">
        <v>2</v>
      </c>
      <c r="U199" s="95"/>
      <c r="V199" s="95"/>
      <c r="W199" s="95"/>
      <c r="X199" s="95"/>
      <c r="Y199" s="95"/>
      <c r="Z199" s="95"/>
    </row>
    <row r="200" spans="1:26">
      <c r="A200" s="93" t="s">
        <v>518</v>
      </c>
      <c r="B200" s="94">
        <f>COUNTA($B$1:B199)</f>
        <v>190</v>
      </c>
      <c r="C200" s="95" t="s">
        <v>310</v>
      </c>
      <c r="D200" s="104"/>
      <c r="E200" s="105"/>
      <c r="F200" s="94"/>
      <c r="G200" s="95" t="s">
        <v>125</v>
      </c>
      <c r="H200" s="95"/>
      <c r="I200" s="95" t="s">
        <v>55</v>
      </c>
      <c r="J200" s="95" t="s">
        <v>311</v>
      </c>
      <c r="K200" s="94">
        <v>0</v>
      </c>
      <c r="L200" s="95" t="s">
        <v>98</v>
      </c>
      <c r="M200" s="96"/>
      <c r="N200" s="95" t="s">
        <v>99</v>
      </c>
      <c r="O200" s="95"/>
      <c r="P200" s="95"/>
      <c r="Q200" s="95"/>
      <c r="R200" s="96"/>
      <c r="S200" s="95"/>
      <c r="T200" s="95"/>
      <c r="U200" s="95"/>
      <c r="V200" s="95"/>
      <c r="W200" s="95"/>
      <c r="X200" s="95"/>
      <c r="Y200" s="95"/>
      <c r="Z200" s="95"/>
    </row>
    <row r="201" spans="1:26">
      <c r="A201" s="93" t="s">
        <v>518</v>
      </c>
      <c r="B201" s="94">
        <f>COUNTA($B$1:B200)</f>
        <v>191</v>
      </c>
      <c r="C201" s="95" t="s">
        <v>67</v>
      </c>
      <c r="D201" s="95"/>
      <c r="E201" s="95"/>
      <c r="F201" s="94"/>
      <c r="G201" s="95" t="s">
        <v>125</v>
      </c>
      <c r="H201" s="95"/>
      <c r="I201" s="95"/>
      <c r="J201" s="95"/>
      <c r="K201" s="94"/>
      <c r="L201" s="95" t="s">
        <v>67</v>
      </c>
      <c r="M201" s="96">
        <v>2</v>
      </c>
      <c r="N201" s="95"/>
      <c r="O201" s="95"/>
      <c r="P201" s="95"/>
      <c r="Q201" s="95"/>
      <c r="R201" s="96"/>
      <c r="S201" s="95"/>
      <c r="T201" s="95"/>
      <c r="U201" s="95"/>
      <c r="V201" s="95"/>
      <c r="W201" s="95"/>
      <c r="X201" s="95"/>
      <c r="Y201" s="95"/>
      <c r="Z201" s="95"/>
    </row>
    <row r="202" spans="1:26">
      <c r="A202" s="93" t="s">
        <v>518</v>
      </c>
      <c r="B202" s="94">
        <f>COUNTA($B$1:B201)</f>
        <v>192</v>
      </c>
      <c r="C202" s="95" t="s">
        <v>93</v>
      </c>
      <c r="D202" s="95"/>
      <c r="E202" s="95"/>
      <c r="F202" s="94"/>
      <c r="G202" s="95" t="s">
        <v>125</v>
      </c>
      <c r="H202" s="95"/>
      <c r="I202" s="95" t="s">
        <v>55</v>
      </c>
      <c r="J202" s="95" t="s">
        <v>92</v>
      </c>
      <c r="K202" s="94">
        <v>0</v>
      </c>
      <c r="L202" s="95" t="s">
        <v>0</v>
      </c>
      <c r="M202" s="82" t="s">
        <v>261</v>
      </c>
      <c r="N202" s="95"/>
      <c r="O202" s="95"/>
      <c r="P202" s="95"/>
      <c r="Q202" s="95"/>
      <c r="R202" s="105"/>
      <c r="S202" s="95"/>
      <c r="T202" s="95"/>
      <c r="U202" s="95"/>
      <c r="V202" s="95"/>
      <c r="W202" s="95"/>
      <c r="X202" s="95"/>
      <c r="Y202" s="95"/>
      <c r="Z202" s="95"/>
    </row>
    <row r="203" spans="1:26">
      <c r="A203" s="93" t="s">
        <v>518</v>
      </c>
      <c r="B203" s="94">
        <f>COUNTA($B$1:B202)</f>
        <v>193</v>
      </c>
      <c r="C203" s="95" t="s">
        <v>262</v>
      </c>
      <c r="D203" s="95"/>
      <c r="E203" s="95"/>
      <c r="F203" s="94"/>
      <c r="G203" s="95" t="s">
        <v>125</v>
      </c>
      <c r="H203" s="95"/>
      <c r="I203" s="95"/>
      <c r="J203" s="95"/>
      <c r="K203" s="94">
        <v>2</v>
      </c>
      <c r="L203" s="95" t="s">
        <v>95</v>
      </c>
      <c r="M203" s="95"/>
      <c r="N203" s="95"/>
      <c r="O203" s="95"/>
      <c r="P203" s="95"/>
      <c r="Q203" s="95"/>
      <c r="R203" s="105"/>
      <c r="S203" s="95"/>
      <c r="T203" s="95"/>
      <c r="U203" s="95"/>
      <c r="V203" s="95"/>
      <c r="W203" s="95"/>
      <c r="X203" s="95"/>
      <c r="Y203" s="95"/>
      <c r="Z203" s="95"/>
    </row>
    <row r="204" spans="1:26">
      <c r="A204" s="93" t="s">
        <v>518</v>
      </c>
      <c r="B204" s="94">
        <f>COUNTA($B$1:B203)</f>
        <v>194</v>
      </c>
      <c r="C204" s="95" t="s">
        <v>94</v>
      </c>
      <c r="D204" s="95"/>
      <c r="E204" s="95"/>
      <c r="F204" s="94"/>
      <c r="G204" s="95" t="s">
        <v>125</v>
      </c>
      <c r="H204" s="95"/>
      <c r="I204" s="95" t="s">
        <v>55</v>
      </c>
      <c r="J204" s="95" t="s">
        <v>263</v>
      </c>
      <c r="K204" s="94">
        <v>0</v>
      </c>
      <c r="L204" s="95" t="s">
        <v>0</v>
      </c>
      <c r="M204" s="82" t="s">
        <v>264</v>
      </c>
      <c r="N204" s="95"/>
      <c r="O204" s="95"/>
      <c r="P204" s="95"/>
      <c r="Q204" s="95"/>
      <c r="R204" s="105"/>
      <c r="S204" s="95"/>
      <c r="T204" s="95"/>
      <c r="U204" s="95"/>
      <c r="V204" s="95"/>
      <c r="W204" s="95"/>
      <c r="X204" s="95"/>
      <c r="Y204" s="95"/>
      <c r="Z204" s="95"/>
    </row>
    <row r="205" spans="1:26">
      <c r="A205" s="93" t="s">
        <v>518</v>
      </c>
      <c r="B205" s="94">
        <f>COUNTA($B$1:B204)</f>
        <v>195</v>
      </c>
      <c r="C205" s="95" t="s">
        <v>262</v>
      </c>
      <c r="D205" s="95"/>
      <c r="E205" s="95"/>
      <c r="F205" s="94"/>
      <c r="G205" s="95" t="s">
        <v>125</v>
      </c>
      <c r="H205" s="95"/>
      <c r="I205" s="95"/>
      <c r="J205" s="95"/>
      <c r="K205" s="94">
        <v>0</v>
      </c>
      <c r="L205" s="95" t="s">
        <v>96</v>
      </c>
      <c r="M205" s="95"/>
      <c r="N205" s="95"/>
      <c r="O205" s="95"/>
      <c r="P205" s="95"/>
      <c r="Q205" s="95"/>
      <c r="R205" s="105"/>
      <c r="S205" s="95"/>
      <c r="T205" s="95"/>
      <c r="U205" s="95"/>
      <c r="V205" s="95"/>
      <c r="W205" s="95"/>
      <c r="X205" s="95"/>
      <c r="Y205" s="95"/>
      <c r="Z205" s="95"/>
    </row>
    <row r="206" spans="1:26">
      <c r="A206" s="93" t="s">
        <v>518</v>
      </c>
      <c r="B206" s="94">
        <f>COUNTA($B$1:B205)</f>
        <v>196</v>
      </c>
      <c r="C206" s="95" t="s">
        <v>262</v>
      </c>
      <c r="D206" s="95"/>
      <c r="E206" s="95"/>
      <c r="F206" s="94"/>
      <c r="G206" s="95" t="s">
        <v>125</v>
      </c>
      <c r="H206" s="95"/>
      <c r="I206" s="95"/>
      <c r="J206" s="95"/>
      <c r="K206" s="94">
        <v>2</v>
      </c>
      <c r="L206" s="95" t="s">
        <v>95</v>
      </c>
      <c r="M206" s="95"/>
      <c r="N206" s="95"/>
      <c r="O206" s="95"/>
      <c r="P206" s="95"/>
      <c r="Q206" s="95"/>
      <c r="R206" s="105"/>
      <c r="S206" s="95"/>
      <c r="T206" s="95"/>
      <c r="U206" s="95"/>
      <c r="V206" s="95"/>
      <c r="W206" s="95"/>
      <c r="X206" s="95"/>
      <c r="Y206" s="95"/>
      <c r="Z206" s="95"/>
    </row>
    <row r="207" spans="1:26">
      <c r="A207" s="231" t="s">
        <v>21</v>
      </c>
      <c r="B207" s="232">
        <f>COUNTA($B$1:B206)</f>
        <v>197</v>
      </c>
      <c r="C207" s="233" t="s">
        <v>226</v>
      </c>
      <c r="D207" s="104"/>
      <c r="E207" s="105"/>
      <c r="F207" s="94"/>
      <c r="G207" s="95" t="s">
        <v>125</v>
      </c>
      <c r="H207" s="95"/>
      <c r="I207" s="95"/>
      <c r="J207" s="95"/>
      <c r="K207" s="94"/>
      <c r="L207" s="95" t="s">
        <v>227</v>
      </c>
      <c r="M207" s="96" t="s">
        <v>79</v>
      </c>
      <c r="N207" s="95"/>
      <c r="O207" s="95"/>
      <c r="P207" s="95"/>
      <c r="Q207" s="95"/>
      <c r="R207" s="95"/>
      <c r="S207" s="95"/>
      <c r="T207" s="95"/>
      <c r="U207" s="95"/>
      <c r="V207" s="95"/>
      <c r="W207" s="95"/>
      <c r="X207" s="95"/>
      <c r="Y207" s="95"/>
      <c r="Z207" s="95"/>
    </row>
    <row r="208" spans="1:26">
      <c r="A208" s="231" t="s">
        <v>21</v>
      </c>
      <c r="B208" s="232">
        <f>COUNTA($B$1:B207)</f>
        <v>198</v>
      </c>
      <c r="C208" s="233" t="s">
        <v>265</v>
      </c>
      <c r="D208" s="95"/>
      <c r="E208" s="95"/>
      <c r="F208" s="94"/>
      <c r="G208" s="95" t="s">
        <v>125</v>
      </c>
      <c r="H208" s="95"/>
      <c r="I208" s="95"/>
      <c r="J208" s="95"/>
      <c r="K208" s="94"/>
      <c r="L208" s="95" t="s">
        <v>227</v>
      </c>
      <c r="M208" s="82" t="s">
        <v>266</v>
      </c>
      <c r="N208" s="95"/>
      <c r="O208" s="95"/>
      <c r="P208" s="95"/>
      <c r="Q208" s="95"/>
      <c r="R208" s="105"/>
      <c r="S208" s="95"/>
      <c r="T208" s="95"/>
      <c r="U208" s="95"/>
      <c r="V208" s="95"/>
      <c r="W208" s="95"/>
      <c r="X208" s="95"/>
      <c r="Y208" s="95"/>
      <c r="Z208" s="95"/>
    </row>
    <row r="209" spans="1:26">
      <c r="A209" s="231" t="s">
        <v>21</v>
      </c>
      <c r="B209" s="232">
        <f>COUNTA($B$1:B208)</f>
        <v>199</v>
      </c>
      <c r="C209" s="233" t="s">
        <v>267</v>
      </c>
      <c r="D209" s="95"/>
      <c r="E209" s="95"/>
      <c r="F209" s="94"/>
      <c r="G209" s="95" t="s">
        <v>125</v>
      </c>
      <c r="H209" s="95"/>
      <c r="I209" s="95"/>
      <c r="J209" s="95"/>
      <c r="K209" s="94"/>
      <c r="L209" s="95" t="s">
        <v>227</v>
      </c>
      <c r="M209" s="82" t="s">
        <v>268</v>
      </c>
      <c r="N209" s="95"/>
      <c r="O209" s="95"/>
      <c r="P209" s="95"/>
      <c r="Q209" s="95"/>
      <c r="R209" s="105"/>
      <c r="S209" s="95"/>
      <c r="T209" s="95"/>
      <c r="U209" s="95"/>
      <c r="V209" s="95"/>
      <c r="W209" s="95"/>
      <c r="X209" s="95"/>
      <c r="Y209" s="95"/>
      <c r="Z209" s="95"/>
    </row>
    <row r="210" spans="1:26">
      <c r="A210" s="231" t="s">
        <v>21</v>
      </c>
      <c r="B210" s="232">
        <f>COUNTA($B$1:B209)</f>
        <v>200</v>
      </c>
      <c r="C210" s="233" t="s">
        <v>226</v>
      </c>
      <c r="D210" s="104"/>
      <c r="E210" s="105"/>
      <c r="F210" s="94"/>
      <c r="G210" s="95" t="s">
        <v>125</v>
      </c>
      <c r="H210" s="95"/>
      <c r="I210" s="95"/>
      <c r="J210" s="95"/>
      <c r="K210" s="94"/>
      <c r="L210" s="95" t="s">
        <v>227</v>
      </c>
      <c r="M210" s="96" t="s">
        <v>79</v>
      </c>
      <c r="N210" s="95"/>
      <c r="O210" s="95"/>
      <c r="P210" s="95"/>
      <c r="Q210" s="95"/>
      <c r="R210" s="95"/>
      <c r="S210" s="95"/>
      <c r="T210" s="95"/>
      <c r="U210" s="95"/>
      <c r="V210" s="95"/>
      <c r="W210" s="95"/>
      <c r="X210" s="95"/>
      <c r="Y210" s="95"/>
      <c r="Z210" s="95"/>
    </row>
    <row r="211" spans="1:26" s="19" customFormat="1" outlineLevel="1">
      <c r="A211" s="33" t="s">
        <v>518</v>
      </c>
      <c r="B211" s="34">
        <f>COUNTA($B$1:B210)</f>
        <v>201</v>
      </c>
      <c r="C211" s="35" t="s">
        <v>948</v>
      </c>
      <c r="D211" s="35"/>
      <c r="E211" s="35"/>
      <c r="F211" s="34"/>
      <c r="G211" s="35" t="s">
        <v>125</v>
      </c>
      <c r="H211" s="35"/>
      <c r="I211" s="35" t="s">
        <v>55</v>
      </c>
      <c r="J211" s="35" t="s">
        <v>949</v>
      </c>
      <c r="K211" s="34">
        <v>0</v>
      </c>
      <c r="L211" s="35" t="s">
        <v>34</v>
      </c>
      <c r="M211" s="35"/>
      <c r="N211" s="35"/>
      <c r="O211" s="35"/>
      <c r="P211" s="35"/>
      <c r="Q211" s="35"/>
      <c r="R211" s="35"/>
      <c r="S211" s="35"/>
      <c r="T211" s="35"/>
      <c r="U211" s="35"/>
      <c r="V211" s="35"/>
      <c r="W211" s="35"/>
      <c r="X211" s="35"/>
      <c r="Y211" s="35"/>
      <c r="Z211" s="35"/>
    </row>
    <row r="212" spans="1:26" s="19" customFormat="1" outlineLevel="1">
      <c r="A212" s="33" t="s">
        <v>518</v>
      </c>
      <c r="B212" s="34">
        <f>COUNTA($B$1:B211)</f>
        <v>202</v>
      </c>
      <c r="C212" s="35" t="s">
        <v>67</v>
      </c>
      <c r="D212" s="35"/>
      <c r="E212" s="35"/>
      <c r="F212" s="34"/>
      <c r="G212" s="35" t="s">
        <v>125</v>
      </c>
      <c r="H212" s="35"/>
      <c r="I212" s="35"/>
      <c r="J212" s="35"/>
      <c r="K212" s="34"/>
      <c r="L212" s="35" t="s">
        <v>67</v>
      </c>
      <c r="M212" s="36">
        <v>2</v>
      </c>
      <c r="N212" s="35"/>
      <c r="O212" s="35"/>
      <c r="P212" s="35"/>
      <c r="Q212" s="35"/>
      <c r="R212" s="35"/>
      <c r="S212" s="35"/>
      <c r="T212" s="35"/>
      <c r="U212" s="35"/>
      <c r="V212" s="35"/>
      <c r="W212" s="35"/>
      <c r="X212" s="35"/>
      <c r="Y212" s="35"/>
      <c r="Z212" s="35"/>
    </row>
    <row r="213" spans="1:26" s="19" customFormat="1" outlineLevel="1">
      <c r="A213" s="33" t="s">
        <v>518</v>
      </c>
      <c r="B213" s="34">
        <f>COUNTA($B$1:B212)</f>
        <v>203</v>
      </c>
      <c r="C213" s="35" t="s">
        <v>952</v>
      </c>
      <c r="D213" s="35"/>
      <c r="E213" s="35"/>
      <c r="F213" s="34"/>
      <c r="G213" s="35" t="s">
        <v>125</v>
      </c>
      <c r="H213" s="35"/>
      <c r="I213" s="35" t="s">
        <v>55</v>
      </c>
      <c r="J213" s="35" t="s">
        <v>949</v>
      </c>
      <c r="K213" s="34">
        <v>0</v>
      </c>
      <c r="L213" s="35" t="s">
        <v>951</v>
      </c>
      <c r="M213" s="50" t="s">
        <v>266</v>
      </c>
      <c r="N213" s="35"/>
      <c r="O213" s="35"/>
      <c r="P213" s="35"/>
      <c r="Q213" s="35"/>
      <c r="R213" s="35"/>
      <c r="S213" s="35"/>
      <c r="T213" s="35"/>
      <c r="U213" s="35"/>
      <c r="V213" s="35"/>
      <c r="W213" s="35"/>
      <c r="X213" s="35"/>
      <c r="Y213" s="35"/>
      <c r="Z213" s="35"/>
    </row>
    <row r="214" spans="1:26" s="19" customFormat="1" outlineLevel="1">
      <c r="A214" s="33" t="s">
        <v>518</v>
      </c>
      <c r="B214" s="34">
        <f>COUNTA($B$1:B213)</f>
        <v>204</v>
      </c>
      <c r="C214" s="35" t="s">
        <v>953</v>
      </c>
      <c r="D214" s="35"/>
      <c r="E214" s="35"/>
      <c r="F214" s="34"/>
      <c r="G214" s="35" t="s">
        <v>125</v>
      </c>
      <c r="H214" s="35"/>
      <c r="I214" s="35" t="s">
        <v>55</v>
      </c>
      <c r="J214" s="35" t="s">
        <v>949</v>
      </c>
      <c r="K214" s="34">
        <v>0</v>
      </c>
      <c r="L214" s="35" t="s">
        <v>951</v>
      </c>
      <c r="M214" s="50" t="s">
        <v>268</v>
      </c>
      <c r="N214" s="35"/>
      <c r="O214" s="35"/>
      <c r="P214" s="35"/>
      <c r="Q214" s="35"/>
      <c r="R214" s="35"/>
      <c r="S214" s="35"/>
      <c r="T214" s="35"/>
      <c r="U214" s="35"/>
      <c r="V214" s="35"/>
      <c r="W214" s="35"/>
      <c r="X214" s="35"/>
      <c r="Y214" s="35"/>
      <c r="Z214" s="35"/>
    </row>
    <row r="215" spans="1:26">
      <c r="A215" s="33" t="s">
        <v>518</v>
      </c>
      <c r="B215" s="34">
        <f>COUNTA($B$1:B214)</f>
        <v>205</v>
      </c>
      <c r="C215" s="249" t="s">
        <v>226</v>
      </c>
      <c r="D215" s="104"/>
      <c r="E215" s="105"/>
      <c r="F215" s="94"/>
      <c r="G215" s="95" t="s">
        <v>125</v>
      </c>
      <c r="H215" s="95"/>
      <c r="I215" s="95"/>
      <c r="J215" s="95"/>
      <c r="K215" s="94"/>
      <c r="L215" s="95" t="s">
        <v>227</v>
      </c>
      <c r="M215" s="96" t="s">
        <v>79</v>
      </c>
      <c r="N215" s="95"/>
      <c r="O215" s="95"/>
      <c r="P215" s="95"/>
      <c r="Q215" s="95"/>
      <c r="R215" s="95"/>
      <c r="S215" s="95"/>
      <c r="T215" s="95"/>
      <c r="U215" s="95"/>
      <c r="V215" s="95"/>
      <c r="W215" s="95"/>
      <c r="X215" s="95"/>
      <c r="Y215" s="95"/>
      <c r="Z215" s="95"/>
    </row>
    <row r="216" spans="1:26" s="19" customFormat="1" outlineLevel="1">
      <c r="A216" s="33" t="s">
        <v>518</v>
      </c>
      <c r="B216" s="34">
        <f>COUNTA($B$1:B215)</f>
        <v>206</v>
      </c>
      <c r="C216" s="35" t="s">
        <v>67</v>
      </c>
      <c r="D216" s="35"/>
      <c r="E216" s="35"/>
      <c r="F216" s="34"/>
      <c r="G216" s="35" t="s">
        <v>125</v>
      </c>
      <c r="H216" s="35"/>
      <c r="I216" s="35"/>
      <c r="J216" s="35"/>
      <c r="K216" s="34"/>
      <c r="L216" s="35" t="s">
        <v>67</v>
      </c>
      <c r="M216" s="36">
        <v>2</v>
      </c>
      <c r="N216" s="35"/>
      <c r="O216" s="35"/>
      <c r="P216" s="35"/>
      <c r="Q216" s="35"/>
      <c r="R216" s="35"/>
      <c r="S216" s="35"/>
      <c r="T216" s="35"/>
      <c r="U216" s="35"/>
      <c r="V216" s="35"/>
      <c r="W216" s="35"/>
      <c r="X216" s="35"/>
      <c r="Y216" s="35"/>
      <c r="Z216" s="35"/>
    </row>
    <row r="217" spans="1:26">
      <c r="A217" s="93" t="s">
        <v>518</v>
      </c>
      <c r="B217" s="34">
        <f>COUNTA($B$1:B216)</f>
        <v>207</v>
      </c>
      <c r="C217" s="95" t="s">
        <v>262</v>
      </c>
      <c r="D217" s="95"/>
      <c r="E217" s="95"/>
      <c r="F217" s="94"/>
      <c r="G217" s="95" t="s">
        <v>125</v>
      </c>
      <c r="H217" s="95"/>
      <c r="I217" s="95"/>
      <c r="J217" s="95"/>
      <c r="K217" s="94">
        <v>0</v>
      </c>
      <c r="L217" s="95" t="s">
        <v>96</v>
      </c>
      <c r="M217" s="95"/>
      <c r="N217" s="95"/>
      <c r="O217" s="95"/>
      <c r="P217" s="95"/>
      <c r="Q217" s="95"/>
      <c r="R217" s="105"/>
      <c r="S217" s="95"/>
      <c r="T217" s="95"/>
      <c r="U217" s="95"/>
      <c r="V217" s="95"/>
      <c r="W217" s="95"/>
      <c r="X217" s="95"/>
      <c r="Y217" s="95"/>
      <c r="Z217" s="95"/>
    </row>
    <row r="218" spans="1:26">
      <c r="A218" s="93" t="s">
        <v>518</v>
      </c>
      <c r="B218" s="94">
        <f>COUNTA($B$1:B217)</f>
        <v>208</v>
      </c>
      <c r="C218" s="95" t="s">
        <v>67</v>
      </c>
      <c r="D218" s="95"/>
      <c r="E218" s="95"/>
      <c r="F218" s="94"/>
      <c r="G218" s="95" t="s">
        <v>125</v>
      </c>
      <c r="H218" s="95"/>
      <c r="I218" s="95"/>
      <c r="J218" s="95"/>
      <c r="K218" s="94"/>
      <c r="L218" s="95" t="s">
        <v>67</v>
      </c>
      <c r="M218" s="96">
        <v>3</v>
      </c>
      <c r="N218" s="95"/>
      <c r="O218" s="95"/>
      <c r="P218" s="95"/>
      <c r="Q218" s="95"/>
      <c r="R218" s="96"/>
      <c r="S218" s="95"/>
      <c r="T218" s="95"/>
      <c r="U218" s="95"/>
      <c r="V218" s="95"/>
      <c r="W218" s="95"/>
      <c r="X218" s="95"/>
      <c r="Y218" s="95"/>
      <c r="Z218" s="95"/>
    </row>
    <row r="219" spans="1:26">
      <c r="A219" s="93" t="s">
        <v>518</v>
      </c>
      <c r="B219" s="94">
        <f>COUNTA($B$1:B218)</f>
        <v>209</v>
      </c>
      <c r="C219" s="95" t="s">
        <v>312</v>
      </c>
      <c r="D219" s="104"/>
      <c r="E219" s="105" t="s">
        <v>154</v>
      </c>
      <c r="F219" s="94"/>
      <c r="G219" s="95" t="s">
        <v>125</v>
      </c>
      <c r="H219" s="95"/>
      <c r="I219" s="95" t="s">
        <v>55</v>
      </c>
      <c r="J219" s="95" t="s">
        <v>313</v>
      </c>
      <c r="K219" s="94">
        <v>0</v>
      </c>
      <c r="L219" s="95" t="s">
        <v>147</v>
      </c>
      <c r="M219" s="96"/>
      <c r="N219" s="95"/>
      <c r="O219" s="95"/>
      <c r="P219" s="95"/>
      <c r="Q219" s="95"/>
      <c r="R219" s="95"/>
      <c r="S219" s="95"/>
      <c r="T219" s="95"/>
      <c r="U219" s="95"/>
      <c r="V219" s="95"/>
      <c r="W219" s="95"/>
      <c r="X219" s="95"/>
      <c r="Y219" s="95"/>
      <c r="Z219" s="95"/>
    </row>
    <row r="220" spans="1:26">
      <c r="A220" s="93" t="s">
        <v>518</v>
      </c>
      <c r="B220" s="94">
        <f>COUNTA($B$1:B219)</f>
        <v>210</v>
      </c>
      <c r="C220" s="95" t="s">
        <v>67</v>
      </c>
      <c r="D220" s="95"/>
      <c r="E220" s="95"/>
      <c r="F220" s="94"/>
      <c r="G220" s="95" t="s">
        <v>125</v>
      </c>
      <c r="H220" s="95"/>
      <c r="I220" s="95"/>
      <c r="J220" s="95"/>
      <c r="K220" s="94"/>
      <c r="L220" s="95" t="s">
        <v>67</v>
      </c>
      <c r="M220" s="96">
        <v>2</v>
      </c>
      <c r="N220" s="95"/>
      <c r="O220" s="95"/>
      <c r="P220" s="95"/>
      <c r="Q220" s="95"/>
      <c r="R220" s="96"/>
      <c r="S220" s="95"/>
      <c r="T220" s="95"/>
      <c r="U220" s="95"/>
      <c r="V220" s="95"/>
      <c r="W220" s="95"/>
      <c r="X220" s="95"/>
      <c r="Y220" s="95"/>
      <c r="Z220" s="95"/>
    </row>
    <row r="221" spans="1:26">
      <c r="A221" s="93" t="str" cm="1">
        <f t="array" ref="A221">_xlfn.IFS(Global!B2="QA","bln680759",Global!B2="UAT","bln680759",Global!B2="PROD","N")</f>
        <v>bln680759</v>
      </c>
      <c r="B221" s="94">
        <f>COUNTA($B$1:B220)</f>
        <v>211</v>
      </c>
      <c r="C221" s="95" t="s">
        <v>190</v>
      </c>
      <c r="D221" s="95"/>
      <c r="E221" s="95"/>
      <c r="F221" s="94"/>
      <c r="G221" s="95" t="s">
        <v>125</v>
      </c>
      <c r="H221" s="95"/>
      <c r="I221" s="95" t="s">
        <v>55</v>
      </c>
      <c r="J221" s="95" t="s">
        <v>87</v>
      </c>
      <c r="K221" s="94">
        <v>0</v>
      </c>
      <c r="L221" s="95" t="s">
        <v>147</v>
      </c>
      <c r="M221" s="96"/>
      <c r="N221" s="95"/>
      <c r="O221" s="95"/>
      <c r="P221" s="95"/>
      <c r="Q221" s="95"/>
      <c r="R221" s="95"/>
      <c r="S221" s="95"/>
      <c r="T221" s="95"/>
      <c r="U221" s="95"/>
      <c r="V221" s="95"/>
      <c r="W221" s="95"/>
      <c r="X221" s="95"/>
      <c r="Y221" s="95"/>
      <c r="Z221" s="95"/>
    </row>
    <row r="222" spans="1:26">
      <c r="A222" s="93" t="str">
        <f>A221</f>
        <v>bln680759</v>
      </c>
      <c r="B222" s="94">
        <f>COUNTA($B$1:B221)</f>
        <v>212</v>
      </c>
      <c r="C222" s="95" t="s">
        <v>67</v>
      </c>
      <c r="D222" s="95"/>
      <c r="E222" s="95"/>
      <c r="F222" s="94"/>
      <c r="G222" s="95" t="s">
        <v>125</v>
      </c>
      <c r="H222" s="95"/>
      <c r="I222" s="95"/>
      <c r="J222" s="95"/>
      <c r="K222" s="94"/>
      <c r="L222" s="95" t="s">
        <v>67</v>
      </c>
      <c r="M222" s="96">
        <v>10</v>
      </c>
      <c r="N222" s="95"/>
      <c r="O222" s="95"/>
      <c r="P222" s="95"/>
      <c r="Q222" s="95"/>
      <c r="R222" s="96"/>
      <c r="S222" s="95"/>
      <c r="T222" s="95"/>
      <c r="U222" s="95"/>
      <c r="V222" s="95"/>
      <c r="W222" s="95"/>
      <c r="X222" s="95"/>
      <c r="Y222" s="95"/>
      <c r="Z222" s="95"/>
    </row>
    <row r="223" spans="1:26">
      <c r="A223" s="30" t="s">
        <v>100</v>
      </c>
      <c r="B223" s="31"/>
      <c r="C223" s="31"/>
      <c r="D223" s="32"/>
      <c r="E223" s="32"/>
      <c r="F223" s="31"/>
      <c r="G223" s="32"/>
      <c r="H223" s="32"/>
      <c r="I223" s="32"/>
      <c r="J223" s="32"/>
      <c r="K223" s="31"/>
      <c r="L223" s="32"/>
      <c r="M223" s="32"/>
      <c r="N223" s="32"/>
      <c r="O223" s="32"/>
      <c r="P223" s="32"/>
      <c r="Q223" s="32"/>
      <c r="R223" s="32"/>
      <c r="S223" s="32"/>
      <c r="T223" s="32"/>
      <c r="U223" s="32"/>
      <c r="V223" s="32"/>
      <c r="W223" s="32"/>
      <c r="X223" s="32"/>
      <c r="Y223" s="32"/>
      <c r="Z223" s="32"/>
    </row>
    <row r="224" spans="1:26">
      <c r="A224" s="93" t="str">
        <f>A222</f>
        <v>bln680759</v>
      </c>
      <c r="B224" s="94">
        <f>COUNTA($B$1:B223)</f>
        <v>213</v>
      </c>
      <c r="C224" s="95" t="s">
        <v>67</v>
      </c>
      <c r="D224" s="95"/>
      <c r="E224" s="95"/>
      <c r="F224" s="94"/>
      <c r="G224" s="95" t="s">
        <v>125</v>
      </c>
      <c r="H224" s="95"/>
      <c r="I224" s="95"/>
      <c r="J224" s="95"/>
      <c r="K224" s="94"/>
      <c r="L224" s="95" t="s">
        <v>67</v>
      </c>
      <c r="M224" s="96">
        <v>3</v>
      </c>
      <c r="N224" s="95"/>
      <c r="O224" s="95"/>
      <c r="P224" s="95"/>
      <c r="Q224" s="95"/>
      <c r="R224" s="96"/>
      <c r="S224" s="95"/>
      <c r="T224" s="95"/>
      <c r="U224" s="95"/>
      <c r="V224" s="95"/>
      <c r="W224" s="95"/>
      <c r="X224" s="95"/>
      <c r="Y224" s="95"/>
      <c r="Z224" s="95"/>
    </row>
    <row r="225" spans="1:26">
      <c r="A225" s="93" t="str">
        <f>A224</f>
        <v>bln680759</v>
      </c>
      <c r="B225" s="94">
        <f>COUNTA($B$1:B224)</f>
        <v>214</v>
      </c>
      <c r="C225" s="95" t="s">
        <v>314</v>
      </c>
      <c r="D225" s="95"/>
      <c r="E225" s="95"/>
      <c r="F225" s="94"/>
      <c r="G225" s="95" t="s">
        <v>125</v>
      </c>
      <c r="H225" s="95"/>
      <c r="I225" s="95" t="s">
        <v>55</v>
      </c>
      <c r="J225" s="95" t="s">
        <v>533</v>
      </c>
      <c r="K225" s="94">
        <v>0</v>
      </c>
      <c r="L225" s="95" t="s">
        <v>98</v>
      </c>
      <c r="M225" s="95"/>
      <c r="N225" s="95" t="s">
        <v>99</v>
      </c>
      <c r="O225" s="95"/>
      <c r="P225" s="95"/>
      <c r="Q225" s="95"/>
      <c r="R225" s="109" t="s">
        <v>316</v>
      </c>
      <c r="S225" s="95"/>
      <c r="T225" s="95" t="s">
        <v>2</v>
      </c>
      <c r="U225" s="95"/>
      <c r="V225" s="95"/>
      <c r="W225" s="95"/>
      <c r="X225" s="95"/>
      <c r="Y225" s="95"/>
      <c r="Z225" s="95"/>
    </row>
    <row r="226" spans="1:26">
      <c r="A226" s="93" t="str">
        <f t="shared" ref="A226:A246" si="4">A225</f>
        <v>bln680759</v>
      </c>
      <c r="B226" s="94">
        <f>COUNTA($B$1:B225)</f>
        <v>215</v>
      </c>
      <c r="C226" s="110" t="s">
        <v>317</v>
      </c>
      <c r="D226" s="111"/>
      <c r="E226" s="112" t="s">
        <v>154</v>
      </c>
      <c r="F226" s="113"/>
      <c r="G226" s="110" t="s">
        <v>125</v>
      </c>
      <c r="H226" s="110"/>
      <c r="I226" s="110" t="s">
        <v>55</v>
      </c>
      <c r="J226" s="110" t="s">
        <v>456</v>
      </c>
      <c r="K226" s="94">
        <v>0</v>
      </c>
      <c r="L226" s="110" t="s">
        <v>98</v>
      </c>
      <c r="M226" s="110"/>
      <c r="N226" s="110" t="s">
        <v>99</v>
      </c>
      <c r="O226" s="110"/>
      <c r="P226" s="110"/>
      <c r="Q226" s="110"/>
      <c r="R226" s="112" t="s">
        <v>319</v>
      </c>
      <c r="S226" s="112" t="s">
        <v>319</v>
      </c>
      <c r="T226" s="110" t="s">
        <v>2</v>
      </c>
      <c r="U226" s="110"/>
      <c r="V226" s="110"/>
      <c r="W226" s="95"/>
      <c r="X226" s="95"/>
      <c r="Y226" s="95"/>
      <c r="Z226" s="95"/>
    </row>
    <row r="227" spans="1:26">
      <c r="A227" s="93" t="str">
        <f t="shared" si="4"/>
        <v>bln680759</v>
      </c>
      <c r="B227" s="94">
        <f>COUNTA($B$1:B226)</f>
        <v>216</v>
      </c>
      <c r="C227" s="110" t="s">
        <v>320</v>
      </c>
      <c r="D227" s="111"/>
      <c r="E227" s="112" t="s">
        <v>154</v>
      </c>
      <c r="F227" s="113"/>
      <c r="G227" s="110" t="s">
        <v>125</v>
      </c>
      <c r="H227" s="110"/>
      <c r="I227" s="110" t="s">
        <v>55</v>
      </c>
      <c r="J227" s="110" t="s">
        <v>458</v>
      </c>
      <c r="K227" s="94">
        <v>0</v>
      </c>
      <c r="L227" s="110" t="s">
        <v>98</v>
      </c>
      <c r="M227" s="110"/>
      <c r="N227" s="110" t="s">
        <v>99</v>
      </c>
      <c r="O227" s="110"/>
      <c r="P227" s="110"/>
      <c r="Q227" s="110"/>
      <c r="R227" s="112" t="s">
        <v>322</v>
      </c>
      <c r="S227" s="112" t="s">
        <v>322</v>
      </c>
      <c r="T227" s="110" t="s">
        <v>2</v>
      </c>
      <c r="U227" s="110"/>
      <c r="V227" s="110"/>
      <c r="W227" s="95"/>
      <c r="X227" s="95"/>
      <c r="Y227" s="95"/>
      <c r="Z227" s="95"/>
    </row>
    <row r="228" spans="1:26">
      <c r="A228" s="93" t="str">
        <f t="shared" si="4"/>
        <v>bln680759</v>
      </c>
      <c r="B228" s="94">
        <f>COUNTA($B$1:B227)</f>
        <v>217</v>
      </c>
      <c r="C228" s="110" t="s">
        <v>323</v>
      </c>
      <c r="D228" s="111"/>
      <c r="E228" s="112"/>
      <c r="F228" s="113"/>
      <c r="G228" s="110" t="s">
        <v>125</v>
      </c>
      <c r="H228" s="110"/>
      <c r="I228" s="110" t="s">
        <v>55</v>
      </c>
      <c r="J228" s="110" t="s">
        <v>534</v>
      </c>
      <c r="K228" s="94">
        <v>0</v>
      </c>
      <c r="L228" s="110" t="s">
        <v>98</v>
      </c>
      <c r="M228" s="110"/>
      <c r="N228" s="110" t="s">
        <v>99</v>
      </c>
      <c r="O228" s="110"/>
      <c r="P228" s="110"/>
      <c r="Q228" s="110"/>
      <c r="R228" s="112" t="s">
        <v>101</v>
      </c>
      <c r="S228" s="110"/>
      <c r="T228" s="110" t="s">
        <v>2</v>
      </c>
      <c r="U228" s="110"/>
      <c r="V228" s="110"/>
      <c r="W228" s="95"/>
      <c r="X228" s="95"/>
      <c r="Y228" s="95"/>
      <c r="Z228" s="95"/>
    </row>
    <row r="229" spans="1:26">
      <c r="A229" s="93" t="str">
        <f t="shared" si="4"/>
        <v>bln680759</v>
      </c>
      <c r="B229" s="94">
        <f>COUNTA($B$1:B228)</f>
        <v>218</v>
      </c>
      <c r="C229" s="110" t="s">
        <v>325</v>
      </c>
      <c r="D229" s="111"/>
      <c r="E229" s="112"/>
      <c r="F229" s="113"/>
      <c r="G229" s="110" t="s">
        <v>125</v>
      </c>
      <c r="H229" s="110"/>
      <c r="I229" s="110" t="s">
        <v>55</v>
      </c>
      <c r="J229" s="110" t="s">
        <v>326</v>
      </c>
      <c r="K229" s="94">
        <v>0</v>
      </c>
      <c r="L229" s="110" t="s">
        <v>98</v>
      </c>
      <c r="M229" s="110"/>
      <c r="N229" s="110" t="s">
        <v>99</v>
      </c>
      <c r="O229" s="110"/>
      <c r="P229" s="110"/>
      <c r="Q229" s="110"/>
      <c r="R229" s="112" t="s">
        <v>322</v>
      </c>
      <c r="S229" s="110"/>
      <c r="T229" s="110" t="s">
        <v>2</v>
      </c>
      <c r="U229" s="110"/>
      <c r="V229" s="110"/>
      <c r="W229" s="95"/>
      <c r="X229" s="105"/>
      <c r="Y229" s="105"/>
      <c r="Z229" s="105"/>
    </row>
    <row r="230" spans="1:26">
      <c r="A230" s="93" t="str">
        <f t="shared" si="4"/>
        <v>bln680759</v>
      </c>
      <c r="B230" s="94">
        <f>COUNTA($B$1:B229)</f>
        <v>219</v>
      </c>
      <c r="C230" s="95" t="s">
        <v>327</v>
      </c>
      <c r="D230" s="104"/>
      <c r="E230" s="105"/>
      <c r="F230" s="94"/>
      <c r="G230" s="95" t="s">
        <v>125</v>
      </c>
      <c r="H230" s="95"/>
      <c r="I230" s="95" t="s">
        <v>55</v>
      </c>
      <c r="J230" s="95" t="s">
        <v>328</v>
      </c>
      <c r="K230" s="94">
        <v>0</v>
      </c>
      <c r="L230" s="95" t="s">
        <v>98</v>
      </c>
      <c r="M230" s="95"/>
      <c r="N230" s="95" t="s">
        <v>99</v>
      </c>
      <c r="O230" s="95"/>
      <c r="P230" s="95"/>
      <c r="Q230" s="95"/>
      <c r="R230" s="95"/>
      <c r="S230" s="95" t="s">
        <v>329</v>
      </c>
      <c r="T230" s="95"/>
      <c r="U230" s="95"/>
      <c r="V230" s="95"/>
      <c r="W230" s="95"/>
      <c r="X230" s="95"/>
      <c r="Y230" s="95"/>
      <c r="Z230" s="95"/>
    </row>
    <row r="231" spans="1:26">
      <c r="A231" s="93" t="str">
        <f t="shared" si="4"/>
        <v>bln680759</v>
      </c>
      <c r="B231" s="94">
        <f>COUNTA($B$1:B230)</f>
        <v>220</v>
      </c>
      <c r="C231" s="95" t="s">
        <v>330</v>
      </c>
      <c r="D231" s="95"/>
      <c r="E231" s="95"/>
      <c r="F231" s="94"/>
      <c r="G231" s="95" t="s">
        <v>125</v>
      </c>
      <c r="H231" s="95"/>
      <c r="I231" s="95" t="s">
        <v>55</v>
      </c>
      <c r="J231" s="95" t="s">
        <v>107</v>
      </c>
      <c r="K231" s="94">
        <v>0</v>
      </c>
      <c r="L231" s="95" t="s">
        <v>98</v>
      </c>
      <c r="M231" s="96"/>
      <c r="N231" s="95" t="s">
        <v>99</v>
      </c>
      <c r="O231" s="95"/>
      <c r="P231" s="95"/>
      <c r="Q231" s="95"/>
      <c r="R231" s="96" t="s">
        <v>126</v>
      </c>
      <c r="S231" s="95"/>
      <c r="T231" s="95" t="s">
        <v>2</v>
      </c>
      <c r="U231" s="95"/>
      <c r="V231" s="95"/>
      <c r="W231" s="95"/>
      <c r="X231" s="105"/>
      <c r="Y231" s="105"/>
      <c r="Z231" s="105"/>
    </row>
    <row r="232" spans="1:26">
      <c r="A232" s="93" t="str">
        <f t="shared" si="4"/>
        <v>bln680759</v>
      </c>
      <c r="B232" s="94">
        <f>COUNTA($B$1:B231)</f>
        <v>221</v>
      </c>
      <c r="C232" s="95" t="s">
        <v>331</v>
      </c>
      <c r="D232" s="95"/>
      <c r="E232" s="95"/>
      <c r="F232" s="94"/>
      <c r="G232" s="95" t="s">
        <v>125</v>
      </c>
      <c r="H232" s="95"/>
      <c r="I232" s="95" t="s">
        <v>55</v>
      </c>
      <c r="J232" s="95" t="s">
        <v>460</v>
      </c>
      <c r="K232" s="94">
        <v>0</v>
      </c>
      <c r="L232" s="95" t="s">
        <v>98</v>
      </c>
      <c r="M232" s="96"/>
      <c r="N232" s="95" t="s">
        <v>99</v>
      </c>
      <c r="O232" s="95"/>
      <c r="P232" s="95"/>
      <c r="Q232" s="95"/>
      <c r="R232" s="112" t="s">
        <v>535</v>
      </c>
      <c r="S232" s="95"/>
      <c r="T232" s="95" t="s">
        <v>2</v>
      </c>
      <c r="U232" s="95"/>
      <c r="V232" s="95"/>
      <c r="W232" s="95"/>
      <c r="X232" s="95"/>
      <c r="Y232" s="95"/>
      <c r="Z232" s="95"/>
    </row>
    <row r="233" spans="1:26">
      <c r="A233" s="93" t="str">
        <f t="shared" si="4"/>
        <v>bln680759</v>
      </c>
      <c r="B233" s="94">
        <f>COUNTA($B$1:B232)</f>
        <v>222</v>
      </c>
      <c r="C233" s="95" t="s">
        <v>334</v>
      </c>
      <c r="D233" s="95"/>
      <c r="E233" s="95"/>
      <c r="F233" s="94"/>
      <c r="G233" s="95" t="s">
        <v>125</v>
      </c>
      <c r="H233" s="95"/>
      <c r="I233" s="95" t="s">
        <v>55</v>
      </c>
      <c r="J233" s="95" t="s">
        <v>463</v>
      </c>
      <c r="K233" s="94">
        <v>0</v>
      </c>
      <c r="L233" s="95" t="s">
        <v>98</v>
      </c>
      <c r="M233" s="96"/>
      <c r="N233" s="95" t="s">
        <v>99</v>
      </c>
      <c r="O233" s="95"/>
      <c r="P233" s="95"/>
      <c r="Q233" s="95"/>
      <c r="R233" s="112" t="s">
        <v>536</v>
      </c>
      <c r="S233" s="95"/>
      <c r="T233" s="95" t="s">
        <v>2</v>
      </c>
      <c r="U233" s="95"/>
      <c r="V233" s="95"/>
      <c r="W233" s="95"/>
      <c r="X233" s="105"/>
      <c r="Y233" s="105"/>
      <c r="Z233" s="105"/>
    </row>
    <row r="234" spans="1:26">
      <c r="A234" s="93" t="str">
        <f t="shared" si="4"/>
        <v>bln680759</v>
      </c>
      <c r="B234" s="94">
        <f>COUNTA($B$1:B233)</f>
        <v>223</v>
      </c>
      <c r="C234" s="95" t="s">
        <v>337</v>
      </c>
      <c r="D234" s="95"/>
      <c r="E234" s="95"/>
      <c r="F234" s="94"/>
      <c r="G234" s="95" t="s">
        <v>125</v>
      </c>
      <c r="H234" s="95"/>
      <c r="I234" s="95" t="s">
        <v>55</v>
      </c>
      <c r="J234" s="95" t="s">
        <v>466</v>
      </c>
      <c r="K234" s="94">
        <v>0</v>
      </c>
      <c r="L234" s="95" t="s">
        <v>98</v>
      </c>
      <c r="M234" s="96"/>
      <c r="N234" s="95" t="s">
        <v>99</v>
      </c>
      <c r="O234" s="95"/>
      <c r="P234" s="95"/>
      <c r="Q234" s="95"/>
      <c r="R234" s="112" t="s">
        <v>537</v>
      </c>
      <c r="S234" s="95"/>
      <c r="T234" s="95" t="s">
        <v>2</v>
      </c>
      <c r="U234" s="95"/>
      <c r="V234" s="95"/>
      <c r="W234" s="95"/>
      <c r="X234" s="95"/>
      <c r="Y234" s="95"/>
      <c r="Z234" s="95"/>
    </row>
    <row r="235" spans="1:26">
      <c r="A235" s="93" t="str">
        <f t="shared" si="4"/>
        <v>bln680759</v>
      </c>
      <c r="B235" s="94">
        <f>COUNTA($B$1:B234)</f>
        <v>224</v>
      </c>
      <c r="C235" s="95" t="s">
        <v>340</v>
      </c>
      <c r="D235" s="95"/>
      <c r="E235" s="95"/>
      <c r="F235" s="94"/>
      <c r="G235" s="95" t="s">
        <v>125</v>
      </c>
      <c r="H235" s="95"/>
      <c r="I235" s="95" t="s">
        <v>55</v>
      </c>
      <c r="J235" s="95" t="s">
        <v>469</v>
      </c>
      <c r="K235" s="94">
        <v>0</v>
      </c>
      <c r="L235" s="95" t="s">
        <v>98</v>
      </c>
      <c r="M235" s="96"/>
      <c r="N235" s="95" t="s">
        <v>99</v>
      </c>
      <c r="O235" s="95"/>
      <c r="P235" s="95"/>
      <c r="Q235" s="95"/>
      <c r="R235" s="112" t="s">
        <v>339</v>
      </c>
      <c r="S235" s="95"/>
      <c r="T235" s="95" t="s">
        <v>2</v>
      </c>
      <c r="U235" s="95"/>
      <c r="V235" s="95"/>
      <c r="W235" s="95"/>
      <c r="X235" s="105"/>
      <c r="Y235" s="105"/>
      <c r="Z235" s="105"/>
    </row>
    <row r="236" spans="1:26">
      <c r="A236" s="93" t="str">
        <f t="shared" si="4"/>
        <v>bln680759</v>
      </c>
      <c r="B236" s="94">
        <f>COUNTA($B$1:B235)</f>
        <v>225</v>
      </c>
      <c r="C236" s="95" t="s">
        <v>343</v>
      </c>
      <c r="D236" s="95"/>
      <c r="E236" s="95"/>
      <c r="F236" s="94"/>
      <c r="G236" s="95" t="s">
        <v>125</v>
      </c>
      <c r="H236" s="95"/>
      <c r="I236" s="95" t="s">
        <v>55</v>
      </c>
      <c r="J236" s="95" t="s">
        <v>472</v>
      </c>
      <c r="K236" s="94">
        <v>0</v>
      </c>
      <c r="L236" s="95" t="s">
        <v>98</v>
      </c>
      <c r="M236" s="96"/>
      <c r="N236" s="95" t="s">
        <v>99</v>
      </c>
      <c r="O236" s="95"/>
      <c r="P236" s="95"/>
      <c r="Q236" s="95"/>
      <c r="R236" s="112" t="s">
        <v>538</v>
      </c>
      <c r="S236" s="95"/>
      <c r="T236" s="95" t="s">
        <v>2</v>
      </c>
      <c r="U236" s="95"/>
      <c r="V236" s="95"/>
      <c r="W236" s="95"/>
      <c r="X236" s="95"/>
      <c r="Y236" s="95"/>
      <c r="Z236" s="95"/>
    </row>
    <row r="237" spans="1:26">
      <c r="A237" s="93" t="str">
        <f t="shared" si="4"/>
        <v>bln680759</v>
      </c>
      <c r="B237" s="94">
        <f>COUNTA($B$1:B236)</f>
        <v>226</v>
      </c>
      <c r="C237" s="95" t="s">
        <v>346</v>
      </c>
      <c r="D237" s="95"/>
      <c r="E237" s="95"/>
      <c r="F237" s="94"/>
      <c r="G237" s="95" t="s">
        <v>125</v>
      </c>
      <c r="H237" s="95"/>
      <c r="I237" s="95" t="s">
        <v>55</v>
      </c>
      <c r="J237" s="95" t="s">
        <v>475</v>
      </c>
      <c r="K237" s="94">
        <v>0</v>
      </c>
      <c r="L237" s="95" t="s">
        <v>98</v>
      </c>
      <c r="M237" s="96"/>
      <c r="N237" s="95" t="s">
        <v>99</v>
      </c>
      <c r="O237" s="95"/>
      <c r="P237" s="95"/>
      <c r="Q237" s="95"/>
      <c r="R237" s="112" t="s">
        <v>342</v>
      </c>
      <c r="S237" s="95"/>
      <c r="T237" s="95" t="s">
        <v>2</v>
      </c>
      <c r="U237" s="95"/>
      <c r="V237" s="95"/>
      <c r="W237" s="95"/>
      <c r="X237" s="105"/>
      <c r="Y237" s="105"/>
      <c r="Z237" s="105"/>
    </row>
    <row r="238" spans="1:26">
      <c r="A238" s="93" t="str">
        <f t="shared" si="4"/>
        <v>bln680759</v>
      </c>
      <c r="B238" s="94">
        <f>COUNTA($B$1:B237)</f>
        <v>227</v>
      </c>
      <c r="C238" s="95" t="s">
        <v>349</v>
      </c>
      <c r="D238" s="95"/>
      <c r="E238" s="95"/>
      <c r="F238" s="94"/>
      <c r="G238" s="95" t="s">
        <v>125</v>
      </c>
      <c r="H238" s="95"/>
      <c r="I238" s="95" t="s">
        <v>55</v>
      </c>
      <c r="J238" s="95" t="s">
        <v>478</v>
      </c>
      <c r="K238" s="94">
        <v>0</v>
      </c>
      <c r="L238" s="95" t="s">
        <v>98</v>
      </c>
      <c r="M238" s="96"/>
      <c r="N238" s="95" t="s">
        <v>99</v>
      </c>
      <c r="O238" s="95"/>
      <c r="P238" s="95"/>
      <c r="Q238" s="95"/>
      <c r="R238" s="105" t="s">
        <v>351</v>
      </c>
      <c r="S238" s="95"/>
      <c r="T238" s="95" t="s">
        <v>2</v>
      </c>
      <c r="U238" s="95"/>
      <c r="V238" s="95"/>
      <c r="W238" s="95"/>
      <c r="X238" s="95"/>
      <c r="Y238" s="95"/>
      <c r="Z238" s="95"/>
    </row>
    <row r="239" spans="1:26">
      <c r="A239" s="93" t="str">
        <f t="shared" si="4"/>
        <v>bln680759</v>
      </c>
      <c r="B239" s="94">
        <f>COUNTA($B$1:B238)</f>
        <v>228</v>
      </c>
      <c r="C239" s="95" t="s">
        <v>352</v>
      </c>
      <c r="D239" s="95"/>
      <c r="E239" s="95"/>
      <c r="F239" s="94"/>
      <c r="G239" s="95" t="s">
        <v>125</v>
      </c>
      <c r="H239" s="95"/>
      <c r="I239" s="95" t="s">
        <v>55</v>
      </c>
      <c r="J239" s="95" t="s">
        <v>423</v>
      </c>
      <c r="K239" s="94">
        <v>0</v>
      </c>
      <c r="L239" s="95" t="s">
        <v>98</v>
      </c>
      <c r="M239" s="96"/>
      <c r="N239" s="95" t="s">
        <v>99</v>
      </c>
      <c r="O239" s="95"/>
      <c r="P239" s="95"/>
      <c r="Q239" s="95"/>
      <c r="R239" s="96" t="str">
        <f>TEXT(M106,"0")</f>
        <v>Destination1</v>
      </c>
      <c r="S239" s="95"/>
      <c r="T239" s="95" t="s">
        <v>2</v>
      </c>
      <c r="U239" s="95"/>
      <c r="V239" s="95"/>
      <c r="W239" s="95"/>
      <c r="X239" s="95"/>
      <c r="Y239" s="95"/>
      <c r="Z239" s="95"/>
    </row>
    <row r="240" spans="1:26">
      <c r="A240" s="93" t="str">
        <f t="shared" si="4"/>
        <v>bln680759</v>
      </c>
      <c r="B240" s="94">
        <f>COUNTA($B$1:B239)</f>
        <v>229</v>
      </c>
      <c r="C240" s="95" t="s">
        <v>354</v>
      </c>
      <c r="D240" s="95"/>
      <c r="E240" s="95"/>
      <c r="F240" s="94"/>
      <c r="G240" s="95" t="s">
        <v>125</v>
      </c>
      <c r="H240" s="95"/>
      <c r="I240" s="95" t="s">
        <v>55</v>
      </c>
      <c r="J240" s="95" t="s">
        <v>355</v>
      </c>
      <c r="K240" s="94">
        <v>0</v>
      </c>
      <c r="L240" s="95" t="s">
        <v>98</v>
      </c>
      <c r="M240" s="96"/>
      <c r="N240" s="95" t="s">
        <v>99</v>
      </c>
      <c r="O240" s="95"/>
      <c r="P240" s="95"/>
      <c r="Q240" s="95"/>
      <c r="R240" s="96" t="str">
        <f>TEXT(M109,"mm/dd/yyyy")</f>
        <v>DepDate1</v>
      </c>
      <c r="S240" s="95"/>
      <c r="T240" s="95" t="s">
        <v>2</v>
      </c>
      <c r="U240" s="95"/>
      <c r="V240" s="95"/>
      <c r="W240" s="95"/>
      <c r="X240" s="95"/>
      <c r="Y240" s="95"/>
      <c r="Z240" s="95"/>
    </row>
    <row r="241" spans="1:26">
      <c r="A241" s="93" t="str">
        <f t="shared" si="4"/>
        <v>bln680759</v>
      </c>
      <c r="B241" s="94">
        <f>COUNTA($B$1:B240)</f>
        <v>230</v>
      </c>
      <c r="C241" s="95" t="s">
        <v>356</v>
      </c>
      <c r="D241" s="95"/>
      <c r="E241" s="95"/>
      <c r="F241" s="94"/>
      <c r="G241" s="95" t="s">
        <v>125</v>
      </c>
      <c r="H241" s="95"/>
      <c r="I241" s="95" t="s">
        <v>55</v>
      </c>
      <c r="J241" s="95" t="s">
        <v>357</v>
      </c>
      <c r="K241" s="94">
        <v>0</v>
      </c>
      <c r="L241" s="95" t="s">
        <v>98</v>
      </c>
      <c r="M241" s="96"/>
      <c r="N241" s="95" t="s">
        <v>99</v>
      </c>
      <c r="O241" s="95"/>
      <c r="P241" s="95"/>
      <c r="Q241" s="95"/>
      <c r="R241" s="96" t="str">
        <f>TEXT(M110,"mm/dd/yyyy")</f>
        <v>RetDate1</v>
      </c>
      <c r="S241" s="95"/>
      <c r="T241" s="95" t="s">
        <v>2</v>
      </c>
      <c r="U241" s="95"/>
      <c r="V241" s="95"/>
      <c r="W241" s="95"/>
      <c r="X241" s="95"/>
      <c r="Y241" s="95"/>
      <c r="Z241" s="95"/>
    </row>
    <row r="242" spans="1:26">
      <c r="A242" s="93" t="str">
        <f t="shared" si="4"/>
        <v>bln680759</v>
      </c>
      <c r="B242" s="94">
        <f>COUNTA($B$1:B241)</f>
        <v>231</v>
      </c>
      <c r="C242" s="95" t="s">
        <v>539</v>
      </c>
      <c r="D242" s="95"/>
      <c r="E242" s="95"/>
      <c r="F242" s="94"/>
      <c r="G242" s="95" t="s">
        <v>125</v>
      </c>
      <c r="H242" s="95"/>
      <c r="I242" s="95" t="s">
        <v>55</v>
      </c>
      <c r="J242" s="95" t="s">
        <v>480</v>
      </c>
      <c r="K242" s="94">
        <v>0</v>
      </c>
      <c r="L242" s="95" t="s">
        <v>98</v>
      </c>
      <c r="M242" s="96"/>
      <c r="N242" s="95" t="s">
        <v>99</v>
      </c>
      <c r="O242" s="95"/>
      <c r="P242" s="95"/>
      <c r="Q242" s="95"/>
      <c r="R242" s="96" t="s">
        <v>126</v>
      </c>
      <c r="S242" s="105"/>
      <c r="T242" s="95" t="s">
        <v>2</v>
      </c>
      <c r="U242" s="95"/>
      <c r="V242" s="95"/>
      <c r="W242" s="95"/>
      <c r="X242" s="95"/>
      <c r="Y242" s="95"/>
      <c r="Z242" s="95"/>
    </row>
    <row r="243" spans="1:26">
      <c r="A243" s="93" t="str">
        <f t="shared" si="4"/>
        <v>bln680759</v>
      </c>
      <c r="B243" s="94">
        <f>COUNTA($B$1:B242)</f>
        <v>232</v>
      </c>
      <c r="C243" s="95" t="s">
        <v>360</v>
      </c>
      <c r="D243" s="95"/>
      <c r="E243" s="95"/>
      <c r="F243" s="94"/>
      <c r="G243" s="95" t="s">
        <v>125</v>
      </c>
      <c r="H243" s="95"/>
      <c r="I243" s="95" t="s">
        <v>55</v>
      </c>
      <c r="J243" s="95" t="s">
        <v>481</v>
      </c>
      <c r="K243" s="94">
        <v>0</v>
      </c>
      <c r="L243" s="95" t="s">
        <v>98</v>
      </c>
      <c r="M243" s="96"/>
      <c r="N243" s="95" t="s">
        <v>99</v>
      </c>
      <c r="O243" s="95"/>
      <c r="P243" s="95"/>
      <c r="Q243" s="95"/>
      <c r="R243" s="96"/>
      <c r="S243" s="95"/>
      <c r="T243" s="95"/>
      <c r="U243" s="95"/>
      <c r="V243" s="95"/>
      <c r="W243" s="95"/>
      <c r="X243" s="95"/>
      <c r="Y243" s="95"/>
      <c r="Z243" s="95"/>
    </row>
    <row r="244" spans="1:26">
      <c r="A244" s="93" t="str">
        <f t="shared" si="4"/>
        <v>bln680759</v>
      </c>
      <c r="B244" s="94">
        <f>COUNTA($B$1:B243)</f>
        <v>233</v>
      </c>
      <c r="C244" s="95" t="s">
        <v>362</v>
      </c>
      <c r="D244" s="95"/>
      <c r="E244" s="95"/>
      <c r="F244" s="94"/>
      <c r="G244" s="95" t="s">
        <v>125</v>
      </c>
      <c r="H244" s="95"/>
      <c r="I244" s="95" t="s">
        <v>55</v>
      </c>
      <c r="J244" s="95" t="s">
        <v>482</v>
      </c>
      <c r="K244" s="94">
        <v>0</v>
      </c>
      <c r="L244" s="95" t="s">
        <v>98</v>
      </c>
      <c r="M244" s="96"/>
      <c r="N244" s="95" t="s">
        <v>99</v>
      </c>
      <c r="O244" s="95"/>
      <c r="P244" s="95"/>
      <c r="Q244" s="95"/>
      <c r="R244" s="96"/>
      <c r="S244" s="95"/>
      <c r="T244" s="95"/>
      <c r="U244" s="95"/>
      <c r="V244" s="95"/>
      <c r="W244" s="95"/>
      <c r="X244" s="95"/>
      <c r="Y244" s="95"/>
      <c r="Z244" s="95"/>
    </row>
    <row r="245" spans="1:26">
      <c r="A245" s="93" t="str">
        <f t="shared" si="4"/>
        <v>bln680759</v>
      </c>
      <c r="B245" s="94">
        <f>COUNTA($B$1:B244)</f>
        <v>234</v>
      </c>
      <c r="C245" s="95" t="s">
        <v>364</v>
      </c>
      <c r="D245" s="95"/>
      <c r="E245" s="95"/>
      <c r="F245" s="94"/>
      <c r="G245" s="95" t="s">
        <v>125</v>
      </c>
      <c r="H245" s="95"/>
      <c r="I245" s="95" t="s">
        <v>55</v>
      </c>
      <c r="J245" s="95" t="s">
        <v>365</v>
      </c>
      <c r="K245" s="94">
        <v>0</v>
      </c>
      <c r="L245" s="95" t="s">
        <v>98</v>
      </c>
      <c r="M245" s="96"/>
      <c r="N245" s="95" t="s">
        <v>99</v>
      </c>
      <c r="O245" s="95"/>
      <c r="P245" s="95"/>
      <c r="Q245" s="95"/>
      <c r="R245" s="109" t="str">
        <f>TEXT(M168,"mm/dd/yyyy")</f>
        <v>BirthDate1</v>
      </c>
      <c r="S245" s="95"/>
      <c r="T245" s="95" t="s">
        <v>2</v>
      </c>
      <c r="U245" s="95"/>
      <c r="V245" s="95"/>
      <c r="W245" s="95"/>
      <c r="X245" s="95"/>
      <c r="Y245" s="95"/>
      <c r="Z245" s="95"/>
    </row>
    <row r="246" spans="1:26">
      <c r="A246" s="93" t="str">
        <f t="shared" si="4"/>
        <v>bln680759</v>
      </c>
      <c r="B246" s="94">
        <f>COUNTA($B$1:B245)</f>
        <v>235</v>
      </c>
      <c r="C246" s="95" t="s">
        <v>366</v>
      </c>
      <c r="D246" s="95"/>
      <c r="E246" s="95"/>
      <c r="F246" s="94"/>
      <c r="G246" s="95" t="s">
        <v>125</v>
      </c>
      <c r="H246" s="95"/>
      <c r="I246" s="95" t="s">
        <v>55</v>
      </c>
      <c r="J246" s="95" t="s">
        <v>367</v>
      </c>
      <c r="K246" s="94">
        <v>0</v>
      </c>
      <c r="L246" s="95" t="s">
        <v>98</v>
      </c>
      <c r="M246" s="96"/>
      <c r="N246" s="95" t="s">
        <v>99</v>
      </c>
      <c r="O246" s="95"/>
      <c r="P246" s="95"/>
      <c r="Q246" s="95"/>
      <c r="R246" s="109" t="str">
        <f>TEXT(M179,"0")</f>
        <v>Phone1</v>
      </c>
      <c r="S246" s="95"/>
      <c r="T246" s="95" t="s">
        <v>2</v>
      </c>
      <c r="U246" s="95"/>
      <c r="V246" s="95"/>
      <c r="W246" s="95"/>
      <c r="X246" s="95"/>
      <c r="Y246" s="95"/>
      <c r="Z246" s="95"/>
    </row>
    <row r="247" spans="1:26">
      <c r="A247" s="93" t="str">
        <f>A246</f>
        <v>bln680759</v>
      </c>
      <c r="B247" s="94">
        <f>COUNTA($B$1:B246)</f>
        <v>236</v>
      </c>
      <c r="C247" s="95" t="s">
        <v>67</v>
      </c>
      <c r="D247" s="95"/>
      <c r="E247" s="95"/>
      <c r="F247" s="94"/>
      <c r="G247" s="95" t="s">
        <v>125</v>
      </c>
      <c r="H247" s="95"/>
      <c r="I247" s="95"/>
      <c r="J247" s="95"/>
      <c r="K247" s="94"/>
      <c r="L247" s="95" t="s">
        <v>67</v>
      </c>
      <c r="M247" s="96">
        <v>2</v>
      </c>
      <c r="N247" s="95"/>
      <c r="O247" s="95"/>
      <c r="P247" s="95"/>
      <c r="Q247" s="95"/>
      <c r="R247" s="96"/>
      <c r="S247" s="95"/>
      <c r="T247" s="95"/>
      <c r="U247" s="95"/>
      <c r="V247" s="95"/>
      <c r="W247" s="95"/>
      <c r="X247" s="95"/>
      <c r="Y247" s="95"/>
      <c r="Z247" s="95"/>
    </row>
    <row r="248" spans="1:26">
      <c r="A248" s="93" t="str">
        <f>IF(Global!B2="QA","Y","N")</f>
        <v>N</v>
      </c>
      <c r="B248" s="94">
        <f>COUNTA($B$1:B247)</f>
        <v>237</v>
      </c>
      <c r="C248" s="95" t="s">
        <v>540</v>
      </c>
      <c r="D248" s="95"/>
      <c r="E248" s="95"/>
      <c r="F248" s="94"/>
      <c r="G248" s="95" t="s">
        <v>125</v>
      </c>
      <c r="H248" s="95"/>
      <c r="I248" s="95" t="s">
        <v>55</v>
      </c>
      <c r="J248" s="95" t="s">
        <v>866</v>
      </c>
      <c r="K248" s="94">
        <v>0</v>
      </c>
      <c r="L248" s="95" t="s">
        <v>98</v>
      </c>
      <c r="M248" s="96"/>
      <c r="N248" s="95" t="s">
        <v>99</v>
      </c>
      <c r="O248" s="95"/>
      <c r="P248" s="95"/>
      <c r="Q248" s="95"/>
      <c r="R248" s="109" t="s">
        <v>541</v>
      </c>
      <c r="S248" s="95"/>
      <c r="T248" s="95" t="s">
        <v>2</v>
      </c>
      <c r="U248" s="95"/>
      <c r="V248" s="95"/>
      <c r="W248" s="95"/>
      <c r="X248" s="95"/>
      <c r="Y248" s="95"/>
      <c r="Z248" s="95"/>
    </row>
    <row r="249" spans="1:26">
      <c r="A249" s="93" t="str">
        <f>IF(Global!B2="UAT","Y","N")</f>
        <v>Y</v>
      </c>
      <c r="B249" s="94">
        <f>COUNTA($B$1:B248)</f>
        <v>238</v>
      </c>
      <c r="C249" s="95" t="s">
        <v>540</v>
      </c>
      <c r="D249" s="95"/>
      <c r="E249" s="95"/>
      <c r="F249" s="94"/>
      <c r="G249" s="95" t="s">
        <v>125</v>
      </c>
      <c r="H249" s="95"/>
      <c r="I249" s="95" t="s">
        <v>55</v>
      </c>
      <c r="J249" s="95" t="s">
        <v>842</v>
      </c>
      <c r="K249" s="94">
        <v>0</v>
      </c>
      <c r="L249" s="95" t="s">
        <v>98</v>
      </c>
      <c r="M249" s="96"/>
      <c r="N249" s="95" t="s">
        <v>99</v>
      </c>
      <c r="O249" s="95"/>
      <c r="P249" s="95"/>
      <c r="Q249" s="95"/>
      <c r="R249" s="109" t="s">
        <v>541</v>
      </c>
      <c r="S249" s="95"/>
      <c r="T249" s="95" t="s">
        <v>2</v>
      </c>
      <c r="U249" s="95"/>
      <c r="V249" s="95"/>
      <c r="W249" s="95"/>
      <c r="X249" s="95"/>
      <c r="Y249" s="95"/>
      <c r="Z249" s="95"/>
    </row>
    <row r="250" spans="1:26">
      <c r="A250" s="93" t="str">
        <f>A246</f>
        <v>bln680759</v>
      </c>
      <c r="B250" s="94">
        <f>COUNTA($B$1:B249)</f>
        <v>239</v>
      </c>
      <c r="C250" s="95" t="s">
        <v>542</v>
      </c>
      <c r="D250" s="95"/>
      <c r="E250" s="95"/>
      <c r="F250" s="94"/>
      <c r="G250" s="95" t="s">
        <v>125</v>
      </c>
      <c r="H250" s="95"/>
      <c r="I250" s="95" t="s">
        <v>55</v>
      </c>
      <c r="J250" s="95" t="s">
        <v>485</v>
      </c>
      <c r="K250" s="94">
        <v>0</v>
      </c>
      <c r="L250" s="95" t="s">
        <v>98</v>
      </c>
      <c r="M250" s="96"/>
      <c r="N250" s="95" t="s">
        <v>99</v>
      </c>
      <c r="O250" s="95"/>
      <c r="P250" s="95"/>
      <c r="Q250" s="95"/>
      <c r="R250" s="96" t="s">
        <v>126</v>
      </c>
      <c r="S250" s="95"/>
      <c r="T250" s="95" t="s">
        <v>2</v>
      </c>
      <c r="U250" s="95"/>
      <c r="V250" s="95"/>
      <c r="W250" s="95"/>
      <c r="X250" s="95"/>
      <c r="Y250" s="95"/>
      <c r="Z250" s="95"/>
    </row>
    <row r="251" spans="1:26">
      <c r="A251" s="93" t="str">
        <f>A250</f>
        <v>bln680759</v>
      </c>
      <c r="B251" s="94">
        <f>COUNTA($B$1:B250)</f>
        <v>240</v>
      </c>
      <c r="C251" s="95" t="s">
        <v>543</v>
      </c>
      <c r="D251" s="95"/>
      <c r="E251" s="95"/>
      <c r="F251" s="94"/>
      <c r="G251" s="95" t="s">
        <v>125</v>
      </c>
      <c r="H251" s="95"/>
      <c r="I251" s="95" t="s">
        <v>55</v>
      </c>
      <c r="J251" s="95" t="s">
        <v>544</v>
      </c>
      <c r="K251" s="94">
        <v>0</v>
      </c>
      <c r="L251" s="95" t="s">
        <v>98</v>
      </c>
      <c r="M251" s="96"/>
      <c r="N251" s="95" t="s">
        <v>99</v>
      </c>
      <c r="O251" s="95"/>
      <c r="P251" s="95"/>
      <c r="Q251" s="95"/>
      <c r="R251" s="96"/>
      <c r="S251" s="95"/>
      <c r="T251" s="95"/>
      <c r="U251" s="95"/>
      <c r="V251" s="95"/>
      <c r="W251" s="95"/>
      <c r="X251" s="95"/>
      <c r="Y251" s="95"/>
      <c r="Z251" s="95"/>
    </row>
    <row r="252" spans="1:26">
      <c r="A252" s="93" t="str">
        <f>A251</f>
        <v>bln680759</v>
      </c>
      <c r="B252" s="94">
        <f>COUNTA($B$1:B251)</f>
        <v>241</v>
      </c>
      <c r="C252" s="95" t="s">
        <v>67</v>
      </c>
      <c r="D252" s="95"/>
      <c r="E252" s="95"/>
      <c r="F252" s="94"/>
      <c r="G252" s="95" t="s">
        <v>125</v>
      </c>
      <c r="H252" s="95"/>
      <c r="I252" s="95"/>
      <c r="J252" s="95"/>
      <c r="K252" s="94"/>
      <c r="L252" s="95" t="s">
        <v>67</v>
      </c>
      <c r="M252" s="96">
        <v>2</v>
      </c>
      <c r="N252" s="95"/>
      <c r="O252" s="95"/>
      <c r="P252" s="95"/>
      <c r="Q252" s="95"/>
      <c r="R252" s="96"/>
      <c r="S252" s="95"/>
      <c r="T252" s="95"/>
      <c r="U252" s="95"/>
      <c r="V252" s="95"/>
      <c r="W252" s="95"/>
      <c r="X252" s="95"/>
      <c r="Y252" s="95"/>
      <c r="Z252" s="95"/>
    </row>
    <row r="253" spans="1:26">
      <c r="A253" s="93" t="str">
        <f>IF(Global!B2="QA","Y","N")</f>
        <v>N</v>
      </c>
      <c r="B253" s="94">
        <f>COUNTA($B$1:B252)</f>
        <v>242</v>
      </c>
      <c r="C253" s="95" t="s">
        <v>513</v>
      </c>
      <c r="D253" s="95"/>
      <c r="E253" s="95"/>
      <c r="F253" s="94"/>
      <c r="G253" s="95" t="s">
        <v>125</v>
      </c>
      <c r="H253" s="95"/>
      <c r="I253" s="95" t="s">
        <v>55</v>
      </c>
      <c r="J253" s="95" t="s">
        <v>488</v>
      </c>
      <c r="K253" s="94">
        <v>0</v>
      </c>
      <c r="L253" s="95" t="s">
        <v>98</v>
      </c>
      <c r="M253" s="96"/>
      <c r="N253" s="95" t="s">
        <v>99</v>
      </c>
      <c r="O253" s="95"/>
      <c r="P253" s="95"/>
      <c r="Q253" s="95"/>
      <c r="R253" s="105" t="s">
        <v>532</v>
      </c>
      <c r="S253" s="95"/>
      <c r="T253" s="95" t="s">
        <v>2</v>
      </c>
      <c r="U253" s="95"/>
      <c r="V253" s="95"/>
      <c r="W253" s="95"/>
      <c r="X253" s="105"/>
      <c r="Y253" s="105"/>
      <c r="Z253" s="105"/>
    </row>
    <row r="254" spans="1:26">
      <c r="A254" s="93" t="str">
        <f>IF(Global!B2="UAT","Y","N")</f>
        <v>Y</v>
      </c>
      <c r="B254" s="94">
        <f>COUNTA($B$1:B253)</f>
        <v>243</v>
      </c>
      <c r="C254" s="95" t="s">
        <v>513</v>
      </c>
      <c r="D254" s="95"/>
      <c r="E254" s="95"/>
      <c r="F254" s="94"/>
      <c r="G254" s="95" t="s">
        <v>125</v>
      </c>
      <c r="H254" s="95"/>
      <c r="I254" s="95" t="s">
        <v>55</v>
      </c>
      <c r="J254" s="95" t="s">
        <v>514</v>
      </c>
      <c r="K254" s="94">
        <v>0</v>
      </c>
      <c r="L254" s="95" t="s">
        <v>98</v>
      </c>
      <c r="M254" s="96"/>
      <c r="N254" s="95" t="s">
        <v>99</v>
      </c>
      <c r="O254" s="95"/>
      <c r="P254" s="95"/>
      <c r="Q254" s="95"/>
      <c r="R254" s="105" t="s">
        <v>532</v>
      </c>
      <c r="S254" s="95"/>
      <c r="T254" s="95" t="s">
        <v>2</v>
      </c>
      <c r="U254" s="95"/>
      <c r="V254" s="95"/>
      <c r="W254" s="95"/>
      <c r="X254" s="105"/>
      <c r="Y254" s="105"/>
      <c r="Z254" s="105"/>
    </row>
    <row r="255" spans="1:26">
      <c r="A255" s="93" t="str">
        <f>A251</f>
        <v>bln680759</v>
      </c>
      <c r="B255" s="94">
        <f>COUNTA($B$1:B254)</f>
        <v>244</v>
      </c>
      <c r="C255" s="95" t="s">
        <v>515</v>
      </c>
      <c r="D255" s="95"/>
      <c r="E255" s="95"/>
      <c r="F255" s="94"/>
      <c r="G255" s="95" t="s">
        <v>125</v>
      </c>
      <c r="H255" s="95"/>
      <c r="I255" s="95" t="s">
        <v>55</v>
      </c>
      <c r="J255" s="95" t="s">
        <v>375</v>
      </c>
      <c r="K255" s="94">
        <v>0</v>
      </c>
      <c r="L255" s="95" t="s">
        <v>98</v>
      </c>
      <c r="M255" s="96"/>
      <c r="N255" s="95" t="s">
        <v>99</v>
      </c>
      <c r="O255" s="95"/>
      <c r="P255" s="95"/>
      <c r="Q255" s="95"/>
      <c r="R255" s="105"/>
      <c r="S255" s="95"/>
      <c r="T255" s="95"/>
      <c r="U255" s="95"/>
      <c r="V255" s="95"/>
      <c r="W255" s="95"/>
      <c r="X255" s="105"/>
      <c r="Y255" s="105"/>
      <c r="Z255" s="105"/>
    </row>
    <row r="256" spans="1:26">
      <c r="A256" s="93" t="str">
        <f>A255</f>
        <v>bln680759</v>
      </c>
      <c r="B256" s="94">
        <f>COUNTA($B$1:B255)</f>
        <v>245</v>
      </c>
      <c r="C256" s="95" t="s">
        <v>67</v>
      </c>
      <c r="D256" s="95"/>
      <c r="E256" s="95"/>
      <c r="F256" s="94"/>
      <c r="G256" s="95" t="s">
        <v>125</v>
      </c>
      <c r="H256" s="95"/>
      <c r="I256" s="95"/>
      <c r="J256" s="95"/>
      <c r="K256" s="94"/>
      <c r="L256" s="95" t="s">
        <v>67</v>
      </c>
      <c r="M256" s="96">
        <v>2</v>
      </c>
      <c r="N256" s="95"/>
      <c r="O256" s="95"/>
      <c r="P256" s="95"/>
      <c r="Q256" s="95"/>
      <c r="R256" s="96"/>
      <c r="S256" s="95"/>
      <c r="T256" s="95"/>
      <c r="U256" s="95"/>
      <c r="V256" s="95"/>
      <c r="W256" s="95"/>
      <c r="X256" s="95"/>
      <c r="Y256" s="95"/>
      <c r="Z256" s="95"/>
    </row>
    <row r="257" spans="1:26">
      <c r="A257" s="93" t="str">
        <f>IF(Global!B2="QA","Y","N")</f>
        <v>N</v>
      </c>
      <c r="B257" s="94">
        <f>COUNTA($B$1:B256)</f>
        <v>246</v>
      </c>
      <c r="C257" s="95" t="s">
        <v>383</v>
      </c>
      <c r="D257" s="95"/>
      <c r="E257" s="95"/>
      <c r="F257" s="94"/>
      <c r="G257" s="95" t="s">
        <v>125</v>
      </c>
      <c r="H257" s="95"/>
      <c r="I257" s="95" t="s">
        <v>55</v>
      </c>
      <c r="J257" s="95" t="s">
        <v>545</v>
      </c>
      <c r="K257" s="94">
        <v>0</v>
      </c>
      <c r="L257" s="95" t="s">
        <v>98</v>
      </c>
      <c r="M257" s="96"/>
      <c r="N257" s="95" t="s">
        <v>99</v>
      </c>
      <c r="O257" s="95"/>
      <c r="P257" s="95"/>
      <c r="Q257" s="95"/>
      <c r="R257" s="96">
        <f>S200</f>
        <v>0</v>
      </c>
      <c r="S257" s="95"/>
      <c r="T257" s="95" t="s">
        <v>2</v>
      </c>
      <c r="U257" s="95"/>
      <c r="V257" s="95"/>
      <c r="W257" s="95"/>
      <c r="X257" s="95"/>
      <c r="Y257" s="95"/>
      <c r="Z257" s="95"/>
    </row>
    <row r="258" spans="1:26">
      <c r="A258" s="93" t="str">
        <f>IF(Global!B2="UAT","Y","N")</f>
        <v>Y</v>
      </c>
      <c r="B258" s="94">
        <f>COUNTA($B$1:B257)</f>
        <v>247</v>
      </c>
      <c r="C258" s="95" t="s">
        <v>383</v>
      </c>
      <c r="D258" s="95"/>
      <c r="E258" s="95"/>
      <c r="F258" s="94"/>
      <c r="G258" s="95" t="s">
        <v>125</v>
      </c>
      <c r="H258" s="95"/>
      <c r="I258" s="95" t="s">
        <v>55</v>
      </c>
      <c r="J258" s="95" t="s">
        <v>841</v>
      </c>
      <c r="K258" s="94">
        <v>0</v>
      </c>
      <c r="L258" s="95" t="s">
        <v>98</v>
      </c>
      <c r="M258" s="96"/>
      <c r="N258" s="95" t="s">
        <v>99</v>
      </c>
      <c r="O258" s="95"/>
      <c r="P258" s="95"/>
      <c r="Q258" s="95"/>
      <c r="R258" s="96">
        <f>S200</f>
        <v>0</v>
      </c>
      <c r="S258" s="95"/>
      <c r="T258" s="95" t="s">
        <v>2</v>
      </c>
      <c r="U258" s="95"/>
      <c r="V258" s="95"/>
      <c r="W258" s="95"/>
      <c r="X258" s="95"/>
      <c r="Y258" s="95"/>
      <c r="Z258" s="95"/>
    </row>
    <row r="259" spans="1:26">
      <c r="A259" s="93" t="str">
        <f>A255</f>
        <v>bln680759</v>
      </c>
      <c r="B259" s="94">
        <f>COUNTA($B$1:B258)</f>
        <v>248</v>
      </c>
      <c r="C259" s="110" t="s">
        <v>67</v>
      </c>
      <c r="D259" s="111"/>
      <c r="E259" s="112" t="s">
        <v>154</v>
      </c>
      <c r="F259" s="113"/>
      <c r="G259" s="110" t="s">
        <v>125</v>
      </c>
      <c r="H259" s="110"/>
      <c r="I259" s="110"/>
      <c r="J259" s="110"/>
      <c r="K259" s="113"/>
      <c r="L259" s="110" t="s">
        <v>67</v>
      </c>
      <c r="M259" s="114">
        <v>4</v>
      </c>
      <c r="N259" s="95"/>
      <c r="O259" s="95"/>
      <c r="P259" s="95"/>
      <c r="Q259" s="95"/>
      <c r="R259" s="96"/>
      <c r="S259" s="105"/>
      <c r="T259" s="95"/>
      <c r="U259" s="95"/>
      <c r="V259" s="95"/>
      <c r="W259" s="95"/>
      <c r="X259" s="105"/>
      <c r="Y259" s="105"/>
      <c r="Z259" s="105"/>
    </row>
    <row r="260" spans="1:26">
      <c r="A260" s="93" t="str">
        <f>A259</f>
        <v>bln680759</v>
      </c>
      <c r="B260" s="94">
        <f>COUNTA($B$1:B259)</f>
        <v>249</v>
      </c>
      <c r="C260" s="110" t="s">
        <v>546</v>
      </c>
      <c r="D260" s="111"/>
      <c r="E260" s="112" t="s">
        <v>154</v>
      </c>
      <c r="F260" s="113"/>
      <c r="G260" s="110" t="s">
        <v>125</v>
      </c>
      <c r="H260" s="110"/>
      <c r="I260" s="95" t="s">
        <v>55</v>
      </c>
      <c r="J260" s="95" t="s">
        <v>547</v>
      </c>
      <c r="K260" s="94">
        <v>0</v>
      </c>
      <c r="L260" s="95" t="s">
        <v>147</v>
      </c>
      <c r="M260" s="114"/>
      <c r="N260" s="95"/>
      <c r="O260" s="95"/>
      <c r="P260" s="95"/>
      <c r="Q260" s="95"/>
      <c r="R260" s="96"/>
      <c r="S260" s="105"/>
      <c r="T260" s="95"/>
      <c r="U260" s="95"/>
      <c r="V260" s="95"/>
      <c r="W260" s="95"/>
      <c r="X260" s="105"/>
      <c r="Y260" s="105"/>
      <c r="Z260" s="105"/>
    </row>
    <row r="261" spans="1:26">
      <c r="A261" s="93" t="str">
        <f t="shared" ref="A261:A263" si="5">A260</f>
        <v>bln680759</v>
      </c>
      <c r="B261" s="94">
        <f>COUNTA($B$1:B260)</f>
        <v>250</v>
      </c>
      <c r="C261" s="95" t="s">
        <v>67</v>
      </c>
      <c r="D261" s="95"/>
      <c r="E261" s="95"/>
      <c r="F261" s="94"/>
      <c r="G261" s="95" t="s">
        <v>125</v>
      </c>
      <c r="H261" s="95"/>
      <c r="I261" s="95"/>
      <c r="J261" s="95"/>
      <c r="K261" s="94"/>
      <c r="L261" s="95" t="s">
        <v>67</v>
      </c>
      <c r="M261" s="96">
        <v>5</v>
      </c>
      <c r="N261" s="95"/>
      <c r="O261" s="95"/>
      <c r="P261" s="95"/>
      <c r="Q261" s="95"/>
      <c r="R261" s="105"/>
      <c r="S261" s="95"/>
      <c r="T261" s="95"/>
      <c r="U261" s="95"/>
      <c r="V261" s="95"/>
      <c r="W261" s="95"/>
      <c r="X261" s="105"/>
      <c r="Y261" s="105"/>
      <c r="Z261" s="105"/>
    </row>
    <row r="262" spans="1:26">
      <c r="A262" s="93" t="str">
        <f t="shared" si="5"/>
        <v>bln680759</v>
      </c>
      <c r="B262" s="94">
        <f>COUNTA($B$1:B261)</f>
        <v>251</v>
      </c>
      <c r="C262" s="115" t="s">
        <v>489</v>
      </c>
      <c r="D262" s="115"/>
      <c r="E262" s="115"/>
      <c r="F262" s="115"/>
      <c r="G262" s="95" t="s">
        <v>125</v>
      </c>
      <c r="H262" s="115"/>
      <c r="I262" s="115"/>
      <c r="J262" s="115"/>
      <c r="K262" s="102">
        <v>0</v>
      </c>
      <c r="L262" s="115" t="s">
        <v>388</v>
      </c>
      <c r="M262" s="115" t="s">
        <v>389</v>
      </c>
      <c r="N262" s="95"/>
      <c r="O262" s="95"/>
      <c r="P262" s="95"/>
      <c r="Q262" s="95"/>
      <c r="R262" s="105"/>
      <c r="S262" s="95"/>
      <c r="T262" s="95"/>
      <c r="U262" s="95"/>
      <c r="V262" s="95"/>
      <c r="W262" s="95"/>
      <c r="X262" s="105"/>
      <c r="Y262" s="105"/>
      <c r="Z262" s="105"/>
    </row>
    <row r="263" spans="1:26">
      <c r="A263" s="93" t="str">
        <f t="shared" si="5"/>
        <v>bln680759</v>
      </c>
      <c r="B263" s="94">
        <f>COUNTA($B$1:B262)</f>
        <v>252</v>
      </c>
      <c r="C263" s="115" t="s">
        <v>490</v>
      </c>
      <c r="D263" s="115"/>
      <c r="E263" s="115"/>
      <c r="F263" s="115"/>
      <c r="G263" s="95" t="s">
        <v>125</v>
      </c>
      <c r="H263" s="115"/>
      <c r="I263" s="115"/>
      <c r="J263" s="115"/>
      <c r="K263" s="102"/>
      <c r="L263" s="95" t="s">
        <v>398</v>
      </c>
      <c r="M263" s="95" t="s">
        <v>491</v>
      </c>
      <c r="N263" s="95"/>
      <c r="O263" s="95"/>
      <c r="P263" s="95"/>
      <c r="Q263" s="95"/>
      <c r="R263" s="105"/>
      <c r="S263" s="95"/>
      <c r="T263" s="95"/>
      <c r="U263" s="95"/>
      <c r="V263" s="95"/>
      <c r="W263" s="95"/>
      <c r="X263" s="105"/>
      <c r="Y263" s="105"/>
      <c r="Z263" s="105"/>
    </row>
    <row r="264" spans="1:26">
      <c r="A264" s="93" t="s">
        <v>21</v>
      </c>
      <c r="B264" s="94">
        <f>COUNTA($B$1:B263)</f>
        <v>253</v>
      </c>
      <c r="C264" s="95" t="s">
        <v>492</v>
      </c>
      <c r="D264" s="115"/>
      <c r="E264" s="115"/>
      <c r="F264" s="115"/>
      <c r="G264" s="95" t="s">
        <v>125</v>
      </c>
      <c r="H264" s="115"/>
      <c r="I264" s="115"/>
      <c r="J264" s="115"/>
      <c r="K264" s="102"/>
      <c r="L264" s="95" t="s">
        <v>393</v>
      </c>
      <c r="M264" s="115" t="str">
        <f ca="1">Global!B3 &amp; "DescriptionOfCoverageLink.png"</f>
        <v>L:\Regression\Test Results\Temp_Results\AEM Regression\Travelex\UAT\Travel EX Migration_AEM Regression_UAT01Sep26101238\DescriptionOfCoverageLink.png</v>
      </c>
      <c r="N264" s="95"/>
      <c r="O264" s="95"/>
      <c r="P264" s="95"/>
      <c r="Q264" s="95"/>
      <c r="R264" s="105"/>
      <c r="S264" s="95"/>
      <c r="T264" s="95"/>
      <c r="U264" s="95"/>
      <c r="V264" s="95"/>
      <c r="W264" s="95"/>
      <c r="X264" s="105"/>
      <c r="Y264" s="105"/>
      <c r="Z264" s="105"/>
    </row>
    <row r="265" spans="1:26">
      <c r="A265" s="93" t="str">
        <f>A263</f>
        <v>bln680759</v>
      </c>
      <c r="B265" s="94">
        <f>COUNTA($B$1:B264)</f>
        <v>254</v>
      </c>
      <c r="C265" s="115" t="s">
        <v>67</v>
      </c>
      <c r="D265" s="115"/>
      <c r="E265" s="115"/>
      <c r="F265" s="115"/>
      <c r="G265" s="95" t="s">
        <v>125</v>
      </c>
      <c r="H265" s="115"/>
      <c r="I265" s="115"/>
      <c r="J265" s="115"/>
      <c r="K265" s="102"/>
      <c r="L265" s="115" t="s">
        <v>67</v>
      </c>
      <c r="M265" s="115">
        <v>8</v>
      </c>
      <c r="N265" s="95"/>
      <c r="O265" s="95"/>
      <c r="P265" s="95"/>
      <c r="Q265" s="95"/>
      <c r="R265" s="105"/>
      <c r="S265" s="95"/>
      <c r="T265" s="95"/>
      <c r="U265" s="95"/>
      <c r="V265" s="95"/>
      <c r="W265" s="95"/>
      <c r="X265" s="105"/>
      <c r="Y265" s="105"/>
      <c r="Z265" s="105"/>
    </row>
    <row r="266" spans="1:26">
      <c r="A266" s="93" t="str">
        <f>A265</f>
        <v>bln680759</v>
      </c>
      <c r="B266" s="94">
        <f>COUNTA($B$1:B265)</f>
        <v>255</v>
      </c>
      <c r="C266" s="115" t="s">
        <v>493</v>
      </c>
      <c r="D266" s="115"/>
      <c r="E266" s="115"/>
      <c r="F266" s="115"/>
      <c r="G266" s="95" t="s">
        <v>125</v>
      </c>
      <c r="H266" s="115"/>
      <c r="I266" s="115"/>
      <c r="J266" s="115"/>
      <c r="K266" s="102">
        <v>0</v>
      </c>
      <c r="L266" s="115" t="s">
        <v>395</v>
      </c>
      <c r="M266" s="115"/>
      <c r="N266" s="115"/>
      <c r="O266" s="115"/>
      <c r="P266" s="95"/>
      <c r="Q266" s="95"/>
      <c r="R266" s="105"/>
      <c r="S266" s="95"/>
      <c r="T266" s="95"/>
      <c r="U266" s="95"/>
      <c r="V266" s="95"/>
      <c r="W266" s="95"/>
      <c r="X266" s="105"/>
      <c r="Y266" s="105"/>
      <c r="Z266" s="105"/>
    </row>
    <row r="267" spans="1:26">
      <c r="A267" s="93" t="str">
        <f>A266</f>
        <v>bln680759</v>
      </c>
      <c r="B267" s="94">
        <f>COUNTA($B$1:B266)</f>
        <v>256</v>
      </c>
      <c r="C267" s="115" t="s">
        <v>494</v>
      </c>
      <c r="D267" s="115"/>
      <c r="E267" s="115"/>
      <c r="F267" s="115"/>
      <c r="G267" s="95" t="s">
        <v>125</v>
      </c>
      <c r="H267" s="115"/>
      <c r="I267" s="115"/>
      <c r="J267" s="115"/>
      <c r="K267" s="102">
        <v>0</v>
      </c>
      <c r="L267" s="115" t="s">
        <v>95</v>
      </c>
      <c r="M267" s="115" t="s">
        <v>138</v>
      </c>
      <c r="N267" s="115"/>
      <c r="O267" s="115"/>
      <c r="P267" s="95"/>
      <c r="Q267" s="95"/>
      <c r="R267" s="105"/>
      <c r="S267" s="95"/>
      <c r="T267" s="95"/>
      <c r="U267" s="95"/>
      <c r="V267" s="95"/>
      <c r="W267" s="95"/>
      <c r="X267" s="105"/>
      <c r="Y267" s="105"/>
      <c r="Z267" s="105"/>
    </row>
    <row r="268" spans="1:26">
      <c r="A268" s="93" t="str">
        <f>A267</f>
        <v>bln680759</v>
      </c>
      <c r="B268" s="94">
        <f>COUNTA($B$1:B267)</f>
        <v>257</v>
      </c>
      <c r="C268" s="115" t="s">
        <v>67</v>
      </c>
      <c r="D268" s="115"/>
      <c r="E268" s="115"/>
      <c r="F268" s="115"/>
      <c r="G268" s="95" t="s">
        <v>125</v>
      </c>
      <c r="H268" s="115"/>
      <c r="I268" s="115"/>
      <c r="J268" s="115"/>
      <c r="K268" s="102"/>
      <c r="L268" s="115" t="s">
        <v>67</v>
      </c>
      <c r="M268" s="115">
        <v>10</v>
      </c>
      <c r="N268" s="115"/>
      <c r="O268" s="95"/>
      <c r="P268" s="95"/>
      <c r="Q268" s="95"/>
      <c r="R268" s="96"/>
      <c r="S268" s="105"/>
      <c r="T268" s="95"/>
      <c r="U268" s="95"/>
      <c r="V268" s="95"/>
      <c r="W268" s="95"/>
      <c r="X268" s="105"/>
      <c r="Y268" s="105"/>
      <c r="Z268" s="105"/>
    </row>
    <row r="269" spans="1:26">
      <c r="A269" s="93" t="s">
        <v>21</v>
      </c>
      <c r="B269" s="94">
        <f>COUNTA($B$1:B268)</f>
        <v>258</v>
      </c>
      <c r="C269" s="110" t="s">
        <v>327</v>
      </c>
      <c r="D269" s="111"/>
      <c r="E269" s="112" t="s">
        <v>154</v>
      </c>
      <c r="F269" s="113"/>
      <c r="G269" s="110" t="s">
        <v>125</v>
      </c>
      <c r="H269" s="110"/>
      <c r="I269" s="110"/>
      <c r="J269" s="110"/>
      <c r="K269" s="113"/>
      <c r="L269" s="110" t="s">
        <v>396</v>
      </c>
      <c r="M269" s="110" t="s">
        <v>397</v>
      </c>
      <c r="N269" s="110"/>
      <c r="O269" s="110"/>
      <c r="P269" s="110"/>
      <c r="Q269" s="110"/>
      <c r="R269" s="110"/>
      <c r="S269" s="112"/>
      <c r="T269" s="110"/>
      <c r="U269" s="110"/>
      <c r="V269" s="110"/>
      <c r="W269" s="95"/>
      <c r="X269" s="105"/>
      <c r="Y269" s="105"/>
      <c r="Z269" s="105"/>
    </row>
    <row r="270" spans="1:26">
      <c r="A270" s="93" t="s">
        <v>21</v>
      </c>
      <c r="B270" s="94">
        <f>COUNTA($B$1:B269)</f>
        <v>259</v>
      </c>
      <c r="C270" s="110" t="s">
        <v>327</v>
      </c>
      <c r="D270" s="111"/>
      <c r="E270" s="112" t="s">
        <v>154</v>
      </c>
      <c r="F270" s="113"/>
      <c r="G270" s="110" t="s">
        <v>125</v>
      </c>
      <c r="H270" s="110"/>
      <c r="I270" s="110"/>
      <c r="J270" s="110"/>
      <c r="K270" s="113"/>
      <c r="L270" s="110" t="s">
        <v>398</v>
      </c>
      <c r="M270" s="110" t="s">
        <v>399</v>
      </c>
      <c r="N270" s="110"/>
      <c r="O270" s="110"/>
      <c r="P270" s="110"/>
      <c r="Q270" s="110"/>
      <c r="R270" s="110"/>
      <c r="S270" s="112"/>
      <c r="T270" s="110"/>
      <c r="U270" s="110"/>
      <c r="V270" s="110"/>
      <c r="W270" s="95"/>
      <c r="X270" s="105"/>
      <c r="Y270" s="105"/>
      <c r="Z270" s="105"/>
    </row>
    <row r="271" spans="1:26">
      <c r="A271" s="93" t="s">
        <v>21</v>
      </c>
      <c r="B271" s="94">
        <f>COUNTA($B$1:B270)</f>
        <v>260</v>
      </c>
      <c r="C271" s="110" t="s">
        <v>327</v>
      </c>
      <c r="D271" s="111"/>
      <c r="E271" s="112" t="s">
        <v>154</v>
      </c>
      <c r="F271" s="113"/>
      <c r="G271" s="110" t="s">
        <v>125</v>
      </c>
      <c r="H271" s="110"/>
      <c r="I271" s="110"/>
      <c r="J271" s="110"/>
      <c r="K271" s="113"/>
      <c r="L271" s="110" t="s">
        <v>393</v>
      </c>
      <c r="M271" s="110" t="str">
        <f ca="1">Global!B3 &amp; "ConfirmationPage.png"</f>
        <v>L:\Regression\Test Results\Temp_Results\AEM Regression\Travelex\UAT\Travel EX Migration_AEM Regression_UAT01Sep26101238\ConfirmationPage.png</v>
      </c>
      <c r="N271" s="110"/>
      <c r="O271" s="110"/>
      <c r="P271" s="110"/>
      <c r="Q271" s="110"/>
      <c r="R271" s="110"/>
      <c r="S271" s="112"/>
      <c r="T271" s="110"/>
      <c r="U271" s="110"/>
      <c r="V271" s="110"/>
      <c r="W271" s="95"/>
      <c r="X271" s="105"/>
      <c r="Y271" s="105"/>
      <c r="Z271" s="105"/>
    </row>
    <row r="272" spans="1:26">
      <c r="A272" s="93" t="s">
        <v>21</v>
      </c>
      <c r="B272" s="94">
        <f>COUNTA($B$1:B271)</f>
        <v>261</v>
      </c>
      <c r="C272" s="110" t="s">
        <v>67</v>
      </c>
      <c r="D272" s="111"/>
      <c r="E272" s="112" t="s">
        <v>154</v>
      </c>
      <c r="F272" s="113"/>
      <c r="G272" s="110" t="s">
        <v>125</v>
      </c>
      <c r="H272" s="110"/>
      <c r="I272" s="110"/>
      <c r="J272" s="110"/>
      <c r="K272" s="113"/>
      <c r="L272" s="110" t="s">
        <v>67</v>
      </c>
      <c r="M272" s="114">
        <v>4</v>
      </c>
      <c r="N272" s="95"/>
      <c r="O272" s="95"/>
      <c r="P272" s="95"/>
      <c r="Q272" s="95"/>
      <c r="R272" s="96"/>
      <c r="S272" s="105"/>
      <c r="T272" s="95"/>
      <c r="U272" s="95"/>
      <c r="V272" s="95"/>
      <c r="W272" s="95"/>
      <c r="X272" s="105"/>
      <c r="Y272" s="105"/>
      <c r="Z272" s="105"/>
    </row>
    <row r="273" spans="1:26">
      <c r="A273" s="93" t="s">
        <v>21</v>
      </c>
      <c r="B273" s="94">
        <f>COUNTA($B$1:B272)</f>
        <v>262</v>
      </c>
      <c r="C273" s="110" t="s">
        <v>402</v>
      </c>
      <c r="D273" s="111"/>
      <c r="E273" s="112" t="s">
        <v>154</v>
      </c>
      <c r="F273" s="113"/>
      <c r="G273" s="110" t="s">
        <v>125</v>
      </c>
      <c r="H273" s="110"/>
      <c r="I273" s="110"/>
      <c r="J273" s="110"/>
      <c r="K273" s="113"/>
      <c r="L273" s="110" t="s">
        <v>398</v>
      </c>
      <c r="M273" s="110" t="s">
        <v>403</v>
      </c>
      <c r="N273" s="110"/>
      <c r="O273" s="110"/>
      <c r="P273" s="110"/>
      <c r="Q273" s="110"/>
      <c r="R273" s="110"/>
      <c r="S273" s="112"/>
      <c r="T273" s="110"/>
      <c r="U273" s="110"/>
      <c r="V273" s="110"/>
      <c r="W273" s="95"/>
      <c r="X273" s="95"/>
      <c r="Y273" s="95"/>
      <c r="Z273" s="95"/>
    </row>
    <row r="274" spans="1:26">
      <c r="A274" s="93" t="s">
        <v>21</v>
      </c>
      <c r="B274" s="94">
        <f>COUNTA($B$1:B273)</f>
        <v>263</v>
      </c>
      <c r="C274" s="110" t="s">
        <v>404</v>
      </c>
      <c r="D274" s="111"/>
      <c r="E274" s="112" t="s">
        <v>154</v>
      </c>
      <c r="F274" s="113"/>
      <c r="G274" s="110" t="s">
        <v>125</v>
      </c>
      <c r="H274" s="110"/>
      <c r="I274" s="110"/>
      <c r="J274" s="110"/>
      <c r="K274" s="113"/>
      <c r="L274" s="110" t="s">
        <v>393</v>
      </c>
      <c r="M274" s="110" t="str">
        <f ca="1">Global!B3 &amp; "ConfirmationMessage1.png"</f>
        <v>L:\Regression\Test Results\Temp_Results\AEM Regression\Travelex\UAT\Travel EX Migration_AEM Regression_UAT01Sep26101238\ConfirmationMessage1.png</v>
      </c>
      <c r="N274" s="110"/>
      <c r="O274" s="110"/>
      <c r="P274" s="110"/>
      <c r="Q274" s="110"/>
      <c r="R274" s="110"/>
      <c r="S274" s="112"/>
      <c r="T274" s="110"/>
      <c r="U274" s="110"/>
      <c r="V274" s="110"/>
      <c r="W274" s="95"/>
      <c r="X274" s="95"/>
      <c r="Y274" s="95"/>
      <c r="Z274" s="95"/>
    </row>
    <row r="275" spans="1:26">
      <c r="A275" s="93" t="s">
        <v>21</v>
      </c>
      <c r="B275" s="94">
        <f>COUNTA($B$1:B274)</f>
        <v>264</v>
      </c>
      <c r="C275" s="110" t="s">
        <v>67</v>
      </c>
      <c r="D275" s="111"/>
      <c r="E275" s="112" t="s">
        <v>154</v>
      </c>
      <c r="F275" s="113"/>
      <c r="G275" s="110" t="s">
        <v>125</v>
      </c>
      <c r="H275" s="110"/>
      <c r="I275" s="110"/>
      <c r="J275" s="110"/>
      <c r="K275" s="113"/>
      <c r="L275" s="110" t="s">
        <v>67</v>
      </c>
      <c r="M275" s="114">
        <v>5</v>
      </c>
      <c r="N275" s="110"/>
      <c r="O275" s="110"/>
      <c r="P275" s="110"/>
      <c r="Q275" s="110"/>
      <c r="R275" s="114"/>
      <c r="S275" s="112"/>
      <c r="T275" s="110"/>
      <c r="U275" s="110"/>
      <c r="V275" s="110"/>
      <c r="W275" s="95"/>
      <c r="X275" s="105"/>
      <c r="Y275" s="105"/>
      <c r="Z275" s="105"/>
    </row>
    <row r="276" spans="1:26">
      <c r="A276" s="93" t="s">
        <v>21</v>
      </c>
      <c r="B276" s="94">
        <f>COUNTA($B$1:B275)</f>
        <v>265</v>
      </c>
      <c r="C276" s="110" t="s">
        <v>405</v>
      </c>
      <c r="D276" s="111"/>
      <c r="E276" s="112" t="s">
        <v>154</v>
      </c>
      <c r="F276" s="113"/>
      <c r="G276" s="110" t="s">
        <v>125</v>
      </c>
      <c r="H276" s="110"/>
      <c r="I276" s="110"/>
      <c r="J276" s="110"/>
      <c r="K276" s="113"/>
      <c r="L276" s="110" t="s">
        <v>398</v>
      </c>
      <c r="M276" s="110" t="s">
        <v>406</v>
      </c>
      <c r="N276" s="110"/>
      <c r="O276" s="110"/>
      <c r="P276" s="110"/>
      <c r="Q276" s="110"/>
      <c r="R276" s="110"/>
      <c r="S276" s="112"/>
      <c r="T276" s="110"/>
      <c r="U276" s="110"/>
      <c r="V276" s="110"/>
      <c r="W276" s="95"/>
      <c r="X276" s="95"/>
      <c r="Y276" s="95"/>
      <c r="Z276" s="95"/>
    </row>
    <row r="277" spans="1:26">
      <c r="A277" s="93" t="s">
        <v>21</v>
      </c>
      <c r="B277" s="94">
        <f>COUNTA($B$1:B276)</f>
        <v>266</v>
      </c>
      <c r="C277" s="110" t="s">
        <v>407</v>
      </c>
      <c r="D277" s="111"/>
      <c r="E277" s="112" t="s">
        <v>154</v>
      </c>
      <c r="F277" s="113"/>
      <c r="G277" s="110" t="s">
        <v>125</v>
      </c>
      <c r="H277" s="110"/>
      <c r="I277" s="110"/>
      <c r="J277" s="110"/>
      <c r="K277" s="113"/>
      <c r="L277" s="110" t="s">
        <v>393</v>
      </c>
      <c r="M277" s="110" t="str">
        <f ca="1">Global!B3 &amp; "ConfirmationMessage2.png"</f>
        <v>L:\Regression\Test Results\Temp_Results\AEM Regression\Travelex\UAT\Travel EX Migration_AEM Regression_UAT01Sep26101238\ConfirmationMessage2.png</v>
      </c>
      <c r="N277" s="110"/>
      <c r="O277" s="110"/>
      <c r="P277" s="110"/>
      <c r="Q277" s="110"/>
      <c r="R277" s="110"/>
      <c r="S277" s="112"/>
      <c r="T277" s="110"/>
      <c r="U277" s="110"/>
      <c r="V277" s="110"/>
      <c r="W277" s="95"/>
      <c r="X277" s="95"/>
      <c r="Y277" s="95"/>
      <c r="Z277" s="95"/>
    </row>
    <row r="278" spans="1:26">
      <c r="A278" s="93" t="s">
        <v>21</v>
      </c>
      <c r="B278" s="94">
        <f>COUNTA($B$1:B277)</f>
        <v>267</v>
      </c>
      <c r="C278" s="110" t="s">
        <v>67</v>
      </c>
      <c r="D278" s="111"/>
      <c r="E278" s="112" t="s">
        <v>154</v>
      </c>
      <c r="F278" s="113"/>
      <c r="G278" s="110" t="s">
        <v>125</v>
      </c>
      <c r="H278" s="110"/>
      <c r="I278" s="110"/>
      <c r="J278" s="110"/>
      <c r="K278" s="113"/>
      <c r="L278" s="110" t="s">
        <v>67</v>
      </c>
      <c r="M278" s="114">
        <v>5</v>
      </c>
      <c r="N278" s="110"/>
      <c r="O278" s="110"/>
      <c r="P278" s="110"/>
      <c r="Q278" s="110"/>
      <c r="R278" s="114"/>
      <c r="S278" s="112"/>
      <c r="T278" s="110"/>
      <c r="U278" s="110"/>
      <c r="V278" s="110"/>
      <c r="W278" s="95"/>
      <c r="X278" s="95"/>
      <c r="Y278" s="95"/>
      <c r="Z278" s="95"/>
    </row>
    <row r="279" spans="1:26">
      <c r="A279" s="93" t="s">
        <v>21</v>
      </c>
      <c r="B279" s="94">
        <f>COUNTA($B$1:B278)</f>
        <v>268</v>
      </c>
      <c r="C279" s="110" t="s">
        <v>405</v>
      </c>
      <c r="D279" s="111"/>
      <c r="E279" s="112" t="s">
        <v>154</v>
      </c>
      <c r="F279" s="113"/>
      <c r="G279" s="110" t="s">
        <v>125</v>
      </c>
      <c r="H279" s="110"/>
      <c r="I279" s="110"/>
      <c r="J279" s="110"/>
      <c r="K279" s="113"/>
      <c r="L279" s="110" t="s">
        <v>398</v>
      </c>
      <c r="M279" s="110" t="s">
        <v>406</v>
      </c>
      <c r="N279" s="110"/>
      <c r="O279" s="110"/>
      <c r="P279" s="110"/>
      <c r="Q279" s="110"/>
      <c r="R279" s="110"/>
      <c r="S279" s="112"/>
      <c r="T279" s="110"/>
      <c r="U279" s="110"/>
      <c r="V279" s="110"/>
      <c r="W279" s="95"/>
      <c r="X279" s="95"/>
      <c r="Y279" s="95"/>
      <c r="Z279" s="95"/>
    </row>
    <row r="280" spans="1:26">
      <c r="A280" s="93" t="s">
        <v>21</v>
      </c>
      <c r="B280" s="94">
        <f>COUNTA($B$1:B279)</f>
        <v>269</v>
      </c>
      <c r="C280" s="110" t="s">
        <v>408</v>
      </c>
      <c r="D280" s="111"/>
      <c r="E280" s="112" t="s">
        <v>154</v>
      </c>
      <c r="F280" s="113"/>
      <c r="G280" s="110" t="s">
        <v>125</v>
      </c>
      <c r="H280" s="110"/>
      <c r="I280" s="110"/>
      <c r="J280" s="110"/>
      <c r="K280" s="113"/>
      <c r="L280" s="110" t="s">
        <v>393</v>
      </c>
      <c r="M280" s="110" t="str">
        <f ca="1">Global!B3 &amp; "ConfirmationMessage3.png"</f>
        <v>L:\Regression\Test Results\Temp_Results\AEM Regression\Travelex\UAT\Travel EX Migration_AEM Regression_UAT01Sep26101238\ConfirmationMessage3.png</v>
      </c>
      <c r="N280" s="110"/>
      <c r="O280" s="110"/>
      <c r="P280" s="110"/>
      <c r="Q280" s="110"/>
      <c r="R280" s="110"/>
      <c r="S280" s="112"/>
      <c r="T280" s="110"/>
      <c r="U280" s="110"/>
      <c r="V280" s="110"/>
      <c r="W280" s="95"/>
      <c r="X280" s="95"/>
      <c r="Y280" s="95"/>
      <c r="Z280" s="95"/>
    </row>
    <row r="281" spans="1:26">
      <c r="A281" s="93" t="s">
        <v>21</v>
      </c>
      <c r="B281" s="94">
        <f>COUNTA($B$1:B280)</f>
        <v>270</v>
      </c>
      <c r="C281" s="110" t="s">
        <v>67</v>
      </c>
      <c r="D281" s="111"/>
      <c r="E281" s="112" t="s">
        <v>154</v>
      </c>
      <c r="F281" s="113"/>
      <c r="G281" s="110" t="s">
        <v>125</v>
      </c>
      <c r="H281" s="110"/>
      <c r="I281" s="110"/>
      <c r="J281" s="110"/>
      <c r="K281" s="113"/>
      <c r="L281" s="110" t="s">
        <v>67</v>
      </c>
      <c r="M281" s="114">
        <v>5</v>
      </c>
      <c r="N281" s="110"/>
      <c r="O281" s="110"/>
      <c r="P281" s="110"/>
      <c r="Q281" s="110"/>
      <c r="R281" s="114"/>
      <c r="S281" s="112"/>
      <c r="T281" s="110"/>
      <c r="U281" s="110"/>
      <c r="V281" s="110"/>
      <c r="W281" s="95"/>
      <c r="X281" s="105"/>
      <c r="Y281" s="105"/>
      <c r="Z281" s="105"/>
    </row>
    <row r="282" spans="1:26">
      <c r="A282" s="93" t="s">
        <v>21</v>
      </c>
      <c r="B282" s="94">
        <f>COUNTA($B$1:B281)</f>
        <v>271</v>
      </c>
      <c r="C282" s="110" t="s">
        <v>405</v>
      </c>
      <c r="D282" s="111"/>
      <c r="E282" s="112" t="s">
        <v>154</v>
      </c>
      <c r="F282" s="113"/>
      <c r="G282" s="110" t="s">
        <v>125</v>
      </c>
      <c r="H282" s="110"/>
      <c r="I282" s="110"/>
      <c r="J282" s="110"/>
      <c r="K282" s="113"/>
      <c r="L282" s="110" t="s">
        <v>398</v>
      </c>
      <c r="M282" s="110" t="s">
        <v>409</v>
      </c>
      <c r="N282" s="110"/>
      <c r="O282" s="110"/>
      <c r="P282" s="110"/>
      <c r="Q282" s="110"/>
      <c r="R282" s="110"/>
      <c r="S282" s="112"/>
      <c r="T282" s="110"/>
      <c r="U282" s="110"/>
      <c r="V282" s="110"/>
      <c r="W282" s="95"/>
      <c r="X282" s="95"/>
      <c r="Y282" s="95"/>
      <c r="Z282" s="95"/>
    </row>
    <row r="283" spans="1:26">
      <c r="A283" s="93" t="s">
        <v>21</v>
      </c>
      <c r="B283" s="94">
        <f>COUNTA($B$1:B282)</f>
        <v>272</v>
      </c>
      <c r="C283" s="110" t="s">
        <v>410</v>
      </c>
      <c r="D283" s="111"/>
      <c r="E283" s="112" t="s">
        <v>154</v>
      </c>
      <c r="F283" s="113"/>
      <c r="G283" s="110" t="s">
        <v>125</v>
      </c>
      <c r="H283" s="110"/>
      <c r="I283" s="110"/>
      <c r="J283" s="110"/>
      <c r="K283" s="113"/>
      <c r="L283" s="110" t="s">
        <v>393</v>
      </c>
      <c r="M283" s="110" t="str">
        <f ca="1">Global!B3 &amp; "ConfirmationMessage4.png"</f>
        <v>L:\Regression\Test Results\Temp_Results\AEM Regression\Travelex\UAT\Travel EX Migration_AEM Regression_UAT01Sep26101238\ConfirmationMessage4.png</v>
      </c>
      <c r="N283" s="110"/>
      <c r="O283" s="110"/>
      <c r="P283" s="110"/>
      <c r="Q283" s="110"/>
      <c r="R283" s="110"/>
      <c r="S283" s="112"/>
      <c r="T283" s="110"/>
      <c r="U283" s="110"/>
      <c r="V283" s="110"/>
      <c r="W283" s="95"/>
      <c r="X283" s="95"/>
      <c r="Y283" s="95"/>
      <c r="Z283" s="95"/>
    </row>
    <row r="284" spans="1:26">
      <c r="A284" s="30" t="s">
        <v>411</v>
      </c>
      <c r="B284" s="31"/>
      <c r="C284" s="31"/>
      <c r="D284" s="32"/>
      <c r="E284" s="32"/>
      <c r="F284" s="31"/>
      <c r="G284" s="32"/>
      <c r="H284" s="32"/>
      <c r="I284" s="32"/>
      <c r="J284" s="32"/>
      <c r="K284" s="31"/>
      <c r="L284" s="32"/>
      <c r="M284" s="32"/>
      <c r="N284" s="32"/>
      <c r="O284" s="32"/>
      <c r="P284" s="32"/>
      <c r="Q284" s="32"/>
      <c r="R284" s="32"/>
      <c r="S284" s="32"/>
      <c r="T284" s="32"/>
      <c r="U284" s="32"/>
      <c r="V284" s="32"/>
      <c r="W284" s="32"/>
      <c r="X284" s="32"/>
      <c r="Y284" s="32"/>
      <c r="Z284" s="32"/>
    </row>
    <row r="285" spans="1:26">
      <c r="A285" s="93" t="s">
        <v>518</v>
      </c>
      <c r="B285" s="94">
        <f>COUNTA($B$1:B284)</f>
        <v>273</v>
      </c>
      <c r="C285" s="95" t="s">
        <v>97</v>
      </c>
      <c r="D285" s="95"/>
      <c r="E285" s="95"/>
      <c r="F285" s="94"/>
      <c r="G285" s="95" t="s">
        <v>125</v>
      </c>
      <c r="H285" s="95"/>
      <c r="I285" s="95"/>
      <c r="J285" s="95"/>
      <c r="K285" s="94"/>
      <c r="L285" s="95" t="s">
        <v>97</v>
      </c>
      <c r="M285" s="96"/>
      <c r="N285" s="95"/>
      <c r="O285" s="95"/>
      <c r="P285" s="95"/>
      <c r="Q285" s="95"/>
      <c r="R285" s="95"/>
      <c r="S285" s="95"/>
      <c r="T285" s="95"/>
      <c r="U285" s="95"/>
      <c r="V285" s="95"/>
      <c r="W285" s="95"/>
      <c r="X285" s="95"/>
      <c r="Y285" s="95"/>
      <c r="Z285" s="95"/>
    </row>
  </sheetData>
  <pageMargins left="0.7" right="0.7" top="0.75" bottom="0.75" header="0.3" footer="0.3"/>
  <pageSetup orientation="portrait" r:id="rId1"/>
  <headerFooter>
    <oddFooter>&amp;L_x000D_&amp;1#&amp;"Aptos"&amp;10&amp;K000000 INTERNAL USE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949B5-FFB7-4D7F-ADB7-F2E4CC706770}">
  <sheetPr>
    <tabColor theme="8"/>
  </sheetPr>
  <dimension ref="A1:IM2"/>
  <sheetViews>
    <sheetView showGridLines="0" zoomScale="92" zoomScaleNormal="92" workbookViewId="0">
      <pane xSplit="2" ySplit="1" topLeftCell="C2" activePane="bottomRight" state="frozen"/>
      <selection pane="topRight" activeCell="C1" sqref="C1"/>
      <selection pane="bottomLeft" activeCell="A2" sqref="A2"/>
      <selection pane="bottomRight" activeCell="H3" sqref="H3"/>
    </sheetView>
  </sheetViews>
  <sheetFormatPr defaultColWidth="9.140625" defaultRowHeight="12.75"/>
  <cols>
    <col min="1" max="1" width="23.42578125" style="15" bestFit="1" customWidth="1"/>
    <col min="2" max="2" width="12" style="15" bestFit="1" customWidth="1"/>
    <col min="3" max="3" width="11.140625" style="15" customWidth="1"/>
    <col min="4" max="4" width="8.140625" style="15" bestFit="1" customWidth="1"/>
    <col min="5" max="5" width="18.42578125" style="15" bestFit="1" customWidth="1"/>
    <col min="6" max="7" width="18.42578125" style="15" customWidth="1"/>
    <col min="8" max="8" width="35" style="15" bestFit="1" customWidth="1"/>
    <col min="9" max="10" width="13.85546875" style="15" bestFit="1" customWidth="1"/>
    <col min="11" max="11" width="41.42578125" style="15" bestFit="1" customWidth="1"/>
    <col min="12" max="12" width="19.140625" style="15" bestFit="1" customWidth="1"/>
    <col min="13" max="13" width="12.42578125" style="15" bestFit="1" customWidth="1"/>
    <col min="14" max="14" width="11.140625" style="15" bestFit="1" customWidth="1"/>
    <col min="15" max="15" width="14.5703125" style="15" bestFit="1" customWidth="1"/>
    <col min="16" max="16" width="14" style="15" bestFit="1" customWidth="1"/>
    <col min="17" max="17" width="13.42578125" style="15" bestFit="1" customWidth="1"/>
    <col min="18" max="18" width="9.7109375" style="15" bestFit="1" customWidth="1"/>
    <col min="19" max="19" width="12.28515625" style="15" bestFit="1" customWidth="1"/>
    <col min="20" max="20" width="9.7109375" style="15" bestFit="1" customWidth="1"/>
    <col min="21" max="21" width="9.5703125" style="15" customWidth="1"/>
    <col min="22" max="22" width="15.85546875" style="15" customWidth="1"/>
    <col min="23" max="24" width="11.7109375" style="15" customWidth="1"/>
    <col min="25" max="25" width="7.85546875" style="15" bestFit="1" customWidth="1"/>
    <col min="26" max="26" width="9.7109375" style="15" bestFit="1" customWidth="1"/>
    <col min="27" max="27" width="7.85546875" style="15" bestFit="1" customWidth="1"/>
    <col min="28" max="29" width="14.85546875" style="15" bestFit="1" customWidth="1"/>
    <col min="30" max="33" width="17.85546875" style="15" customWidth="1"/>
    <col min="34" max="35" width="17.85546875" style="15" bestFit="1" customWidth="1"/>
    <col min="36" max="53" width="17.85546875" style="15" customWidth="1"/>
    <col min="54" max="57" width="22.85546875" style="15" bestFit="1" customWidth="1"/>
    <col min="58" max="59" width="18.42578125" style="15" bestFit="1" customWidth="1"/>
    <col min="60" max="60" width="28.5703125" style="15" bestFit="1" customWidth="1"/>
    <col min="61" max="61" width="27.28515625" style="15" bestFit="1" customWidth="1"/>
    <col min="62" max="64" width="18.42578125" style="15" customWidth="1"/>
    <col min="65" max="65" width="18.42578125" style="15" bestFit="1" customWidth="1"/>
    <col min="66" max="66" width="16.140625" style="15" bestFit="1" customWidth="1"/>
    <col min="67" max="16384" width="9.140625" style="15"/>
  </cols>
  <sheetData>
    <row r="1" spans="1:247" s="146" customFormat="1" ht="12.95" customHeight="1">
      <c r="A1" s="141" t="s">
        <v>78</v>
      </c>
      <c r="B1" s="142" t="s">
        <v>5</v>
      </c>
      <c r="C1" s="143" t="s">
        <v>84</v>
      </c>
      <c r="D1" s="143" t="s">
        <v>76</v>
      </c>
      <c r="E1" s="142" t="s">
        <v>518</v>
      </c>
      <c r="F1" s="142" t="s">
        <v>134</v>
      </c>
      <c r="G1" s="142" t="s">
        <v>11</v>
      </c>
      <c r="H1" s="142" t="s">
        <v>57</v>
      </c>
      <c r="I1" s="142" t="s">
        <v>604</v>
      </c>
      <c r="J1" s="142" t="s">
        <v>329</v>
      </c>
      <c r="K1" s="142" t="s">
        <v>139</v>
      </c>
      <c r="L1" s="142" t="s">
        <v>605</v>
      </c>
      <c r="M1" s="142" t="s">
        <v>152</v>
      </c>
      <c r="N1" s="142" t="s">
        <v>606</v>
      </c>
      <c r="O1" s="142" t="s">
        <v>274</v>
      </c>
      <c r="P1" s="142" t="s">
        <v>607</v>
      </c>
      <c r="Q1" s="142" t="s">
        <v>608</v>
      </c>
      <c r="R1" s="142" t="s">
        <v>609</v>
      </c>
      <c r="S1" s="142" t="s">
        <v>610</v>
      </c>
      <c r="T1" s="142" t="s">
        <v>611</v>
      </c>
      <c r="U1" s="142" t="s">
        <v>612</v>
      </c>
      <c r="V1" s="142" t="s">
        <v>613</v>
      </c>
      <c r="W1" s="142" t="s">
        <v>614</v>
      </c>
      <c r="X1" s="142" t="s">
        <v>615</v>
      </c>
      <c r="Y1" s="142" t="s">
        <v>616</v>
      </c>
      <c r="Z1" s="142" t="s">
        <v>617</v>
      </c>
      <c r="AA1" s="142" t="s">
        <v>618</v>
      </c>
      <c r="AB1" s="142" t="s">
        <v>619</v>
      </c>
      <c r="AC1" s="142" t="s">
        <v>620</v>
      </c>
      <c r="AD1" s="142" t="s">
        <v>621</v>
      </c>
      <c r="AE1" s="142" t="s">
        <v>622</v>
      </c>
      <c r="AF1" s="142" t="s">
        <v>623</v>
      </c>
      <c r="AG1" s="142" t="s">
        <v>624</v>
      </c>
      <c r="AH1" s="142" t="s">
        <v>625</v>
      </c>
      <c r="AI1" s="142" t="s">
        <v>626</v>
      </c>
      <c r="AJ1" s="142" t="s">
        <v>627</v>
      </c>
      <c r="AK1" s="142" t="s">
        <v>628</v>
      </c>
      <c r="AL1" s="142" t="s">
        <v>629</v>
      </c>
      <c r="AM1" s="142" t="s">
        <v>630</v>
      </c>
      <c r="AN1" s="142" t="s">
        <v>631</v>
      </c>
      <c r="AO1" s="142" t="s">
        <v>632</v>
      </c>
      <c r="AP1" s="142" t="s">
        <v>633</v>
      </c>
      <c r="AQ1" s="142" t="s">
        <v>634</v>
      </c>
      <c r="AR1" s="142" t="s">
        <v>635</v>
      </c>
      <c r="AS1" s="142" t="s">
        <v>636</v>
      </c>
      <c r="AT1" s="142" t="s">
        <v>637</v>
      </c>
      <c r="AU1" s="142" t="s">
        <v>638</v>
      </c>
      <c r="AV1" s="142" t="s">
        <v>155</v>
      </c>
      <c r="AW1" s="142" t="s">
        <v>440</v>
      </c>
      <c r="AX1" s="142" t="s">
        <v>275</v>
      </c>
      <c r="AY1" s="142" t="s">
        <v>157</v>
      </c>
      <c r="AZ1" s="142" t="s">
        <v>441</v>
      </c>
      <c r="BA1" s="142" t="s">
        <v>276</v>
      </c>
      <c r="BB1" s="142" t="s">
        <v>160</v>
      </c>
      <c r="BC1" s="142" t="s">
        <v>639</v>
      </c>
      <c r="BD1" s="142" t="s">
        <v>640</v>
      </c>
      <c r="BE1" s="142" t="s">
        <v>641</v>
      </c>
      <c r="BF1" s="142" t="s">
        <v>642</v>
      </c>
      <c r="BG1" s="142" t="s">
        <v>643</v>
      </c>
      <c r="BH1" s="142" t="s">
        <v>644</v>
      </c>
      <c r="BI1" s="142" t="s">
        <v>164</v>
      </c>
      <c r="BJ1" s="142" t="s">
        <v>278</v>
      </c>
      <c r="BK1" s="142" t="s">
        <v>645</v>
      </c>
      <c r="BL1" s="142" t="s">
        <v>646</v>
      </c>
      <c r="BM1" s="142" t="s">
        <v>647</v>
      </c>
      <c r="BN1" s="142" t="s">
        <v>648</v>
      </c>
      <c r="BO1" s="142" t="s">
        <v>649</v>
      </c>
      <c r="BP1" s="142" t="s">
        <v>650</v>
      </c>
      <c r="BQ1" s="142" t="s">
        <v>651</v>
      </c>
      <c r="BR1" s="142" t="s">
        <v>652</v>
      </c>
      <c r="BS1" s="142" t="s">
        <v>653</v>
      </c>
      <c r="BT1" s="142" t="s">
        <v>654</v>
      </c>
      <c r="BU1" s="142" t="s">
        <v>655</v>
      </c>
      <c r="BV1" s="142" t="s">
        <v>656</v>
      </c>
      <c r="BW1" s="142" t="s">
        <v>657</v>
      </c>
      <c r="BX1" s="142" t="s">
        <v>658</v>
      </c>
      <c r="BY1" s="142" t="s">
        <v>659</v>
      </c>
      <c r="BZ1" s="142" t="s">
        <v>660</v>
      </c>
      <c r="CA1" s="142" t="s">
        <v>661</v>
      </c>
      <c r="CB1" s="142" t="s">
        <v>662</v>
      </c>
      <c r="CC1" s="142" t="s">
        <v>663</v>
      </c>
      <c r="CD1" s="142" t="s">
        <v>664</v>
      </c>
      <c r="CE1" s="142" t="s">
        <v>665</v>
      </c>
      <c r="CF1" s="142" t="s">
        <v>666</v>
      </c>
      <c r="CG1" s="142" t="s">
        <v>667</v>
      </c>
      <c r="CH1" s="142" t="s">
        <v>668</v>
      </c>
      <c r="CI1" s="142" t="s">
        <v>669</v>
      </c>
      <c r="CJ1" s="142" t="s">
        <v>670</v>
      </c>
      <c r="CK1" s="142" t="s">
        <v>671</v>
      </c>
      <c r="CL1" s="142" t="s">
        <v>672</v>
      </c>
      <c r="CM1" s="142" t="s">
        <v>673</v>
      </c>
      <c r="CN1" s="142" t="s">
        <v>674</v>
      </c>
      <c r="CO1" s="142" t="s">
        <v>675</v>
      </c>
      <c r="CP1" s="142" t="s">
        <v>676</v>
      </c>
      <c r="CQ1" s="142" t="s">
        <v>677</v>
      </c>
      <c r="CR1" s="142" t="s">
        <v>678</v>
      </c>
      <c r="CS1" s="142" t="s">
        <v>679</v>
      </c>
      <c r="CT1" s="142" t="s">
        <v>680</v>
      </c>
      <c r="CU1" s="142" t="s">
        <v>681</v>
      </c>
      <c r="CV1" s="142" t="s">
        <v>682</v>
      </c>
      <c r="CW1" s="142" t="s">
        <v>683</v>
      </c>
      <c r="CX1" s="142" t="s">
        <v>684</v>
      </c>
      <c r="CY1" s="142" t="s">
        <v>685</v>
      </c>
      <c r="CZ1" s="142" t="s">
        <v>686</v>
      </c>
      <c r="DA1" s="142" t="s">
        <v>687</v>
      </c>
      <c r="DB1" s="142" t="s">
        <v>688</v>
      </c>
      <c r="DC1" s="142" t="s">
        <v>689</v>
      </c>
      <c r="DD1" s="142" t="s">
        <v>690</v>
      </c>
      <c r="DE1" s="142" t="s">
        <v>691</v>
      </c>
      <c r="DF1" s="142" t="s">
        <v>692</v>
      </c>
      <c r="DG1" s="142" t="s">
        <v>693</v>
      </c>
      <c r="DH1" s="142" t="s">
        <v>694</v>
      </c>
      <c r="DI1" s="142" t="s">
        <v>695</v>
      </c>
      <c r="DJ1" s="142" t="s">
        <v>696</v>
      </c>
      <c r="DK1" s="142" t="s">
        <v>167</v>
      </c>
      <c r="DL1" s="142" t="s">
        <v>170</v>
      </c>
      <c r="DM1" s="142" t="s">
        <v>697</v>
      </c>
      <c r="DN1" s="142" t="s">
        <v>174</v>
      </c>
      <c r="DO1" s="142" t="s">
        <v>177</v>
      </c>
      <c r="DP1" s="142" t="s">
        <v>288</v>
      </c>
      <c r="DQ1" s="142" t="s">
        <v>291</v>
      </c>
      <c r="DR1" s="142" t="s">
        <v>698</v>
      </c>
      <c r="DS1" s="142" t="s">
        <v>180</v>
      </c>
      <c r="DT1" s="142" t="s">
        <v>183</v>
      </c>
      <c r="DU1" s="142" t="s">
        <v>245</v>
      </c>
      <c r="DV1" s="142" t="s">
        <v>248</v>
      </c>
      <c r="DW1" s="142" t="s">
        <v>251</v>
      </c>
      <c r="DX1" s="142" t="s">
        <v>186</v>
      </c>
      <c r="DY1" s="142" t="s">
        <v>189</v>
      </c>
      <c r="DZ1" s="142" t="s">
        <v>254</v>
      </c>
      <c r="EA1" s="142" t="s">
        <v>257</v>
      </c>
      <c r="EB1" s="142" t="s">
        <v>260</v>
      </c>
      <c r="EC1" s="142" t="s">
        <v>699</v>
      </c>
      <c r="ED1" s="142" t="s">
        <v>700</v>
      </c>
      <c r="EE1" s="142" t="s">
        <v>701</v>
      </c>
      <c r="EF1" s="142" t="s">
        <v>702</v>
      </c>
      <c r="EG1" s="142" t="s">
        <v>703</v>
      </c>
      <c r="EH1" s="142" t="s">
        <v>704</v>
      </c>
      <c r="EI1" s="142" t="s">
        <v>705</v>
      </c>
      <c r="EJ1" s="142" t="s">
        <v>706</v>
      </c>
      <c r="EK1" s="142" t="s">
        <v>707</v>
      </c>
      <c r="EL1" s="142" t="s">
        <v>708</v>
      </c>
      <c r="EM1" s="142" t="s">
        <v>709</v>
      </c>
      <c r="EN1" s="142" t="s">
        <v>710</v>
      </c>
      <c r="EO1" s="142" t="s">
        <v>711</v>
      </c>
      <c r="EP1" s="142" t="s">
        <v>712</v>
      </c>
      <c r="EQ1" s="142" t="s">
        <v>713</v>
      </c>
      <c r="ER1" s="142" t="s">
        <v>714</v>
      </c>
      <c r="ES1" s="142" t="s">
        <v>715</v>
      </c>
      <c r="ET1" s="142" t="s">
        <v>716</v>
      </c>
      <c r="EU1" s="142" t="s">
        <v>717</v>
      </c>
      <c r="EV1" s="142" t="s">
        <v>718</v>
      </c>
      <c r="EW1" s="142" t="s">
        <v>719</v>
      </c>
      <c r="EX1" s="142" t="s">
        <v>720</v>
      </c>
      <c r="EY1" s="142" t="s">
        <v>721</v>
      </c>
      <c r="EZ1" s="142" t="s">
        <v>722</v>
      </c>
      <c r="FA1" s="142" t="s">
        <v>723</v>
      </c>
      <c r="FB1" s="142" t="s">
        <v>724</v>
      </c>
      <c r="FC1" s="142" t="s">
        <v>725</v>
      </c>
      <c r="FD1" s="142" t="s">
        <v>726</v>
      </c>
      <c r="FE1" s="142" t="s">
        <v>727</v>
      </c>
      <c r="FF1" s="142" t="s">
        <v>728</v>
      </c>
      <c r="FG1" s="142" t="s">
        <v>203</v>
      </c>
      <c r="FH1" s="142" t="s">
        <v>206</v>
      </c>
      <c r="FI1" s="142" t="s">
        <v>211</v>
      </c>
      <c r="FJ1" s="142" t="s">
        <v>212</v>
      </c>
      <c r="FK1" s="142" t="s">
        <v>214</v>
      </c>
      <c r="FL1" s="142" t="s">
        <v>215</v>
      </c>
      <c r="FM1" s="142" t="s">
        <v>527</v>
      </c>
      <c r="FN1" s="142" t="s">
        <v>528</v>
      </c>
      <c r="FO1" s="142" t="s">
        <v>529</v>
      </c>
      <c r="FP1" s="142" t="s">
        <v>530</v>
      </c>
      <c r="FQ1" s="142" t="s">
        <v>222</v>
      </c>
      <c r="FR1" s="142" t="s">
        <v>223</v>
      </c>
      <c r="FS1" s="142" t="s">
        <v>225</v>
      </c>
      <c r="FT1" s="142" t="s">
        <v>729</v>
      </c>
      <c r="FU1" s="142" t="s">
        <v>294</v>
      </c>
      <c r="FV1" s="142" t="s">
        <v>230</v>
      </c>
      <c r="FW1" s="142" t="s">
        <v>104</v>
      </c>
      <c r="FX1" s="142" t="s">
        <v>234</v>
      </c>
      <c r="FY1" s="142" t="s">
        <v>818</v>
      </c>
      <c r="FZ1" s="142" t="s">
        <v>816</v>
      </c>
      <c r="GA1" s="142" t="s">
        <v>281</v>
      </c>
      <c r="GB1" s="142" t="s">
        <v>237</v>
      </c>
      <c r="GC1" s="142" t="s">
        <v>282</v>
      </c>
      <c r="GD1" s="142" t="s">
        <v>239</v>
      </c>
      <c r="GE1" s="142" t="s">
        <v>283</v>
      </c>
      <c r="GF1" s="142" t="s">
        <v>242</v>
      </c>
      <c r="GG1" s="142" t="s">
        <v>525</v>
      </c>
      <c r="GH1" s="142" t="s">
        <v>261</v>
      </c>
      <c r="GI1" s="142" t="s">
        <v>264</v>
      </c>
      <c r="GJ1" s="142" t="s">
        <v>730</v>
      </c>
      <c r="GK1" s="142" t="s">
        <v>266</v>
      </c>
      <c r="GL1" s="142" t="s">
        <v>268</v>
      </c>
      <c r="GM1" s="144" t="s">
        <v>731</v>
      </c>
      <c r="GN1" s="144" t="s">
        <v>732</v>
      </c>
      <c r="GO1" s="144" t="s">
        <v>733</v>
      </c>
      <c r="GP1" s="144" t="s">
        <v>734</v>
      </c>
      <c r="GQ1" s="144" t="s">
        <v>605</v>
      </c>
      <c r="GR1" s="144" t="s">
        <v>735</v>
      </c>
      <c r="GS1" s="144" t="s">
        <v>736</v>
      </c>
      <c r="GT1" s="144" t="s">
        <v>737</v>
      </c>
      <c r="GU1" s="144" t="s">
        <v>738</v>
      </c>
      <c r="GV1" s="144" t="s">
        <v>736</v>
      </c>
      <c r="GW1" s="144" t="s">
        <v>739</v>
      </c>
      <c r="GX1" s="144" t="s">
        <v>740</v>
      </c>
      <c r="GY1" s="144" t="s">
        <v>736</v>
      </c>
      <c r="GZ1" s="144" t="s">
        <v>741</v>
      </c>
      <c r="HA1" s="144" t="s">
        <v>742</v>
      </c>
      <c r="HB1" s="144" t="s">
        <v>743</v>
      </c>
      <c r="HC1" s="144" t="s">
        <v>744</v>
      </c>
      <c r="HD1" s="144" t="s">
        <v>745</v>
      </c>
      <c r="HE1" s="144" t="s">
        <v>743</v>
      </c>
      <c r="HF1" s="144" t="s">
        <v>746</v>
      </c>
      <c r="HG1" s="144" t="s">
        <v>747</v>
      </c>
      <c r="HH1" s="144" t="s">
        <v>743</v>
      </c>
      <c r="HI1" s="144" t="s">
        <v>748</v>
      </c>
      <c r="HJ1" s="144" t="s">
        <v>749</v>
      </c>
      <c r="HK1" s="144" t="s">
        <v>743</v>
      </c>
      <c r="HL1" s="144" t="s">
        <v>750</v>
      </c>
      <c r="HM1" s="144" t="s">
        <v>751</v>
      </c>
      <c r="HN1" s="144" t="s">
        <v>752</v>
      </c>
      <c r="HO1" s="144" t="s">
        <v>753</v>
      </c>
      <c r="HP1" s="144" t="s">
        <v>754</v>
      </c>
      <c r="HQ1" s="144" t="s">
        <v>755</v>
      </c>
      <c r="HR1" s="144" t="s">
        <v>756</v>
      </c>
      <c r="HS1" s="144" t="s">
        <v>757</v>
      </c>
      <c r="HT1" s="144" t="s">
        <v>758</v>
      </c>
      <c r="HU1" s="144" t="s">
        <v>759</v>
      </c>
      <c r="HV1" s="144" t="s">
        <v>760</v>
      </c>
      <c r="HW1" s="144" t="s">
        <v>761</v>
      </c>
      <c r="HX1" s="144" t="s">
        <v>762</v>
      </c>
      <c r="HY1" s="144" t="s">
        <v>763</v>
      </c>
      <c r="HZ1" s="144" t="s">
        <v>764</v>
      </c>
      <c r="IA1" s="144" t="s">
        <v>765</v>
      </c>
      <c r="IB1" s="144" t="s">
        <v>766</v>
      </c>
      <c r="IC1" s="144" t="s">
        <v>767</v>
      </c>
      <c r="ID1" s="144" t="s">
        <v>768</v>
      </c>
      <c r="IE1" s="144" t="s">
        <v>769</v>
      </c>
      <c r="IF1" s="144" t="s">
        <v>770</v>
      </c>
      <c r="IG1" s="144" t="s">
        <v>771</v>
      </c>
      <c r="IH1" s="144" t="s">
        <v>772</v>
      </c>
      <c r="II1" s="144" t="s">
        <v>773</v>
      </c>
      <c r="IJ1" s="145" t="s">
        <v>774</v>
      </c>
      <c r="IK1" s="145" t="s">
        <v>775</v>
      </c>
      <c r="IL1" s="145" t="s">
        <v>776</v>
      </c>
      <c r="IM1" s="145" t="s">
        <v>777</v>
      </c>
    </row>
    <row r="2" spans="1:247" s="160" customFormat="1" ht="12.75" customHeight="1">
      <c r="A2" s="142" t="s">
        <v>518</v>
      </c>
      <c r="B2" s="142" t="s">
        <v>2</v>
      </c>
      <c r="C2" s="142" t="s">
        <v>2</v>
      </c>
      <c r="D2" s="142" t="s">
        <v>2</v>
      </c>
      <c r="E2" s="147" t="s">
        <v>2</v>
      </c>
      <c r="F2" s="147" t="s">
        <v>778</v>
      </c>
      <c r="G2" s="148" t="s">
        <v>802</v>
      </c>
      <c r="H2" s="185" t="str" cm="1">
        <f t="array" ref="H2">_xlfn.IFS(Global!B2="QA","https://preview.qa.insurancebytravelex.com",Global!B2="UAT","https://preview.uat.insurancebytravelex.com",Global!B2="PROD","https://preview.insurancebytravelex.com/")</f>
        <v>https://preview.uat.insurancebytravelex.com</v>
      </c>
      <c r="I2" s="149">
        <f t="shared" ref="I2" ca="1" si="0">TODAY()</f>
        <v>46266</v>
      </c>
      <c r="J2" s="149"/>
      <c r="K2" s="150"/>
      <c r="L2" s="150" t="s">
        <v>126</v>
      </c>
      <c r="M2" s="150" t="s">
        <v>781</v>
      </c>
      <c r="N2" s="150"/>
      <c r="O2" s="150" t="s">
        <v>782</v>
      </c>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c r="AP2" s="150"/>
      <c r="AQ2" s="150"/>
      <c r="AR2" s="150"/>
      <c r="AS2" s="150"/>
      <c r="AT2" s="150"/>
      <c r="AU2" s="150"/>
      <c r="AV2" s="151" t="str">
        <f t="shared" ref="AV2" ca="1" si="1">TEXT(I2+1,"mm/dd/yyyy")</f>
        <v>09/02/2026</v>
      </c>
      <c r="AW2" s="152" t="str">
        <f t="shared" ref="AW2" ca="1" si="2">TEXT(I2+7,"mm/dd/yyyy")</f>
        <v>09/08/2026</v>
      </c>
      <c r="AX2" s="153" t="str">
        <f t="shared" ref="AX2" ca="1" si="3">TEXT(I2+7,"mm/dd/yyyy")</f>
        <v>09/08/2026</v>
      </c>
      <c r="AY2" s="154" t="str">
        <f t="shared" ref="AY2" ca="1" si="4">TEXT(AV2+89,"mm/dd/yyyy")</f>
        <v>11/30/2026</v>
      </c>
      <c r="AZ2" s="152" t="str">
        <f t="shared" ref="AZ2" ca="1" si="5">TEXT(AW2+14,"mm/dd/yyyy")</f>
        <v>09/22/2026</v>
      </c>
      <c r="BA2" s="153" t="str">
        <f t="shared" ref="BA2" ca="1" si="6">TEXT(AV2+14,"mm/dd/yyyy")</f>
        <v>09/16/2026</v>
      </c>
      <c r="BB2" s="155" t="str">
        <f t="shared" ref="BB2" ca="1" si="7">TEXT(I2-1,"mm/dd/yyyy")</f>
        <v>08/31/2026</v>
      </c>
      <c r="BC2" s="155"/>
      <c r="BD2" s="155"/>
      <c r="BE2" s="155"/>
      <c r="BF2" s="155"/>
      <c r="BG2" s="155"/>
      <c r="BH2" s="155"/>
      <c r="BI2" s="156" t="s">
        <v>783</v>
      </c>
      <c r="BJ2" s="147" t="s">
        <v>784</v>
      </c>
      <c r="BK2" s="147" t="s">
        <v>785</v>
      </c>
      <c r="BL2" s="156"/>
      <c r="BM2" s="147"/>
      <c r="BN2" s="147"/>
      <c r="BO2" s="156"/>
      <c r="BP2" s="147"/>
      <c r="BQ2" s="147"/>
      <c r="BR2" s="156"/>
      <c r="BS2" s="147"/>
      <c r="BT2" s="147"/>
      <c r="BU2" s="156"/>
      <c r="BV2" s="147"/>
      <c r="BW2" s="147"/>
      <c r="BX2" s="156"/>
      <c r="BY2" s="147"/>
      <c r="BZ2" s="147"/>
      <c r="CA2" s="156"/>
      <c r="CB2" s="147"/>
      <c r="CC2" s="147"/>
      <c r="CD2" s="156"/>
      <c r="CE2" s="147"/>
      <c r="CF2" s="147"/>
      <c r="CG2" s="156"/>
      <c r="CH2" s="147"/>
      <c r="CI2" s="147"/>
      <c r="CJ2" s="156"/>
      <c r="CK2" s="147"/>
      <c r="CL2" s="147"/>
      <c r="CM2" s="156"/>
      <c r="CN2" s="147"/>
      <c r="CO2" s="147"/>
      <c r="CP2" s="156"/>
      <c r="CQ2" s="147"/>
      <c r="CR2" s="147"/>
      <c r="CS2" s="156"/>
      <c r="CT2" s="147"/>
      <c r="CU2" s="147"/>
      <c r="CV2" s="156"/>
      <c r="CW2" s="147"/>
      <c r="CX2" s="147"/>
      <c r="CY2" s="156"/>
      <c r="CZ2" s="147"/>
      <c r="DA2" s="147"/>
      <c r="DB2" s="156"/>
      <c r="DC2" s="147"/>
      <c r="DD2" s="147"/>
      <c r="DE2" s="156"/>
      <c r="DF2" s="147"/>
      <c r="DG2" s="147"/>
      <c r="DH2" s="156"/>
      <c r="DI2" s="147"/>
      <c r="DJ2" s="147"/>
      <c r="DK2" s="156" t="s">
        <v>786</v>
      </c>
      <c r="DL2" s="156" t="s">
        <v>787</v>
      </c>
      <c r="DM2" s="157" t="s">
        <v>88</v>
      </c>
      <c r="DN2" s="156" t="s">
        <v>86</v>
      </c>
      <c r="DO2" s="156" t="s">
        <v>788</v>
      </c>
      <c r="DP2" s="156" t="str">
        <f t="shared" ref="DP2" ca="1" si="8">"QAFIRSTNAME"&amp;CHAR(RANDBETWEEN(65,90))&amp;CHAR(RANDBETWEEN(65,90))</f>
        <v>QAFIRSTNAMEFT</v>
      </c>
      <c r="DQ2" s="156" t="str">
        <f t="shared" ref="DQ2" ca="1" si="9">"QALASTNAME"&amp;CHAR(RANDBETWEEN(65,90))&amp;CHAR(RANDBETWEEN(65,90))</f>
        <v>QALASTNAMESQ</v>
      </c>
      <c r="DR2" s="156" t="str">
        <f t="shared" ref="DR2" ca="1" si="10">TEXT(DATE(YEAR(TODAY())-DS2,MONTH(TODAY()),DAY(TODAY())),"MM/DD/YYYY")</f>
        <v>09/01/2026</v>
      </c>
      <c r="DS2" s="156"/>
      <c r="DT2" s="156"/>
      <c r="DU2" s="156"/>
      <c r="DV2" s="156"/>
      <c r="DW2" s="156"/>
      <c r="DX2" s="156"/>
      <c r="DY2" s="156"/>
      <c r="DZ2" s="156"/>
      <c r="EA2" s="156"/>
      <c r="EB2" s="156"/>
      <c r="EC2" s="156"/>
      <c r="ED2" s="156"/>
      <c r="EE2" s="156"/>
      <c r="EF2" s="156"/>
      <c r="EG2" s="156"/>
      <c r="EH2" s="156"/>
      <c r="EI2" s="156"/>
      <c r="EJ2" s="156"/>
      <c r="EK2" s="156"/>
      <c r="EL2" s="156"/>
      <c r="EM2" s="156"/>
      <c r="EN2" s="156"/>
      <c r="EO2" s="156"/>
      <c r="EP2" s="156"/>
      <c r="EQ2" s="156"/>
      <c r="ER2" s="156"/>
      <c r="ES2" s="156"/>
      <c r="ET2" s="156"/>
      <c r="EU2" s="156"/>
      <c r="EV2" s="156"/>
      <c r="EW2" s="156"/>
      <c r="EX2" s="156"/>
      <c r="EY2" s="156"/>
      <c r="EZ2" s="156"/>
      <c r="FA2" s="156"/>
      <c r="FB2" s="156"/>
      <c r="FC2" s="156"/>
      <c r="FD2" s="156"/>
      <c r="FE2" s="156"/>
      <c r="FF2" s="156"/>
      <c r="FG2" s="147" t="str">
        <f t="shared" ref="FG2" ca="1" si="11">TEXT(AV2,"mm/dd/yyyy")</f>
        <v>09/02/2026</v>
      </c>
      <c r="FH2" s="147" t="str">
        <f t="shared" ref="FH2" ca="1" si="12">TEXT(AV2+1,"mm/dd/yyyy")</f>
        <v>09/03/2026</v>
      </c>
      <c r="FI2" s="147" t="str">
        <f t="shared" ref="FI2" ca="1" si="13">TEXT(FH2+1,"mm/dd/yyyy")</f>
        <v>09/04/2026</v>
      </c>
      <c r="FJ2" s="147" t="str">
        <f t="shared" ref="FJ2:FL2" ca="1" si="14">TEXT(FI2+1,"mm/dd/yyyy")</f>
        <v>09/05/2026</v>
      </c>
      <c r="FK2" s="147" t="str">
        <f t="shared" ca="1" si="14"/>
        <v>09/06/2026</v>
      </c>
      <c r="FL2" s="147" t="str">
        <f t="shared" ca="1" si="14"/>
        <v>09/07/2026</v>
      </c>
      <c r="FM2" s="147" t="str">
        <f t="shared" ref="FM2" ca="1" si="15">TEXT(FL2+7,"mm/dd/yyyy")</f>
        <v>09/14/2026</v>
      </c>
      <c r="FN2" s="147" t="str">
        <f t="shared" ref="FN2:FP2" ca="1" si="16">TEXT(FM2+1,"mm/dd/yyyy")</f>
        <v>09/15/2026</v>
      </c>
      <c r="FO2" s="147" t="str">
        <f t="shared" ca="1" si="16"/>
        <v>09/16/2026</v>
      </c>
      <c r="FP2" s="147" t="str">
        <f t="shared" ca="1" si="16"/>
        <v>09/17/2026</v>
      </c>
      <c r="FQ2" s="156" t="str">
        <f t="shared" ref="FQ2" ca="1" si="17">"QAFIRSTNAME"&amp;CHAR(RANDBETWEEN(65,90))&amp;CHAR(RANDBETWEEN(65,90))</f>
        <v>QAFIRSTNAMELO</v>
      </c>
      <c r="FR2" s="147" t="str">
        <f t="shared" ref="FR2" ca="1" si="18">"QALASTNAME"&amp;CHAR(RANDBETWEEN(65,90))&amp;CHAR(RANDBETWEEN(65,90))</f>
        <v>QALASTNAMEAN</v>
      </c>
      <c r="FS2" s="147" t="str">
        <f t="shared" ref="FS2" ca="1" si="19">TEXT(DATE(YEAR(TODAY())-DK2,MONTH(TODAY()),DAY(TODAY())),"MM/DD/YYYY")</f>
        <v>09/01/1916</v>
      </c>
      <c r="FT2" s="147"/>
      <c r="FU2" s="147" t="str">
        <f t="shared" ref="FU2" ca="1" si="20">TEXT(DATE(YEAR(TODAY())-DN2,MONTH(TODAY()),DAY(TODAY())),"MM/DD/YYYY")</f>
        <v>09/01/2008</v>
      </c>
      <c r="FV2" s="156" t="s">
        <v>791</v>
      </c>
      <c r="FW2" s="156" t="s">
        <v>813</v>
      </c>
      <c r="FX2" s="156" t="s">
        <v>812</v>
      </c>
      <c r="FY2" s="156" t="s">
        <v>819</v>
      </c>
      <c r="FZ2" s="156" t="s">
        <v>817</v>
      </c>
      <c r="GA2" s="156" t="s">
        <v>792</v>
      </c>
      <c r="GB2" s="156" t="s">
        <v>483</v>
      </c>
      <c r="GC2" s="156" t="s">
        <v>793</v>
      </c>
      <c r="GD2" s="158" t="s">
        <v>794</v>
      </c>
      <c r="GE2" s="158" t="s">
        <v>101</v>
      </c>
      <c r="GF2" s="156" t="s">
        <v>795</v>
      </c>
      <c r="GG2" s="156" t="s">
        <v>795</v>
      </c>
      <c r="GH2" s="147" t="s">
        <v>796</v>
      </c>
      <c r="GI2" s="156" t="s">
        <v>797</v>
      </c>
      <c r="GJ2" s="156"/>
      <c r="GK2" s="156" t="s">
        <v>106</v>
      </c>
      <c r="GL2" s="156" t="s">
        <v>798</v>
      </c>
      <c r="GM2" s="159"/>
      <c r="GN2" s="161" t="str">
        <f>IF(DL2=GM2,"PASSED","FAILED")</f>
        <v>FAILED</v>
      </c>
      <c r="GO2" s="159"/>
      <c r="GP2" s="159"/>
      <c r="GQ2" s="159"/>
      <c r="GR2" s="159"/>
      <c r="GS2" s="159"/>
      <c r="GT2" s="159"/>
      <c r="GU2" s="159"/>
      <c r="GV2" s="159"/>
      <c r="GW2" s="159"/>
      <c r="GX2" s="159"/>
      <c r="GY2" s="159"/>
      <c r="GZ2" s="159"/>
      <c r="HA2" s="159"/>
      <c r="HB2" s="159"/>
      <c r="HC2" s="159"/>
      <c r="HD2" s="159"/>
      <c r="HE2" s="159"/>
      <c r="HF2" s="159"/>
      <c r="HG2" s="159"/>
      <c r="HH2" s="159"/>
      <c r="HI2" s="159"/>
      <c r="HJ2" s="159"/>
      <c r="HK2" s="159"/>
      <c r="HL2" s="162"/>
      <c r="HM2" s="159"/>
      <c r="HN2" s="159"/>
      <c r="HO2" s="159"/>
      <c r="HP2" s="159"/>
      <c r="HQ2" s="159"/>
      <c r="HR2" s="159"/>
      <c r="HS2" s="159"/>
      <c r="HT2" s="159"/>
      <c r="HU2" s="159"/>
      <c r="HV2" s="159"/>
      <c r="HW2" s="159"/>
      <c r="HX2" s="159"/>
      <c r="HY2" s="159"/>
      <c r="HZ2" s="159"/>
      <c r="IA2" s="159"/>
      <c r="IB2" s="159"/>
      <c r="IC2" s="159"/>
      <c r="ID2" s="159"/>
      <c r="IE2" s="159"/>
      <c r="IF2" s="159"/>
      <c r="IG2" s="159"/>
      <c r="IH2" s="159"/>
      <c r="II2" s="159"/>
      <c r="IJ2" s="147"/>
      <c r="IK2" s="147"/>
      <c r="IL2" s="147"/>
      <c r="IM2" s="147"/>
    </row>
  </sheetData>
  <conditionalFormatting sqref="A2:E2">
    <cfRule type="cellIs" dxfId="37" priority="3" stopIfTrue="1" operator="equal">
      <formula>"N"</formula>
    </cfRule>
    <cfRule type="cellIs" dxfId="36" priority="4" stopIfTrue="1" operator="equal">
      <formula>"Y"</formula>
    </cfRule>
  </conditionalFormatting>
  <conditionalFormatting sqref="E1">
    <cfRule type="cellIs" dxfId="35" priority="23" stopIfTrue="1" operator="equal">
      <formula>"N"</formula>
    </cfRule>
    <cfRule type="cellIs" dxfId="34" priority="24" stopIfTrue="1" operator="equal">
      <formula>"Y"</formula>
    </cfRule>
  </conditionalFormatting>
  <conditionalFormatting sqref="GN2 HN2 HQ2 HT2 HW2 HZ2 IC2 IF2 II2">
    <cfRule type="containsText" dxfId="33" priority="15" operator="containsText" text="FAILED">
      <formula>NOT(ISERROR(SEARCH("FAILED",GN2)))</formula>
    </cfRule>
    <cfRule type="containsText" dxfId="32" priority="16" operator="containsText" text="FAILED">
      <formula>NOT(ISERROR(SEARCH("FAILED",GN2)))</formula>
    </cfRule>
    <cfRule type="cellIs" dxfId="31" priority="17" operator="equal">
      <formula>"FAILED"</formula>
    </cfRule>
    <cfRule type="cellIs" dxfId="30" priority="18" operator="equal">
      <formula>"PASSED"</formula>
    </cfRule>
  </conditionalFormatting>
  <dataValidations count="1">
    <dataValidation type="list" allowBlank="1" showInputMessage="1" showErrorMessage="1" sqref="GN2" xr:uid="{8D890D8C-E9A0-4C0F-ACE8-3493ECB8F71B}">
      <formula1>"PASSED, FAILED"</formula1>
    </dataValidation>
  </dataValidations>
  <hyperlinks>
    <hyperlink ref="AV2" r:id="rId1" display="qa@travelguard.com" xr:uid="{ADFE4624-9CF1-44D3-9ABF-6C57838F194C}"/>
    <hyperlink ref="AX2" r:id="rId2" display="qa@travelguard.com" xr:uid="{200D18A9-1141-40D7-AE67-D581A376D36A}"/>
    <hyperlink ref="BA2" r:id="rId3" display="qa@travelguard.com" xr:uid="{6B4A0266-318F-4BD6-8ED0-90C1782B91FC}"/>
    <hyperlink ref="GD2" r:id="rId4" display="qa@travelex.com" xr:uid="{E909E2E6-D9C6-4121-AA7C-C75E5E8A2065}"/>
    <hyperlink ref="GE2" r:id="rId5" display="qa@travelex.com" xr:uid="{45CEDA92-B8D6-48C1-8854-64CF8C6CBC75}"/>
    <hyperlink ref="H2" r:id="rId6" display="https://preview.uat.insurancebytravelex.com" xr:uid="{ECB4E322-FE01-4E5B-9B57-03F717327EAA}"/>
  </hyperlinks>
  <pageMargins left="0.7" right="0.7" top="0.75" bottom="0.75" header="0.3" footer="0.3"/>
  <pageSetup orientation="portrait" r:id="rId7"/>
  <headerFooter>
    <oddFooter>&amp;L_x000D_&amp;1#&amp;"Aptos"&amp;10&amp;K000000 INTERNAL USE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8CB6D-C24A-4C44-A1BB-B7CD163DB6D6}">
  <sheetPr>
    <tabColor theme="9"/>
    <outlinePr summaryBelow="0"/>
  </sheetPr>
  <dimension ref="A1:Z326"/>
  <sheetViews>
    <sheetView showGridLines="0" zoomScale="85" zoomScaleNormal="85" workbookViewId="0">
      <pane ySplit="1" topLeftCell="A255" activePane="bottomLeft" state="frozen"/>
      <selection activeCell="E20" sqref="E20"/>
      <selection pane="bottomLeft" activeCell="C252" sqref="C252"/>
    </sheetView>
  </sheetViews>
  <sheetFormatPr defaultColWidth="9.140625" defaultRowHeight="12.75" outlineLevelRow="1"/>
  <cols>
    <col min="1" max="1" width="27.42578125" style="13" customWidth="1"/>
    <col min="2" max="2" width="12.42578125" style="14" bestFit="1" customWidth="1"/>
    <col min="3" max="3" width="27.140625" style="13" bestFit="1" customWidth="1"/>
    <col min="4" max="4" width="8.5703125" style="13" customWidth="1"/>
    <col min="5" max="5" width="10.85546875" style="13" customWidth="1"/>
    <col min="6" max="6" width="10.42578125" style="13" customWidth="1"/>
    <col min="7" max="7" width="22.140625" style="13" customWidth="1"/>
    <col min="8" max="9" width="9.140625" style="13" customWidth="1"/>
    <col min="10" max="10" width="62.5703125" style="13" customWidth="1"/>
    <col min="11" max="11" width="9.140625" style="13" customWidth="1"/>
    <col min="12" max="12" width="14.140625" style="13" customWidth="1"/>
    <col min="13" max="13" width="19" style="13" customWidth="1"/>
    <col min="14" max="14" width="15.5703125" style="13" bestFit="1" customWidth="1"/>
    <col min="15" max="15" width="7.85546875" style="13" customWidth="1"/>
    <col min="16" max="16" width="9.5703125" style="13" bestFit="1" customWidth="1"/>
    <col min="17" max="17" width="9.85546875" style="13" bestFit="1" customWidth="1"/>
    <col min="18" max="18" width="20.140625" style="13" customWidth="1"/>
    <col min="19" max="19" width="22.85546875" style="13" bestFit="1" customWidth="1"/>
    <col min="20" max="20" width="12" style="13" bestFit="1" customWidth="1"/>
    <col min="21" max="21" width="8.42578125" style="13" bestFit="1" customWidth="1"/>
    <col min="22" max="22" width="5.85546875" style="13" bestFit="1" customWidth="1"/>
    <col min="23" max="23" width="9" style="13" bestFit="1" customWidth="1"/>
    <col min="24" max="24" width="8.42578125" style="13" bestFit="1" customWidth="1"/>
    <col min="25" max="25" width="7.85546875" style="13" bestFit="1" customWidth="1"/>
    <col min="26" max="16384" width="9.140625" style="9"/>
  </cols>
  <sheetData>
    <row r="1" spans="1:26">
      <c r="A1" s="29" t="s">
        <v>5</v>
      </c>
      <c r="B1" s="7" t="s">
        <v>28</v>
      </c>
      <c r="C1" s="7" t="s">
        <v>29</v>
      </c>
      <c r="D1" s="7" t="s">
        <v>1</v>
      </c>
      <c r="E1" s="7" t="s">
        <v>26</v>
      </c>
      <c r="F1" s="8" t="s">
        <v>53</v>
      </c>
      <c r="G1" s="7" t="s">
        <v>27</v>
      </c>
      <c r="H1" s="7" t="s">
        <v>47</v>
      </c>
      <c r="I1" s="7" t="s">
        <v>42</v>
      </c>
      <c r="J1" s="7" t="s">
        <v>43</v>
      </c>
      <c r="K1" s="7" t="s">
        <v>30</v>
      </c>
      <c r="L1" s="7" t="s">
        <v>31</v>
      </c>
      <c r="M1" s="7" t="s">
        <v>7</v>
      </c>
      <c r="N1" s="7" t="s">
        <v>44</v>
      </c>
      <c r="O1" s="7" t="s">
        <v>46</v>
      </c>
      <c r="P1" s="7" t="s">
        <v>52</v>
      </c>
      <c r="Q1" s="7" t="s">
        <v>51</v>
      </c>
      <c r="R1" s="7" t="s">
        <v>45</v>
      </c>
      <c r="S1" s="7" t="s">
        <v>32</v>
      </c>
      <c r="T1" s="7" t="s">
        <v>48</v>
      </c>
      <c r="U1" s="7" t="s">
        <v>41</v>
      </c>
      <c r="V1" s="7" t="s">
        <v>129</v>
      </c>
      <c r="W1" s="7" t="s">
        <v>11</v>
      </c>
      <c r="X1" s="7" t="s">
        <v>49</v>
      </c>
      <c r="Y1" s="7" t="s">
        <v>50</v>
      </c>
      <c r="Z1" s="7" t="s">
        <v>3</v>
      </c>
    </row>
    <row r="2" spans="1:26" ht="12.75" customHeight="1">
      <c r="A2" s="30" t="s">
        <v>548</v>
      </c>
      <c r="B2" s="31"/>
      <c r="C2" s="31"/>
      <c r="D2" s="32"/>
      <c r="E2" s="32"/>
      <c r="F2" s="31"/>
      <c r="G2" s="32"/>
      <c r="H2" s="32"/>
      <c r="I2" s="32"/>
      <c r="J2" s="32"/>
      <c r="K2" s="31"/>
      <c r="L2" s="32"/>
      <c r="M2" s="32"/>
      <c r="N2" s="32"/>
      <c r="O2" s="32"/>
      <c r="P2" s="32"/>
      <c r="Q2" s="32"/>
      <c r="R2" s="32"/>
      <c r="S2" s="32"/>
      <c r="T2" s="32"/>
      <c r="U2" s="32"/>
      <c r="V2" s="32"/>
      <c r="W2" s="32"/>
      <c r="X2" s="32"/>
      <c r="Y2" s="32"/>
      <c r="Z2" s="32"/>
    </row>
    <row r="3" spans="1:26" outlineLevel="1">
      <c r="A3" s="53" t="str">
        <f>IF(OR(Global!B25="N"),"N","bln687809")</f>
        <v>N</v>
      </c>
      <c r="B3" s="198">
        <f>COUNTA($B$1:B2)</f>
        <v>1</v>
      </c>
      <c r="C3" s="35" t="s">
        <v>132</v>
      </c>
      <c r="D3" s="35"/>
      <c r="E3" s="35"/>
      <c r="F3" s="34"/>
      <c r="G3" s="35" t="s">
        <v>127</v>
      </c>
      <c r="H3" s="35"/>
      <c r="I3" s="35"/>
      <c r="J3" s="35"/>
      <c r="K3" s="69"/>
      <c r="L3" s="35" t="s">
        <v>67</v>
      </c>
      <c r="M3" s="36">
        <v>1</v>
      </c>
      <c r="N3" s="35"/>
      <c r="O3" s="35" t="s">
        <v>2</v>
      </c>
      <c r="P3" s="35"/>
      <c r="Q3" s="35"/>
      <c r="R3" s="35" t="s">
        <v>57</v>
      </c>
      <c r="S3" s="35"/>
      <c r="T3" s="35"/>
      <c r="U3" s="35"/>
      <c r="V3" s="35"/>
      <c r="W3" s="35"/>
      <c r="X3" s="35"/>
      <c r="Y3" s="35"/>
      <c r="Z3" s="35"/>
    </row>
    <row r="4" spans="1:26" outlineLevel="1">
      <c r="A4" s="53" t="str">
        <f>IF(OR(Global!B25="N"),"N","bln687809")</f>
        <v>N</v>
      </c>
      <c r="B4" s="198">
        <f>COUNTA($B$1:B3)</f>
        <v>2</v>
      </c>
      <c r="C4" s="35" t="s">
        <v>947</v>
      </c>
      <c r="D4" s="35"/>
      <c r="E4" s="35"/>
      <c r="F4" s="34"/>
      <c r="G4" s="35" t="s">
        <v>127</v>
      </c>
      <c r="H4" s="35" t="s">
        <v>134</v>
      </c>
      <c r="I4" s="35"/>
      <c r="J4" s="35"/>
      <c r="K4" s="69"/>
      <c r="L4" s="35" t="s">
        <v>33</v>
      </c>
      <c r="M4" s="36" t="str">
        <f>"URL:="&amp;R3&amp;";;HEADLESS:=TRUE"</f>
        <v>URL:=DT_URL;;HEADLESS:=TRUE</v>
      </c>
      <c r="N4" s="35"/>
      <c r="O4" s="35"/>
      <c r="P4" s="35"/>
      <c r="Q4" s="35">
        <v>60</v>
      </c>
      <c r="R4" s="35"/>
      <c r="S4" s="35"/>
      <c r="T4" s="35"/>
      <c r="U4" s="35"/>
      <c r="V4" s="35"/>
      <c r="W4" s="35"/>
      <c r="X4" s="35"/>
      <c r="Y4" s="35"/>
      <c r="Z4" s="35"/>
    </row>
    <row r="5" spans="1:26">
      <c r="A5" s="116" t="str">
        <f>IF(OR(Global!B25="Y"),"N","bln687809")</f>
        <v>bln687809</v>
      </c>
      <c r="B5" s="198">
        <f>COUNTA($B$1:B4)</f>
        <v>3</v>
      </c>
      <c r="C5" s="118" t="s">
        <v>132</v>
      </c>
      <c r="D5" s="118"/>
      <c r="E5" s="118"/>
      <c r="F5" s="117"/>
      <c r="G5" s="118" t="s">
        <v>127</v>
      </c>
      <c r="H5" s="118" t="s">
        <v>134</v>
      </c>
      <c r="I5" s="118"/>
      <c r="J5" s="118"/>
      <c r="K5" s="117"/>
      <c r="L5" s="118" t="s">
        <v>33</v>
      </c>
      <c r="M5" s="119" t="s">
        <v>57</v>
      </c>
      <c r="N5" s="118"/>
      <c r="O5" s="118"/>
      <c r="P5" s="118"/>
      <c r="Q5" s="118">
        <v>60</v>
      </c>
      <c r="R5" s="118"/>
      <c r="S5" s="118"/>
      <c r="T5" s="118"/>
      <c r="U5" s="118"/>
      <c r="V5" s="118"/>
      <c r="W5" s="118"/>
      <c r="X5" s="118"/>
      <c r="Y5" s="118"/>
      <c r="Z5" s="118"/>
    </row>
    <row r="6" spans="1:26">
      <c r="A6" s="120" t="s">
        <v>21</v>
      </c>
      <c r="B6" s="117">
        <f>COUNTA($B$1:B5)</f>
        <v>4</v>
      </c>
      <c r="C6" s="120" t="s">
        <v>67</v>
      </c>
      <c r="D6" s="120"/>
      <c r="E6" s="120"/>
      <c r="F6" s="120"/>
      <c r="G6" s="118" t="s">
        <v>127</v>
      </c>
      <c r="H6" s="120"/>
      <c r="I6" s="120"/>
      <c r="J6" s="120"/>
      <c r="K6" s="121"/>
      <c r="L6" s="120" t="s">
        <v>67</v>
      </c>
      <c r="M6" s="120">
        <v>5</v>
      </c>
      <c r="N6" s="120"/>
      <c r="O6" s="120"/>
      <c r="P6" s="120"/>
      <c r="Q6" s="120"/>
      <c r="R6" s="122"/>
      <c r="S6" s="120"/>
      <c r="T6" s="120"/>
      <c r="U6" s="120"/>
      <c r="V6" s="120"/>
      <c r="W6" s="120"/>
      <c r="X6" s="120"/>
      <c r="Y6" s="120"/>
      <c r="Z6" s="118"/>
    </row>
    <row r="7" spans="1:26">
      <c r="A7" s="120" t="s">
        <v>21</v>
      </c>
      <c r="B7" s="117">
        <f>COUNTA($B$1:B6)</f>
        <v>5</v>
      </c>
      <c r="C7" s="120" t="s">
        <v>68</v>
      </c>
      <c r="D7" s="120"/>
      <c r="E7" s="120"/>
      <c r="F7" s="120"/>
      <c r="G7" s="118" t="s">
        <v>127</v>
      </c>
      <c r="H7" s="120"/>
      <c r="I7" s="120" t="s">
        <v>55</v>
      </c>
      <c r="J7" s="120" t="s">
        <v>71</v>
      </c>
      <c r="K7" s="121">
        <v>0</v>
      </c>
      <c r="L7" s="120" t="s">
        <v>0</v>
      </c>
      <c r="M7" s="120" t="s">
        <v>74</v>
      </c>
      <c r="N7" s="120"/>
      <c r="O7" s="120" t="s">
        <v>2</v>
      </c>
      <c r="P7" s="120"/>
      <c r="Q7" s="123">
        <v>5</v>
      </c>
      <c r="R7" s="122"/>
      <c r="S7" s="120"/>
      <c r="T7" s="120"/>
      <c r="U7" s="120"/>
      <c r="V7" s="120"/>
      <c r="W7" s="120"/>
      <c r="X7" s="120"/>
      <c r="Y7" s="120"/>
      <c r="Z7" s="118"/>
    </row>
    <row r="8" spans="1:26">
      <c r="A8" s="120" t="s">
        <v>21</v>
      </c>
      <c r="B8" s="117">
        <f>COUNTA($B$1:B7)</f>
        <v>6</v>
      </c>
      <c r="C8" s="120" t="s">
        <v>69</v>
      </c>
      <c r="D8" s="120"/>
      <c r="E8" s="120"/>
      <c r="F8" s="120"/>
      <c r="G8" s="118" t="s">
        <v>127</v>
      </c>
      <c r="H8" s="120"/>
      <c r="I8" s="120" t="s">
        <v>55</v>
      </c>
      <c r="J8" s="120" t="s">
        <v>72</v>
      </c>
      <c r="K8" s="121">
        <v>0</v>
      </c>
      <c r="L8" s="120" t="s">
        <v>0</v>
      </c>
      <c r="M8" s="120" t="s">
        <v>75</v>
      </c>
      <c r="N8" s="120"/>
      <c r="O8" s="120" t="s">
        <v>2</v>
      </c>
      <c r="P8" s="120"/>
      <c r="Q8" s="120"/>
      <c r="R8" s="122"/>
      <c r="S8" s="120"/>
      <c r="T8" s="120"/>
      <c r="U8" s="120"/>
      <c r="V8" s="120"/>
      <c r="W8" s="120"/>
      <c r="X8" s="120"/>
      <c r="Y8" s="120"/>
      <c r="Z8" s="118"/>
    </row>
    <row r="9" spans="1:26">
      <c r="A9" s="120" t="s">
        <v>21</v>
      </c>
      <c r="B9" s="117">
        <f>COUNTA($B$1:B8)</f>
        <v>7</v>
      </c>
      <c r="C9" s="120" t="s">
        <v>70</v>
      </c>
      <c r="D9" s="120"/>
      <c r="E9" s="120"/>
      <c r="F9" s="120"/>
      <c r="G9" s="118" t="s">
        <v>127</v>
      </c>
      <c r="H9" s="120"/>
      <c r="I9" s="120" t="s">
        <v>55</v>
      </c>
      <c r="J9" s="120" t="s">
        <v>73</v>
      </c>
      <c r="K9" s="121">
        <v>0</v>
      </c>
      <c r="L9" s="120" t="s">
        <v>34</v>
      </c>
      <c r="M9" s="120"/>
      <c r="N9" s="120"/>
      <c r="O9" s="120" t="s">
        <v>2</v>
      </c>
      <c r="P9" s="120"/>
      <c r="Q9" s="120"/>
      <c r="R9" s="122"/>
      <c r="S9" s="120"/>
      <c r="T9" s="120"/>
      <c r="U9" s="120"/>
      <c r="V9" s="120"/>
      <c r="W9" s="120"/>
      <c r="X9" s="120"/>
      <c r="Y9" s="120"/>
      <c r="Z9" s="118"/>
    </row>
    <row r="10" spans="1:26">
      <c r="A10" s="116" t="s">
        <v>549</v>
      </c>
      <c r="B10" s="117">
        <f>COUNTA($B$1:B9)</f>
        <v>8</v>
      </c>
      <c r="C10" s="120" t="s">
        <v>67</v>
      </c>
      <c r="D10" s="120"/>
      <c r="E10" s="120"/>
      <c r="F10" s="120"/>
      <c r="G10" s="118" t="s">
        <v>127</v>
      </c>
      <c r="H10" s="120"/>
      <c r="I10" s="120"/>
      <c r="J10" s="120"/>
      <c r="K10" s="121"/>
      <c r="L10" s="120" t="s">
        <v>67</v>
      </c>
      <c r="M10" s="120">
        <v>5</v>
      </c>
      <c r="N10" s="120"/>
      <c r="O10" s="120"/>
      <c r="P10" s="120"/>
      <c r="Q10" s="120"/>
      <c r="R10" s="122"/>
      <c r="S10" s="120"/>
      <c r="T10" s="120"/>
      <c r="U10" s="120"/>
      <c r="V10" s="120"/>
      <c r="W10" s="120"/>
      <c r="X10" s="120"/>
      <c r="Y10" s="120"/>
      <c r="Z10" s="118"/>
    </row>
    <row r="11" spans="1:26" ht="12.75" customHeight="1">
      <c r="A11" s="30" t="s">
        <v>135</v>
      </c>
      <c r="B11" s="31"/>
      <c r="C11" s="31"/>
      <c r="D11" s="32"/>
      <c r="E11" s="32"/>
      <c r="F11" s="31"/>
      <c r="G11" s="32"/>
      <c r="H11" s="32"/>
      <c r="I11" s="32"/>
      <c r="J11" s="32"/>
      <c r="K11" s="31"/>
      <c r="L11" s="32"/>
      <c r="M11" s="32"/>
      <c r="N11" s="32"/>
      <c r="O11" s="32"/>
      <c r="P11" s="32"/>
      <c r="Q11" s="32"/>
      <c r="R11" s="32"/>
      <c r="S11" s="32"/>
      <c r="T11" s="32"/>
      <c r="U11" s="32"/>
      <c r="V11" s="32"/>
      <c r="W11" s="32"/>
      <c r="X11" s="32"/>
      <c r="Y11" s="32"/>
      <c r="Z11" s="32"/>
    </row>
    <row r="12" spans="1:26">
      <c r="A12" s="116" t="s">
        <v>549</v>
      </c>
      <c r="B12" s="117">
        <f>COUNTA($B$1:B11)</f>
        <v>9</v>
      </c>
      <c r="C12" s="124" t="s">
        <v>136</v>
      </c>
      <c r="D12" s="124"/>
      <c r="E12" s="124"/>
      <c r="F12" s="125"/>
      <c r="G12" s="118" t="s">
        <v>127</v>
      </c>
      <c r="H12" s="124"/>
      <c r="I12" s="124"/>
      <c r="J12" s="124"/>
      <c r="K12" s="125"/>
      <c r="L12" s="126" t="s">
        <v>137</v>
      </c>
      <c r="M12" s="120" t="s">
        <v>138</v>
      </c>
      <c r="N12" s="124"/>
      <c r="O12" s="124"/>
      <c r="P12" s="124"/>
      <c r="Q12" s="125"/>
      <c r="R12" s="124"/>
      <c r="S12" s="124"/>
      <c r="T12" s="124"/>
      <c r="U12" s="124"/>
      <c r="V12" s="124"/>
      <c r="W12" s="124"/>
      <c r="X12" s="124"/>
      <c r="Y12" s="124"/>
      <c r="Z12" s="124"/>
    </row>
    <row r="13" spans="1:26">
      <c r="A13" s="45" t="s">
        <v>549</v>
      </c>
      <c r="B13" s="117">
        <f>COUNTA($B$1:B12)</f>
        <v>10</v>
      </c>
      <c r="C13" s="46" t="s">
        <v>140</v>
      </c>
      <c r="D13" s="46"/>
      <c r="E13" s="46"/>
      <c r="F13" s="47"/>
      <c r="G13" s="46" t="s">
        <v>127</v>
      </c>
      <c r="H13" s="46"/>
      <c r="I13" s="46" t="s">
        <v>55</v>
      </c>
      <c r="J13" s="46" t="s">
        <v>141</v>
      </c>
      <c r="K13" s="47"/>
      <c r="L13" s="46" t="s">
        <v>142</v>
      </c>
      <c r="M13" s="48"/>
      <c r="N13" s="46"/>
      <c r="O13" s="46" t="s">
        <v>2</v>
      </c>
      <c r="P13" s="46"/>
      <c r="Q13" s="46"/>
      <c r="R13" s="49"/>
      <c r="S13" s="46"/>
      <c r="T13" s="46"/>
      <c r="U13" s="46"/>
      <c r="V13" s="46"/>
      <c r="W13" s="46"/>
      <c r="X13" s="46"/>
      <c r="Y13" s="46"/>
      <c r="Z13" s="46"/>
    </row>
    <row r="14" spans="1:26" s="19" customFormat="1" outlineLevel="1">
      <c r="A14" s="45" t="str">
        <f>IF($D$13="PASSED","bln687809","N")</f>
        <v>N</v>
      </c>
      <c r="B14" s="117">
        <f>COUNTA($B$1:B13)</f>
        <v>11</v>
      </c>
      <c r="C14" s="46" t="s">
        <v>143</v>
      </c>
      <c r="D14" s="46"/>
      <c r="E14" s="46"/>
      <c r="F14" s="47"/>
      <c r="G14" s="46" t="s">
        <v>127</v>
      </c>
      <c r="H14" s="46"/>
      <c r="I14" s="46" t="s">
        <v>55</v>
      </c>
      <c r="J14" s="46" t="s">
        <v>141</v>
      </c>
      <c r="K14" s="47"/>
      <c r="L14" s="46" t="s">
        <v>98</v>
      </c>
      <c r="M14" s="48"/>
      <c r="N14" s="46" t="s">
        <v>99</v>
      </c>
      <c r="O14" s="46" t="s">
        <v>2</v>
      </c>
      <c r="P14" s="46"/>
      <c r="Q14" s="46"/>
      <c r="R14" s="49" t="s">
        <v>144</v>
      </c>
      <c r="S14" s="46"/>
      <c r="T14" s="46"/>
      <c r="U14" s="46"/>
      <c r="V14" s="46"/>
      <c r="W14" s="46"/>
      <c r="X14" s="46"/>
      <c r="Y14" s="46"/>
      <c r="Z14" s="46"/>
    </row>
    <row r="15" spans="1:26" s="19" customFormat="1" outlineLevel="1">
      <c r="A15" s="45" t="str">
        <f>A14</f>
        <v>N</v>
      </c>
      <c r="B15" s="117">
        <f>COUNTA($B$1:B14)</f>
        <v>12</v>
      </c>
      <c r="C15" s="46" t="s">
        <v>145</v>
      </c>
      <c r="D15" s="46"/>
      <c r="E15" s="46"/>
      <c r="F15" s="47"/>
      <c r="G15" s="46" t="s">
        <v>127</v>
      </c>
      <c r="H15" s="46"/>
      <c r="I15" s="46" t="s">
        <v>55</v>
      </c>
      <c r="J15" s="46" t="s">
        <v>146</v>
      </c>
      <c r="K15" s="47"/>
      <c r="L15" s="46" t="s">
        <v>147</v>
      </c>
      <c r="M15" s="48"/>
      <c r="N15" s="46"/>
      <c r="O15" s="46" t="s">
        <v>2</v>
      </c>
      <c r="P15" s="46"/>
      <c r="Q15" s="46"/>
      <c r="R15" s="48"/>
      <c r="S15" s="46"/>
      <c r="T15" s="46"/>
      <c r="U15" s="46"/>
      <c r="V15" s="46"/>
      <c r="W15" s="46"/>
      <c r="X15" s="46"/>
      <c r="Y15" s="46"/>
      <c r="Z15" s="46"/>
    </row>
    <row r="16" spans="1:26">
      <c r="A16" s="116" t="s">
        <v>549</v>
      </c>
      <c r="B16" s="117">
        <f>COUNTA($B$1:B15)</f>
        <v>13</v>
      </c>
      <c r="C16" s="120" t="s">
        <v>67</v>
      </c>
      <c r="D16" s="120"/>
      <c r="E16" s="120"/>
      <c r="F16" s="120"/>
      <c r="G16" s="118" t="s">
        <v>127</v>
      </c>
      <c r="H16" s="120"/>
      <c r="I16" s="120"/>
      <c r="J16" s="120"/>
      <c r="K16" s="121"/>
      <c r="L16" s="120" t="s">
        <v>67</v>
      </c>
      <c r="M16" s="120">
        <v>5</v>
      </c>
      <c r="N16" s="120"/>
      <c r="O16" s="120"/>
      <c r="P16" s="120"/>
      <c r="Q16" s="120"/>
      <c r="R16" s="122"/>
      <c r="S16" s="120"/>
      <c r="T16" s="120"/>
      <c r="U16" s="120"/>
      <c r="V16" s="120"/>
      <c r="W16" s="120"/>
      <c r="X16" s="120"/>
      <c r="Y16" s="120"/>
      <c r="Z16" s="118"/>
    </row>
    <row r="17" spans="1:26">
      <c r="A17" s="116" t="str">
        <f>IF(OR(Global!B2="QA",Global!B2="UAT"),"bln687809","N")</f>
        <v>bln687809</v>
      </c>
      <c r="B17" s="117">
        <f>COUNTA($B$1:B16)</f>
        <v>14</v>
      </c>
      <c r="C17" s="120" t="s">
        <v>822</v>
      </c>
      <c r="D17" s="120"/>
      <c r="E17" s="120"/>
      <c r="F17" s="120"/>
      <c r="G17" s="118" t="s">
        <v>127</v>
      </c>
      <c r="H17" s="120"/>
      <c r="I17" s="120" t="s">
        <v>55</v>
      </c>
      <c r="J17" s="120" t="s">
        <v>823</v>
      </c>
      <c r="K17" s="121">
        <v>0</v>
      </c>
      <c r="L17" s="129" t="s">
        <v>98</v>
      </c>
      <c r="M17" s="129"/>
      <c r="N17" s="118" t="s">
        <v>99</v>
      </c>
      <c r="O17" s="118"/>
      <c r="P17" s="118"/>
      <c r="Q17" s="118"/>
      <c r="R17" s="128"/>
      <c r="S17" s="118"/>
      <c r="T17" s="118"/>
      <c r="U17" s="130"/>
      <c r="V17" s="130"/>
      <c r="W17" s="130"/>
      <c r="X17" s="130"/>
      <c r="Y17" s="130"/>
      <c r="Z17" s="131"/>
    </row>
    <row r="18" spans="1:26">
      <c r="A18" s="116" t="str">
        <f>A17</f>
        <v>bln687809</v>
      </c>
      <c r="B18" s="117">
        <f>COUNTA($B$1:B17)</f>
        <v>15</v>
      </c>
      <c r="C18" s="118" t="s">
        <v>492</v>
      </c>
      <c r="D18" s="130"/>
      <c r="E18" s="130"/>
      <c r="F18" s="130"/>
      <c r="G18" s="118" t="s">
        <v>127</v>
      </c>
      <c r="H18" s="130"/>
      <c r="I18" s="130"/>
      <c r="J18" s="130"/>
      <c r="K18" s="125"/>
      <c r="L18" s="118" t="s">
        <v>393</v>
      </c>
      <c r="M18" s="130" t="str">
        <f ca="1">Global!B3 &amp; "TravelkoreDefaultDestination_Mexico.png"</f>
        <v>L:\Regression\Test Results\Temp_Results\AEM Regression\Travelex\UAT\Travel EX Migration_AEM Regression_UAT01Sep26101238\TravelkoreDefaultDestination_Mexico.png</v>
      </c>
      <c r="N18" s="118"/>
      <c r="O18" s="118"/>
      <c r="P18" s="118"/>
      <c r="Q18" s="118"/>
      <c r="R18" s="128"/>
      <c r="S18" s="118"/>
      <c r="T18" s="118"/>
      <c r="U18" s="118"/>
      <c r="V18" s="118"/>
      <c r="W18" s="118"/>
      <c r="X18" s="128"/>
      <c r="Y18" s="128"/>
      <c r="Z18" s="128"/>
    </row>
    <row r="19" spans="1:26" s="17" customFormat="1">
      <c r="A19" s="116" t="str">
        <f>IF(Global!B2="PROD","Y","N")</f>
        <v>N</v>
      </c>
      <c r="B19" s="117">
        <f>COUNTA($B$1:B18)</f>
        <v>16</v>
      </c>
      <c r="C19" s="118" t="s">
        <v>148</v>
      </c>
      <c r="D19" s="118"/>
      <c r="E19" s="118"/>
      <c r="F19" s="117"/>
      <c r="G19" s="118" t="s">
        <v>127</v>
      </c>
      <c r="H19" s="118"/>
      <c r="I19" s="118" t="s">
        <v>55</v>
      </c>
      <c r="J19" s="118" t="s">
        <v>821</v>
      </c>
      <c r="K19" s="117">
        <v>0</v>
      </c>
      <c r="L19" s="118" t="s">
        <v>34</v>
      </c>
      <c r="M19" s="118"/>
      <c r="N19" s="118"/>
      <c r="O19" s="118"/>
      <c r="P19" s="118"/>
      <c r="Q19" s="118"/>
      <c r="R19" s="118"/>
      <c r="S19" s="118"/>
      <c r="T19" s="118"/>
      <c r="U19" s="118"/>
      <c r="V19" s="118"/>
      <c r="W19" s="118"/>
      <c r="X19" s="118"/>
      <c r="Y19" s="118"/>
      <c r="Z19" s="118"/>
    </row>
    <row r="20" spans="1:26" s="17" customFormat="1">
      <c r="A20" s="116" t="str">
        <f>A19</f>
        <v>N</v>
      </c>
      <c r="B20" s="117">
        <f>COUNTA($B$1:B19)</f>
        <v>17</v>
      </c>
      <c r="C20" s="118" t="s">
        <v>67</v>
      </c>
      <c r="D20" s="118"/>
      <c r="E20" s="118"/>
      <c r="F20" s="117"/>
      <c r="G20" s="118" t="s">
        <v>127</v>
      </c>
      <c r="H20" s="118"/>
      <c r="I20" s="118"/>
      <c r="J20" s="118"/>
      <c r="K20" s="117"/>
      <c r="L20" s="118" t="s">
        <v>67</v>
      </c>
      <c r="M20" s="119">
        <v>2</v>
      </c>
      <c r="N20" s="118"/>
      <c r="O20" s="118"/>
      <c r="P20" s="118"/>
      <c r="Q20" s="118"/>
      <c r="R20" s="118"/>
      <c r="S20" s="118"/>
      <c r="T20" s="118"/>
      <c r="U20" s="118"/>
      <c r="V20" s="118"/>
      <c r="W20" s="118"/>
      <c r="X20" s="118"/>
      <c r="Y20" s="118"/>
      <c r="Z20" s="118"/>
    </row>
    <row r="21" spans="1:26" s="17" customFormat="1">
      <c r="A21" s="116" t="str">
        <f t="shared" ref="A21:A23" si="0">A20</f>
        <v>N</v>
      </c>
      <c r="B21" s="117">
        <f>COUNTA($B$1:B20)</f>
        <v>18</v>
      </c>
      <c r="C21" s="118" t="s">
        <v>150</v>
      </c>
      <c r="D21" s="118"/>
      <c r="E21" s="118"/>
      <c r="F21" s="117"/>
      <c r="G21" s="118" t="s">
        <v>127</v>
      </c>
      <c r="H21" s="118"/>
      <c r="I21" s="118" t="s">
        <v>55</v>
      </c>
      <c r="J21" s="118" t="s">
        <v>821</v>
      </c>
      <c r="K21" s="117">
        <v>0</v>
      </c>
      <c r="L21" s="118" t="s">
        <v>151</v>
      </c>
      <c r="M21" s="82" t="s">
        <v>152</v>
      </c>
      <c r="N21" s="118"/>
      <c r="O21" s="118"/>
      <c r="P21" s="118"/>
      <c r="Q21" s="118"/>
      <c r="R21" s="118"/>
      <c r="S21" s="118"/>
      <c r="T21" s="118"/>
      <c r="U21" s="118"/>
      <c r="V21" s="118"/>
      <c r="W21" s="118"/>
      <c r="X21" s="118"/>
      <c r="Y21" s="118"/>
      <c r="Z21" s="118"/>
    </row>
    <row r="22" spans="1:26">
      <c r="A22" s="116" t="str">
        <f t="shared" si="0"/>
        <v>N</v>
      </c>
      <c r="B22" s="117">
        <f>COUNTA($B$1:B21)</f>
        <v>19</v>
      </c>
      <c r="C22" s="118" t="s">
        <v>67</v>
      </c>
      <c r="D22" s="118"/>
      <c r="E22" s="118"/>
      <c r="F22" s="117"/>
      <c r="G22" s="118" t="s">
        <v>127</v>
      </c>
      <c r="H22" s="118"/>
      <c r="I22" s="118"/>
      <c r="J22" s="118"/>
      <c r="K22" s="117"/>
      <c r="L22" s="118" t="s">
        <v>67</v>
      </c>
      <c r="M22" s="119">
        <v>2</v>
      </c>
      <c r="N22" s="118"/>
      <c r="O22" s="118"/>
      <c r="P22" s="118"/>
      <c r="Q22" s="118"/>
      <c r="R22" s="118"/>
      <c r="S22" s="118"/>
      <c r="T22" s="118"/>
      <c r="U22" s="118"/>
      <c r="V22" s="118"/>
      <c r="W22" s="118"/>
      <c r="X22" s="118"/>
      <c r="Y22" s="118"/>
      <c r="Z22" s="118"/>
    </row>
    <row r="23" spans="1:26" s="19" customFormat="1" outlineLevel="1">
      <c r="A23" s="116" t="str">
        <f t="shared" si="0"/>
        <v>N</v>
      </c>
      <c r="B23" s="117">
        <f>COUNTA($B$1:B22)</f>
        <v>20</v>
      </c>
      <c r="C23" s="118" t="s">
        <v>148</v>
      </c>
      <c r="D23" s="118"/>
      <c r="E23" s="118"/>
      <c r="F23" s="125"/>
      <c r="G23" s="118" t="s">
        <v>127</v>
      </c>
      <c r="H23" s="118"/>
      <c r="I23" s="118" t="s">
        <v>55</v>
      </c>
      <c r="J23" s="118" t="str">
        <f>"//a[contains(.,'"&amp;M21&amp;"')]"</f>
        <v>//a[contains(.,'Destination')]</v>
      </c>
      <c r="K23" s="117">
        <v>0</v>
      </c>
      <c r="L23" s="118" t="s">
        <v>147</v>
      </c>
      <c r="M23" s="118"/>
      <c r="N23" s="118"/>
      <c r="O23" s="118"/>
      <c r="P23" s="118"/>
      <c r="Q23" s="118"/>
      <c r="R23" s="118"/>
      <c r="S23" s="118"/>
      <c r="T23" s="118"/>
      <c r="U23" s="118"/>
      <c r="V23" s="118"/>
      <c r="W23" s="118"/>
      <c r="X23" s="118"/>
      <c r="Y23" s="118"/>
      <c r="Z23" s="118"/>
    </row>
    <row r="24" spans="1:26">
      <c r="A24" s="116" t="s">
        <v>549</v>
      </c>
      <c r="B24" s="117">
        <f>COUNTA($B$1:B23)</f>
        <v>21</v>
      </c>
      <c r="C24" s="118" t="s">
        <v>153</v>
      </c>
      <c r="D24" s="127"/>
      <c r="E24" s="128" t="s">
        <v>154</v>
      </c>
      <c r="F24" s="121"/>
      <c r="G24" s="118" t="s">
        <v>127</v>
      </c>
      <c r="H24" s="118"/>
      <c r="I24" s="118" t="s">
        <v>55</v>
      </c>
      <c r="J24" s="118" t="s">
        <v>81</v>
      </c>
      <c r="K24" s="117">
        <v>0</v>
      </c>
      <c r="L24" s="118" t="s">
        <v>0</v>
      </c>
      <c r="M24" s="82" t="s">
        <v>155</v>
      </c>
      <c r="N24" s="118"/>
      <c r="O24" s="118"/>
      <c r="P24" s="118"/>
      <c r="Q24" s="118"/>
      <c r="R24" s="118"/>
      <c r="S24" s="128"/>
      <c r="T24" s="118"/>
      <c r="U24" s="118"/>
      <c r="V24" s="118"/>
      <c r="W24" s="118"/>
      <c r="X24" s="128"/>
      <c r="Y24" s="128"/>
      <c r="Z24" s="128"/>
    </row>
    <row r="25" spans="1:26" ht="12.75" customHeight="1">
      <c r="A25" s="116" t="s">
        <v>549</v>
      </c>
      <c r="B25" s="117">
        <f>COUNTA($B$1:B24)</f>
        <v>22</v>
      </c>
      <c r="C25" s="118" t="s">
        <v>156</v>
      </c>
      <c r="D25" s="127"/>
      <c r="E25" s="128" t="s">
        <v>154</v>
      </c>
      <c r="F25" s="121"/>
      <c r="G25" s="118" t="s">
        <v>127</v>
      </c>
      <c r="H25" s="118"/>
      <c r="I25" s="118" t="s">
        <v>55</v>
      </c>
      <c r="J25" s="118" t="s">
        <v>82</v>
      </c>
      <c r="K25" s="117">
        <v>0</v>
      </c>
      <c r="L25" s="118" t="s">
        <v>0</v>
      </c>
      <c r="M25" s="82" t="s">
        <v>157</v>
      </c>
      <c r="N25" s="118"/>
      <c r="O25" s="118"/>
      <c r="P25" s="118"/>
      <c r="Q25" s="118"/>
      <c r="R25" s="118"/>
      <c r="S25" s="128"/>
      <c r="T25" s="118"/>
      <c r="U25" s="118"/>
      <c r="V25" s="118"/>
      <c r="W25" s="118"/>
      <c r="X25" s="128"/>
      <c r="Y25" s="128"/>
      <c r="Z25" s="128"/>
    </row>
    <row r="26" spans="1:26">
      <c r="A26" s="116" t="s">
        <v>549</v>
      </c>
      <c r="B26" s="117">
        <f>COUNTA($B$1:B25)</f>
        <v>23</v>
      </c>
      <c r="C26" s="118" t="s">
        <v>158</v>
      </c>
      <c r="D26" s="127"/>
      <c r="E26" s="128" t="s">
        <v>154</v>
      </c>
      <c r="F26" s="121"/>
      <c r="G26" s="118" t="s">
        <v>127</v>
      </c>
      <c r="H26" s="118"/>
      <c r="I26" s="118" t="s">
        <v>55</v>
      </c>
      <c r="J26" s="118" t="s">
        <v>159</v>
      </c>
      <c r="K26" s="117">
        <v>0</v>
      </c>
      <c r="L26" s="118" t="s">
        <v>0</v>
      </c>
      <c r="M26" s="82" t="s">
        <v>160</v>
      </c>
      <c r="N26" s="118"/>
      <c r="O26" s="118"/>
      <c r="P26" s="118"/>
      <c r="Q26" s="118"/>
      <c r="R26" s="118"/>
      <c r="S26" s="128"/>
      <c r="T26" s="118"/>
      <c r="U26" s="118"/>
      <c r="V26" s="118"/>
      <c r="W26" s="118"/>
      <c r="X26" s="128"/>
      <c r="Y26" s="128"/>
      <c r="Z26" s="128"/>
    </row>
    <row r="27" spans="1:26" s="18" customFormat="1" outlineLevel="1">
      <c r="A27" s="116" t="s">
        <v>549</v>
      </c>
      <c r="B27" s="117">
        <f>COUNTA($B$1:B26)</f>
        <v>24</v>
      </c>
      <c r="C27" s="118" t="s">
        <v>161</v>
      </c>
      <c r="D27" s="118"/>
      <c r="E27" s="118"/>
      <c r="F27" s="117"/>
      <c r="G27" s="118" t="s">
        <v>127</v>
      </c>
      <c r="H27" s="118"/>
      <c r="I27" s="118" t="s">
        <v>55</v>
      </c>
      <c r="J27" s="118" t="s">
        <v>162</v>
      </c>
      <c r="K27" s="117">
        <v>0</v>
      </c>
      <c r="L27" s="118" t="s">
        <v>34</v>
      </c>
      <c r="M27" s="118"/>
      <c r="N27" s="118"/>
      <c r="O27" s="118"/>
      <c r="P27" s="118"/>
      <c r="Q27" s="118"/>
      <c r="R27" s="118"/>
      <c r="S27" s="118"/>
      <c r="T27" s="118"/>
      <c r="U27" s="118"/>
      <c r="V27" s="118"/>
      <c r="W27" s="118"/>
      <c r="X27" s="118"/>
      <c r="Y27" s="118"/>
      <c r="Z27" s="118"/>
    </row>
    <row r="28" spans="1:26" s="17" customFormat="1">
      <c r="A28" s="116" t="s">
        <v>549</v>
      </c>
      <c r="B28" s="117">
        <f>COUNTA($B$1:B27)</f>
        <v>25</v>
      </c>
      <c r="C28" s="118" t="s">
        <v>67</v>
      </c>
      <c r="D28" s="118"/>
      <c r="E28" s="118"/>
      <c r="F28" s="117"/>
      <c r="G28" s="118" t="s">
        <v>127</v>
      </c>
      <c r="H28" s="118"/>
      <c r="I28" s="118"/>
      <c r="J28" s="118"/>
      <c r="K28" s="117"/>
      <c r="L28" s="118" t="s">
        <v>67</v>
      </c>
      <c r="M28" s="119">
        <v>2</v>
      </c>
      <c r="N28" s="118"/>
      <c r="O28" s="118"/>
      <c r="P28" s="118"/>
      <c r="Q28" s="118"/>
      <c r="R28" s="118"/>
      <c r="S28" s="118"/>
      <c r="T28" s="118"/>
      <c r="U28" s="118"/>
      <c r="V28" s="118"/>
      <c r="W28" s="118"/>
      <c r="X28" s="118"/>
      <c r="Y28" s="118"/>
      <c r="Z28" s="118"/>
    </row>
    <row r="29" spans="1:26" s="17" customFormat="1">
      <c r="A29" s="116" t="s">
        <v>549</v>
      </c>
      <c r="B29" s="117">
        <f>COUNTA($B$1:B28)</f>
        <v>26</v>
      </c>
      <c r="C29" s="118" t="s">
        <v>163</v>
      </c>
      <c r="D29" s="118"/>
      <c r="E29" s="118"/>
      <c r="F29" s="117"/>
      <c r="G29" s="118" t="s">
        <v>127</v>
      </c>
      <c r="H29" s="118"/>
      <c r="I29" s="118" t="s">
        <v>55</v>
      </c>
      <c r="J29" s="118" t="s">
        <v>162</v>
      </c>
      <c r="K29" s="117">
        <v>0</v>
      </c>
      <c r="L29" s="118" t="s">
        <v>151</v>
      </c>
      <c r="M29" s="82" t="s">
        <v>164</v>
      </c>
      <c r="N29" s="118"/>
      <c r="O29" s="118"/>
      <c r="P29" s="118"/>
      <c r="Q29" s="118"/>
      <c r="R29" s="118"/>
      <c r="S29" s="118"/>
      <c r="T29" s="118"/>
      <c r="U29" s="118"/>
      <c r="V29" s="118"/>
      <c r="W29" s="118"/>
      <c r="X29" s="118"/>
      <c r="Y29" s="118"/>
      <c r="Z29" s="118"/>
    </row>
    <row r="30" spans="1:26" s="19" customFormat="1" outlineLevel="1">
      <c r="A30" s="116" t="s">
        <v>549</v>
      </c>
      <c r="B30" s="117">
        <f>COUNTA($B$1:B29)</f>
        <v>27</v>
      </c>
      <c r="C30" s="118" t="s">
        <v>67</v>
      </c>
      <c r="D30" s="118"/>
      <c r="E30" s="118"/>
      <c r="F30" s="117"/>
      <c r="G30" s="118" t="s">
        <v>127</v>
      </c>
      <c r="H30" s="118"/>
      <c r="I30" s="118"/>
      <c r="J30" s="118"/>
      <c r="K30" s="117"/>
      <c r="L30" s="118" t="s">
        <v>67</v>
      </c>
      <c r="M30" s="119">
        <v>2</v>
      </c>
      <c r="N30" s="118"/>
      <c r="O30" s="118"/>
      <c r="P30" s="118"/>
      <c r="Q30" s="118"/>
      <c r="R30" s="118"/>
      <c r="S30" s="118"/>
      <c r="T30" s="118"/>
      <c r="U30" s="118"/>
      <c r="V30" s="118"/>
      <c r="W30" s="118"/>
      <c r="X30" s="118"/>
      <c r="Y30" s="118"/>
      <c r="Z30" s="118"/>
    </row>
    <row r="31" spans="1:26" s="17" customFormat="1">
      <c r="A31" s="116" t="s">
        <v>549</v>
      </c>
      <c r="B31" s="117">
        <f>COUNTA($B$1:B30)</f>
        <v>28</v>
      </c>
      <c r="C31" s="118" t="s">
        <v>148</v>
      </c>
      <c r="D31" s="118"/>
      <c r="E31" s="118"/>
      <c r="F31" s="125"/>
      <c r="G31" s="118" t="s">
        <v>127</v>
      </c>
      <c r="H31" s="118"/>
      <c r="I31" s="118" t="s">
        <v>55</v>
      </c>
      <c r="J31" s="118" t="str">
        <f>"//a[contains(.,'"&amp;M29&amp;"')]"</f>
        <v>//a[contains(.,'Residence')]</v>
      </c>
      <c r="K31" s="117">
        <v>0</v>
      </c>
      <c r="L31" s="118" t="s">
        <v>147</v>
      </c>
      <c r="M31" s="118"/>
      <c r="N31" s="118"/>
      <c r="O31" s="118"/>
      <c r="P31" s="118"/>
      <c r="Q31" s="118"/>
      <c r="R31" s="118"/>
      <c r="S31" s="118"/>
      <c r="T31" s="118"/>
      <c r="U31" s="118"/>
      <c r="V31" s="118"/>
      <c r="W31" s="118"/>
      <c r="X31" s="118"/>
      <c r="Y31" s="118"/>
      <c r="Z31" s="118"/>
    </row>
    <row r="32" spans="1:26" s="19" customFormat="1" outlineLevel="1">
      <c r="A32" s="116" t="s">
        <v>549</v>
      </c>
      <c r="B32" s="117">
        <f>COUNTA($B$1:B31)</f>
        <v>29</v>
      </c>
      <c r="C32" s="118" t="s">
        <v>165</v>
      </c>
      <c r="D32" s="127"/>
      <c r="E32" s="128" t="s">
        <v>154</v>
      </c>
      <c r="F32" s="121"/>
      <c r="G32" s="118" t="s">
        <v>127</v>
      </c>
      <c r="H32" s="118"/>
      <c r="I32" s="118" t="s">
        <v>55</v>
      </c>
      <c r="J32" s="118" t="s">
        <v>166</v>
      </c>
      <c r="K32" s="117">
        <v>0</v>
      </c>
      <c r="L32" s="118" t="s">
        <v>0</v>
      </c>
      <c r="M32" s="119" t="s">
        <v>167</v>
      </c>
      <c r="N32" s="118"/>
      <c r="O32" s="118"/>
      <c r="P32" s="118"/>
      <c r="Q32" s="118"/>
      <c r="R32" s="118"/>
      <c r="S32" s="128"/>
      <c r="T32" s="118"/>
      <c r="U32" s="118"/>
      <c r="V32" s="118"/>
      <c r="W32" s="118"/>
      <c r="X32" s="128"/>
      <c r="Y32" s="128"/>
      <c r="Z32" s="128"/>
    </row>
    <row r="33" spans="1:26">
      <c r="A33" s="116" t="s">
        <v>549</v>
      </c>
      <c r="B33" s="117">
        <f>COUNTA($B$1:B32)</f>
        <v>30</v>
      </c>
      <c r="C33" s="118" t="s">
        <v>190</v>
      </c>
      <c r="D33" s="118"/>
      <c r="E33" s="118"/>
      <c r="F33" s="117"/>
      <c r="G33" s="118" t="s">
        <v>127</v>
      </c>
      <c r="H33" s="118"/>
      <c r="I33" s="118" t="s">
        <v>55</v>
      </c>
      <c r="J33" s="118" t="s">
        <v>87</v>
      </c>
      <c r="K33" s="117">
        <v>0</v>
      </c>
      <c r="L33" s="118" t="s">
        <v>147</v>
      </c>
      <c r="M33" s="119"/>
      <c r="N33" s="118"/>
      <c r="O33" s="118"/>
      <c r="P33" s="118"/>
      <c r="Q33" s="118"/>
      <c r="R33" s="118"/>
      <c r="S33" s="118"/>
      <c r="T33" s="118"/>
      <c r="U33" s="118"/>
      <c r="V33" s="118"/>
      <c r="W33" s="118"/>
      <c r="X33" s="118"/>
      <c r="Y33" s="118"/>
      <c r="Z33" s="118"/>
    </row>
    <row r="34" spans="1:26" s="10" customFormat="1">
      <c r="A34" s="116" t="s">
        <v>549</v>
      </c>
      <c r="B34" s="117">
        <f>COUNTA($B$1:B33)</f>
        <v>31</v>
      </c>
      <c r="C34" s="118" t="s">
        <v>67</v>
      </c>
      <c r="D34" s="118"/>
      <c r="E34" s="118"/>
      <c r="F34" s="117"/>
      <c r="G34" s="118" t="s">
        <v>127</v>
      </c>
      <c r="H34" s="118"/>
      <c r="I34" s="118"/>
      <c r="J34" s="118"/>
      <c r="K34" s="117"/>
      <c r="L34" s="118" t="s">
        <v>67</v>
      </c>
      <c r="M34" s="119">
        <v>10</v>
      </c>
      <c r="N34" s="118"/>
      <c r="O34" s="118"/>
      <c r="P34" s="118"/>
      <c r="Q34" s="118"/>
      <c r="R34" s="119"/>
      <c r="S34" s="118"/>
      <c r="T34" s="118"/>
      <c r="U34" s="118"/>
      <c r="V34" s="118"/>
      <c r="W34" s="118"/>
      <c r="X34" s="118"/>
      <c r="Y34" s="118"/>
      <c r="Z34" s="118"/>
    </row>
    <row r="35" spans="1:26" s="10" customFormat="1">
      <c r="A35" s="30" t="s">
        <v>191</v>
      </c>
      <c r="B35" s="31"/>
      <c r="C35" s="31"/>
      <c r="D35" s="32"/>
      <c r="E35" s="32"/>
      <c r="F35" s="31"/>
      <c r="G35" s="32"/>
      <c r="H35" s="32"/>
      <c r="I35" s="32"/>
      <c r="J35" s="32"/>
      <c r="K35" s="31"/>
      <c r="L35" s="32"/>
      <c r="M35" s="32"/>
      <c r="N35" s="32"/>
      <c r="O35" s="32"/>
      <c r="P35" s="32"/>
      <c r="Q35" s="32"/>
      <c r="R35" s="32"/>
      <c r="S35" s="32"/>
      <c r="T35" s="32"/>
      <c r="U35" s="32"/>
      <c r="V35" s="32"/>
      <c r="W35" s="32"/>
      <c r="X35" s="32"/>
      <c r="Y35" s="32"/>
      <c r="Z35" s="32"/>
    </row>
    <row r="36" spans="1:26">
      <c r="A36" s="45" t="s">
        <v>549</v>
      </c>
      <c r="B36" s="117">
        <f>COUNTA($B$1:B35)</f>
        <v>32</v>
      </c>
      <c r="C36" s="46" t="s">
        <v>140</v>
      </c>
      <c r="D36" s="46"/>
      <c r="E36" s="46"/>
      <c r="F36" s="47"/>
      <c r="G36" s="46" t="s">
        <v>127</v>
      </c>
      <c r="H36" s="46"/>
      <c r="I36" s="46" t="s">
        <v>55</v>
      </c>
      <c r="J36" s="46" t="s">
        <v>141</v>
      </c>
      <c r="K36" s="47"/>
      <c r="L36" s="46" t="s">
        <v>142</v>
      </c>
      <c r="M36" s="48"/>
      <c r="N36" s="46"/>
      <c r="O36" s="46" t="s">
        <v>2</v>
      </c>
      <c r="P36" s="46"/>
      <c r="Q36" s="46"/>
      <c r="R36" s="49"/>
      <c r="S36" s="46"/>
      <c r="T36" s="46"/>
      <c r="U36" s="46"/>
      <c r="V36" s="46"/>
      <c r="W36" s="46"/>
      <c r="X36" s="46"/>
      <c r="Y36" s="46"/>
      <c r="Z36" s="46"/>
    </row>
    <row r="37" spans="1:26" ht="12.75" customHeight="1">
      <c r="A37" s="45" t="str">
        <f>IF($D$36="PASSED","bln687809","N")</f>
        <v>N</v>
      </c>
      <c r="B37" s="117">
        <f>COUNTA($B$1:B36)</f>
        <v>33</v>
      </c>
      <c r="C37" s="46" t="s">
        <v>143</v>
      </c>
      <c r="D37" s="46"/>
      <c r="E37" s="46"/>
      <c r="F37" s="47"/>
      <c r="G37" s="46" t="s">
        <v>127</v>
      </c>
      <c r="H37" s="46"/>
      <c r="I37" s="46" t="s">
        <v>55</v>
      </c>
      <c r="J37" s="46" t="s">
        <v>141</v>
      </c>
      <c r="K37" s="47"/>
      <c r="L37" s="46" t="s">
        <v>98</v>
      </c>
      <c r="M37" s="48"/>
      <c r="N37" s="46" t="s">
        <v>99</v>
      </c>
      <c r="O37" s="46" t="s">
        <v>2</v>
      </c>
      <c r="P37" s="46"/>
      <c r="Q37" s="46"/>
      <c r="R37" s="49" t="s">
        <v>144</v>
      </c>
      <c r="S37" s="46"/>
      <c r="T37" s="46"/>
      <c r="U37" s="46"/>
      <c r="V37" s="46"/>
      <c r="W37" s="46"/>
      <c r="X37" s="46"/>
      <c r="Y37" s="46"/>
      <c r="Z37" s="46"/>
    </row>
    <row r="38" spans="1:26">
      <c r="A38" s="45" t="str">
        <f>A37</f>
        <v>N</v>
      </c>
      <c r="B38" s="117">
        <f>COUNTA($B$1:B37)</f>
        <v>34</v>
      </c>
      <c r="C38" s="46" t="s">
        <v>145</v>
      </c>
      <c r="D38" s="46"/>
      <c r="E38" s="46"/>
      <c r="F38" s="47"/>
      <c r="G38" s="46" t="s">
        <v>127</v>
      </c>
      <c r="H38" s="46"/>
      <c r="I38" s="46" t="s">
        <v>55</v>
      </c>
      <c r="J38" s="46" t="s">
        <v>146</v>
      </c>
      <c r="K38" s="47"/>
      <c r="L38" s="46" t="s">
        <v>147</v>
      </c>
      <c r="M38" s="48"/>
      <c r="N38" s="46"/>
      <c r="O38" s="46" t="s">
        <v>2</v>
      </c>
      <c r="P38" s="46"/>
      <c r="Q38" s="46"/>
      <c r="R38" s="48"/>
      <c r="S38" s="46"/>
      <c r="T38" s="46"/>
      <c r="U38" s="46"/>
      <c r="V38" s="46"/>
      <c r="W38" s="46"/>
      <c r="X38" s="46"/>
      <c r="Y38" s="46"/>
      <c r="Z38" s="46"/>
    </row>
    <row r="39" spans="1:26">
      <c r="A39" s="116" t="str">
        <f>IF(Global!B2="QA","Y","N")</f>
        <v>N</v>
      </c>
      <c r="B39" s="117">
        <f>COUNTA($B$1:B38)</f>
        <v>35</v>
      </c>
      <c r="C39" s="120" t="s">
        <v>550</v>
      </c>
      <c r="D39" s="120"/>
      <c r="E39" s="120"/>
      <c r="F39" s="120"/>
      <c r="G39" s="118" t="s">
        <v>127</v>
      </c>
      <c r="H39" s="120"/>
      <c r="I39" s="120" t="s">
        <v>55</v>
      </c>
      <c r="J39" s="120" t="s">
        <v>107</v>
      </c>
      <c r="K39" s="121">
        <v>1</v>
      </c>
      <c r="L39" s="129" t="s">
        <v>98</v>
      </c>
      <c r="M39" s="129"/>
      <c r="N39" s="118" t="s">
        <v>99</v>
      </c>
      <c r="O39" s="118"/>
      <c r="P39" s="118"/>
      <c r="Q39" s="118"/>
      <c r="R39" s="128" t="s">
        <v>128</v>
      </c>
      <c r="S39" s="118"/>
      <c r="T39" s="118" t="s">
        <v>2</v>
      </c>
      <c r="U39" s="130"/>
      <c r="V39" s="130"/>
      <c r="W39" s="130"/>
      <c r="X39" s="130"/>
      <c r="Y39" s="130"/>
      <c r="Z39" s="131"/>
    </row>
    <row r="40" spans="1:26">
      <c r="A40" s="116" t="str">
        <f>IF(OR(Global!B2="UAT",Global!B2="PROD"),"bln687809","N")</f>
        <v>bln687809</v>
      </c>
      <c r="B40" s="117">
        <f>COUNTA($B$1:B39)</f>
        <v>36</v>
      </c>
      <c r="C40" s="120" t="s">
        <v>550</v>
      </c>
      <c r="D40" s="120"/>
      <c r="E40" s="120"/>
      <c r="F40" s="120"/>
      <c r="G40" s="118" t="s">
        <v>127</v>
      </c>
      <c r="H40" s="120"/>
      <c r="I40" s="120" t="s">
        <v>55</v>
      </c>
      <c r="J40" s="120" t="s">
        <v>843</v>
      </c>
      <c r="K40" s="121">
        <v>0</v>
      </c>
      <c r="L40" s="129" t="s">
        <v>98</v>
      </c>
      <c r="M40" s="129"/>
      <c r="N40" s="118" t="s">
        <v>99</v>
      </c>
      <c r="O40" s="118"/>
      <c r="P40" s="118"/>
      <c r="Q40" s="118"/>
      <c r="R40" s="128" t="s">
        <v>128</v>
      </c>
      <c r="S40" s="118"/>
      <c r="T40" s="118" t="s">
        <v>2</v>
      </c>
      <c r="U40" s="130"/>
      <c r="V40" s="130"/>
      <c r="W40" s="130"/>
      <c r="X40" s="130"/>
      <c r="Y40" s="130"/>
      <c r="Z40" s="131"/>
    </row>
    <row r="41" spans="1:26" ht="12.75" customHeight="1">
      <c r="A41" s="116" t="s">
        <v>549</v>
      </c>
      <c r="B41" s="117">
        <f>COUNTA($B$1:B40)</f>
        <v>37</v>
      </c>
      <c r="C41" s="132" t="s">
        <v>551</v>
      </c>
      <c r="D41" s="118"/>
      <c r="E41" s="118"/>
      <c r="F41" s="117"/>
      <c r="G41" s="118" t="s">
        <v>127</v>
      </c>
      <c r="H41" s="118"/>
      <c r="I41" s="118" t="s">
        <v>55</v>
      </c>
      <c r="J41" s="118" t="s">
        <v>552</v>
      </c>
      <c r="K41" s="117">
        <v>0</v>
      </c>
      <c r="L41" s="118" t="s">
        <v>147</v>
      </c>
      <c r="M41" s="119"/>
      <c r="N41" s="118"/>
      <c r="O41" s="118"/>
      <c r="P41" s="118"/>
      <c r="Q41" s="118"/>
      <c r="R41" s="118"/>
      <c r="S41" s="118"/>
      <c r="T41" s="118"/>
      <c r="U41" s="118"/>
      <c r="V41" s="118"/>
      <c r="W41" s="118"/>
      <c r="X41" s="118"/>
      <c r="Y41" s="118"/>
      <c r="Z41" s="118"/>
    </row>
    <row r="42" spans="1:26">
      <c r="A42" s="116" t="s">
        <v>549</v>
      </c>
      <c r="B42" s="117">
        <f>COUNTA($B$1:B41)</f>
        <v>38</v>
      </c>
      <c r="C42" s="118" t="s">
        <v>67</v>
      </c>
      <c r="D42" s="118"/>
      <c r="E42" s="118"/>
      <c r="F42" s="117"/>
      <c r="G42" s="118" t="s">
        <v>127</v>
      </c>
      <c r="H42" s="118"/>
      <c r="I42" s="118"/>
      <c r="J42" s="118"/>
      <c r="K42" s="117"/>
      <c r="L42" s="118" t="s">
        <v>67</v>
      </c>
      <c r="M42" s="119">
        <v>10</v>
      </c>
      <c r="N42" s="118"/>
      <c r="O42" s="118"/>
      <c r="P42" s="118"/>
      <c r="Q42" s="118"/>
      <c r="R42" s="118"/>
      <c r="S42" s="118"/>
      <c r="T42" s="118"/>
      <c r="U42" s="118"/>
      <c r="V42" s="118"/>
      <c r="W42" s="118"/>
      <c r="X42" s="118"/>
      <c r="Y42" s="118"/>
      <c r="Z42" s="118"/>
    </row>
    <row r="43" spans="1:26">
      <c r="A43" s="45" t="s">
        <v>549</v>
      </c>
      <c r="B43" s="117">
        <f>COUNTA($B$1:B42)</f>
        <v>39</v>
      </c>
      <c r="C43" s="46" t="s">
        <v>140</v>
      </c>
      <c r="D43" s="46"/>
      <c r="E43" s="46"/>
      <c r="F43" s="47"/>
      <c r="G43" s="46" t="s">
        <v>127</v>
      </c>
      <c r="H43" s="46"/>
      <c r="I43" s="46" t="s">
        <v>55</v>
      </c>
      <c r="J43" s="46" t="s">
        <v>141</v>
      </c>
      <c r="K43" s="47"/>
      <c r="L43" s="46" t="s">
        <v>142</v>
      </c>
      <c r="M43" s="48"/>
      <c r="N43" s="46"/>
      <c r="O43" s="46" t="s">
        <v>2</v>
      </c>
      <c r="P43" s="46"/>
      <c r="Q43" s="46"/>
      <c r="R43" s="49"/>
      <c r="S43" s="46"/>
      <c r="T43" s="46"/>
      <c r="U43" s="46"/>
      <c r="V43" s="46"/>
      <c r="W43" s="46"/>
      <c r="X43" s="46"/>
      <c r="Y43" s="46"/>
      <c r="Z43" s="46"/>
    </row>
    <row r="44" spans="1:26" ht="12.75" customHeight="1">
      <c r="A44" s="45" t="str">
        <f>IF($D$43="PASSED","bln687809","N")</f>
        <v>N</v>
      </c>
      <c r="B44" s="117">
        <f>COUNTA($B$1:B43)</f>
        <v>40</v>
      </c>
      <c r="C44" s="46" t="s">
        <v>143</v>
      </c>
      <c r="D44" s="46"/>
      <c r="E44" s="46"/>
      <c r="F44" s="47"/>
      <c r="G44" s="46" t="s">
        <v>127</v>
      </c>
      <c r="H44" s="46"/>
      <c r="I44" s="46" t="s">
        <v>55</v>
      </c>
      <c r="J44" s="46" t="s">
        <v>141</v>
      </c>
      <c r="K44" s="47"/>
      <c r="L44" s="46" t="s">
        <v>98</v>
      </c>
      <c r="M44" s="48"/>
      <c r="N44" s="46" t="s">
        <v>99</v>
      </c>
      <c r="O44" s="46" t="s">
        <v>2</v>
      </c>
      <c r="P44" s="46"/>
      <c r="Q44" s="46"/>
      <c r="R44" s="49" t="s">
        <v>144</v>
      </c>
      <c r="S44" s="46"/>
      <c r="T44" s="46"/>
      <c r="U44" s="46"/>
      <c r="V44" s="46"/>
      <c r="W44" s="46"/>
      <c r="X44" s="46"/>
      <c r="Y44" s="46"/>
      <c r="Z44" s="46"/>
    </row>
    <row r="45" spans="1:26" s="12" customFormat="1" ht="12.75" customHeight="1">
      <c r="A45" s="45" t="str">
        <f>A44</f>
        <v>N</v>
      </c>
      <c r="B45" s="117">
        <f>COUNTA($B$1:B44)</f>
        <v>41</v>
      </c>
      <c r="C45" s="46" t="s">
        <v>145</v>
      </c>
      <c r="D45" s="46"/>
      <c r="E45" s="46"/>
      <c r="F45" s="47"/>
      <c r="G45" s="46" t="s">
        <v>127</v>
      </c>
      <c r="H45" s="46"/>
      <c r="I45" s="46" t="s">
        <v>55</v>
      </c>
      <c r="J45" s="46" t="s">
        <v>146</v>
      </c>
      <c r="K45" s="47"/>
      <c r="L45" s="46" t="s">
        <v>147</v>
      </c>
      <c r="M45" s="48"/>
      <c r="N45" s="46"/>
      <c r="O45" s="46" t="s">
        <v>2</v>
      </c>
      <c r="P45" s="46"/>
      <c r="Q45" s="46"/>
      <c r="R45" s="48"/>
      <c r="S45" s="46"/>
      <c r="T45" s="46"/>
      <c r="U45" s="46"/>
      <c r="V45" s="46"/>
      <c r="W45" s="46"/>
      <c r="X45" s="46"/>
      <c r="Y45" s="46"/>
      <c r="Z45" s="46"/>
    </row>
    <row r="46" spans="1:26">
      <c r="A46" s="116" t="s">
        <v>549</v>
      </c>
      <c r="B46" s="117">
        <f>COUNTA($B$1:B45)</f>
        <v>42</v>
      </c>
      <c r="C46" s="118" t="s">
        <v>564</v>
      </c>
      <c r="D46" s="118"/>
      <c r="E46" s="118"/>
      <c r="F46" s="117"/>
      <c r="G46" s="118" t="s">
        <v>127</v>
      </c>
      <c r="H46" s="118"/>
      <c r="I46" s="118" t="s">
        <v>55</v>
      </c>
      <c r="J46" s="118" t="s">
        <v>565</v>
      </c>
      <c r="K46" s="117">
        <v>0</v>
      </c>
      <c r="L46" s="118" t="s">
        <v>147</v>
      </c>
      <c r="M46" s="119"/>
      <c r="N46" s="118"/>
      <c r="O46" s="118"/>
      <c r="P46" s="118"/>
      <c r="Q46" s="118"/>
      <c r="R46" s="119"/>
      <c r="S46" s="118"/>
      <c r="T46" s="118"/>
      <c r="U46" s="118"/>
      <c r="V46" s="118"/>
      <c r="W46" s="118"/>
      <c r="X46" s="128"/>
      <c r="Y46" s="128"/>
      <c r="Z46" s="128"/>
    </row>
    <row r="47" spans="1:26" s="17" customFormat="1">
      <c r="A47" s="116" t="s">
        <v>549</v>
      </c>
      <c r="B47" s="117">
        <f>COUNTA($B$1:B46)</f>
        <v>43</v>
      </c>
      <c r="C47" s="188" t="s">
        <v>851</v>
      </c>
      <c r="D47" s="118"/>
      <c r="E47" s="118"/>
      <c r="F47" s="117"/>
      <c r="G47" s="118" t="s">
        <v>127</v>
      </c>
      <c r="H47" s="118"/>
      <c r="I47" s="118" t="s">
        <v>55</v>
      </c>
      <c r="J47" s="118" t="s">
        <v>853</v>
      </c>
      <c r="K47" s="117">
        <v>0</v>
      </c>
      <c r="L47" s="118" t="s">
        <v>852</v>
      </c>
      <c r="M47" s="82" t="s">
        <v>850</v>
      </c>
      <c r="N47" s="118"/>
      <c r="O47" s="118"/>
      <c r="P47" s="118"/>
      <c r="Q47" s="118"/>
      <c r="R47" s="118"/>
      <c r="S47" s="118"/>
      <c r="T47" s="118"/>
      <c r="U47" s="118"/>
      <c r="V47" s="118"/>
      <c r="W47" s="118"/>
      <c r="X47" s="118"/>
      <c r="Y47" s="118"/>
      <c r="Z47" s="118"/>
    </row>
    <row r="48" spans="1:26">
      <c r="A48" s="116" t="s">
        <v>549</v>
      </c>
      <c r="B48" s="117">
        <f>COUNTA($B$1:B47)</f>
        <v>44</v>
      </c>
      <c r="C48" s="188" t="s">
        <v>67</v>
      </c>
      <c r="D48" s="118"/>
      <c r="E48" s="118"/>
      <c r="F48" s="117"/>
      <c r="G48" s="118" t="s">
        <v>127</v>
      </c>
      <c r="H48" s="118"/>
      <c r="I48" s="118"/>
      <c r="J48" s="118"/>
      <c r="K48" s="117"/>
      <c r="L48" s="118" t="s">
        <v>67</v>
      </c>
      <c r="M48" s="119">
        <v>3</v>
      </c>
      <c r="N48" s="118"/>
      <c r="O48" s="118"/>
      <c r="P48" s="118"/>
      <c r="Q48" s="118"/>
      <c r="R48" s="119"/>
      <c r="S48" s="118"/>
      <c r="T48" s="118"/>
      <c r="U48" s="118"/>
      <c r="V48" s="118"/>
      <c r="W48" s="118"/>
      <c r="X48" s="118"/>
      <c r="Y48" s="118"/>
      <c r="Z48" s="118"/>
    </row>
    <row r="49" spans="1:26">
      <c r="A49" s="116" t="s">
        <v>549</v>
      </c>
      <c r="B49" s="117">
        <f>COUNTA($B$1:B48)</f>
        <v>45</v>
      </c>
      <c r="C49" s="188" t="s">
        <v>854</v>
      </c>
      <c r="D49" s="127"/>
      <c r="E49" s="128"/>
      <c r="F49" s="117"/>
      <c r="G49" s="118" t="s">
        <v>127</v>
      </c>
      <c r="H49" s="118"/>
      <c r="I49" s="118" t="s">
        <v>55</v>
      </c>
      <c r="J49" s="118" t="s">
        <v>856</v>
      </c>
      <c r="K49" s="117">
        <v>3</v>
      </c>
      <c r="L49" s="118" t="s">
        <v>98</v>
      </c>
      <c r="M49" s="119"/>
      <c r="N49" s="118" t="s">
        <v>99</v>
      </c>
      <c r="O49" s="118"/>
      <c r="P49" s="118"/>
      <c r="Q49" s="118"/>
      <c r="R49" s="119"/>
      <c r="S49" s="118"/>
      <c r="T49" s="118"/>
      <c r="U49" s="118"/>
      <c r="V49" s="118"/>
      <c r="W49" s="118"/>
      <c r="X49" s="118"/>
      <c r="Y49" s="118"/>
      <c r="Z49" s="118"/>
    </row>
    <row r="50" spans="1:26">
      <c r="A50" s="116" t="s">
        <v>549</v>
      </c>
      <c r="B50" s="117">
        <f>COUNTA($B$1:B49)</f>
        <v>46</v>
      </c>
      <c r="C50" s="188" t="s">
        <v>558</v>
      </c>
      <c r="D50" s="118"/>
      <c r="E50" s="118"/>
      <c r="F50" s="117"/>
      <c r="G50" s="118" t="s">
        <v>127</v>
      </c>
      <c r="H50" s="118"/>
      <c r="I50" s="118" t="s">
        <v>55</v>
      </c>
      <c r="J50" s="130" t="s">
        <v>428</v>
      </c>
      <c r="K50" s="117">
        <v>0</v>
      </c>
      <c r="L50" s="118" t="s">
        <v>147</v>
      </c>
      <c r="M50" s="119"/>
      <c r="N50" s="118"/>
      <c r="O50" s="118"/>
      <c r="P50" s="118"/>
      <c r="Q50" s="118"/>
      <c r="R50" s="119"/>
      <c r="S50" s="118"/>
      <c r="T50" s="118"/>
      <c r="U50" s="118"/>
      <c r="V50" s="118"/>
      <c r="W50" s="118"/>
      <c r="X50" s="118"/>
      <c r="Y50" s="118"/>
      <c r="Z50" s="118"/>
    </row>
    <row r="51" spans="1:26">
      <c r="A51" s="116" t="s">
        <v>549</v>
      </c>
      <c r="B51" s="117">
        <f>COUNTA($B$1:B50)</f>
        <v>47</v>
      </c>
      <c r="C51" s="188" t="s">
        <v>67</v>
      </c>
      <c r="D51" s="118"/>
      <c r="E51" s="118"/>
      <c r="F51" s="117"/>
      <c r="G51" s="118" t="s">
        <v>127</v>
      </c>
      <c r="H51" s="118"/>
      <c r="I51" s="118"/>
      <c r="J51" s="118"/>
      <c r="K51" s="117"/>
      <c r="L51" s="118" t="s">
        <v>67</v>
      </c>
      <c r="M51" s="119">
        <v>3</v>
      </c>
      <c r="N51" s="118"/>
      <c r="O51" s="118"/>
      <c r="P51" s="118"/>
      <c r="Q51" s="118"/>
      <c r="R51" s="119"/>
      <c r="S51" s="118"/>
      <c r="T51" s="118"/>
      <c r="U51" s="118"/>
      <c r="V51" s="118"/>
      <c r="W51" s="118"/>
      <c r="X51" s="118"/>
      <c r="Y51" s="118"/>
      <c r="Z51" s="118"/>
    </row>
    <row r="52" spans="1:26">
      <c r="A52" s="116" t="s">
        <v>549</v>
      </c>
      <c r="B52" s="117">
        <f>COUNTA($B$1:B51)</f>
        <v>48</v>
      </c>
      <c r="C52" s="188" t="s">
        <v>855</v>
      </c>
      <c r="D52" s="127"/>
      <c r="E52" s="128"/>
      <c r="F52" s="117"/>
      <c r="G52" s="118" t="s">
        <v>127</v>
      </c>
      <c r="H52" s="118"/>
      <c r="I52" s="118" t="s">
        <v>55</v>
      </c>
      <c r="J52" s="118" t="s">
        <v>856</v>
      </c>
      <c r="K52" s="117">
        <v>1</v>
      </c>
      <c r="L52" s="118" t="s">
        <v>98</v>
      </c>
      <c r="M52" s="119"/>
      <c r="N52" s="118" t="s">
        <v>99</v>
      </c>
      <c r="O52" s="118"/>
      <c r="P52" s="118"/>
      <c r="Q52" s="118"/>
      <c r="R52" s="119">
        <f>S49</f>
        <v>0</v>
      </c>
      <c r="S52" s="118"/>
      <c r="T52" s="118" t="s">
        <v>2</v>
      </c>
      <c r="U52" s="118"/>
      <c r="V52" s="118"/>
      <c r="W52" s="118"/>
      <c r="X52" s="118"/>
      <c r="Y52" s="118"/>
      <c r="Z52" s="118"/>
    </row>
    <row r="53" spans="1:26" s="16" customFormat="1" outlineLevel="1">
      <c r="A53" s="116" t="s">
        <v>549</v>
      </c>
      <c r="B53" s="117">
        <f>COUNTA($B$1:B52)</f>
        <v>49</v>
      </c>
      <c r="C53" s="118" t="s">
        <v>190</v>
      </c>
      <c r="D53" s="118"/>
      <c r="E53" s="118"/>
      <c r="F53" s="117"/>
      <c r="G53" s="118" t="s">
        <v>127</v>
      </c>
      <c r="H53" s="118"/>
      <c r="I53" s="118" t="s">
        <v>55</v>
      </c>
      <c r="J53" s="118" t="s">
        <v>87</v>
      </c>
      <c r="K53" s="117">
        <v>0</v>
      </c>
      <c r="L53" s="118" t="s">
        <v>147</v>
      </c>
      <c r="M53" s="119"/>
      <c r="N53" s="118"/>
      <c r="O53" s="118"/>
      <c r="P53" s="118"/>
      <c r="Q53" s="118"/>
      <c r="R53" s="118"/>
      <c r="S53" s="118"/>
      <c r="T53" s="118"/>
      <c r="U53" s="118"/>
      <c r="V53" s="118"/>
      <c r="W53" s="118"/>
      <c r="X53" s="118"/>
      <c r="Y53" s="118"/>
      <c r="Z53" s="118"/>
    </row>
    <row r="54" spans="1:26" s="17" customFormat="1" ht="13.5" customHeight="1">
      <c r="A54" s="116" t="s">
        <v>549</v>
      </c>
      <c r="B54" s="117">
        <f>COUNTA($B$1:B53)</f>
        <v>50</v>
      </c>
      <c r="C54" s="118" t="s">
        <v>67</v>
      </c>
      <c r="D54" s="118"/>
      <c r="E54" s="118"/>
      <c r="F54" s="117"/>
      <c r="G54" s="118" t="s">
        <v>127</v>
      </c>
      <c r="H54" s="118"/>
      <c r="I54" s="118"/>
      <c r="J54" s="118"/>
      <c r="K54" s="117"/>
      <c r="L54" s="118" t="s">
        <v>67</v>
      </c>
      <c r="M54" s="119">
        <v>10</v>
      </c>
      <c r="N54" s="118"/>
      <c r="O54" s="118"/>
      <c r="P54" s="118"/>
      <c r="Q54" s="118"/>
      <c r="R54" s="119"/>
      <c r="S54" s="118"/>
      <c r="T54" s="118"/>
      <c r="U54" s="118"/>
      <c r="V54" s="118"/>
      <c r="W54" s="118"/>
      <c r="X54" s="118"/>
      <c r="Y54" s="118"/>
      <c r="Z54" s="118"/>
    </row>
    <row r="55" spans="1:26" s="17" customFormat="1">
      <c r="A55" s="30" t="s">
        <v>553</v>
      </c>
      <c r="B55" s="31"/>
      <c r="C55" s="31"/>
      <c r="D55" s="32"/>
      <c r="E55" s="32"/>
      <c r="F55" s="31"/>
      <c r="G55" s="32"/>
      <c r="H55" s="32"/>
      <c r="I55" s="32"/>
      <c r="J55" s="32"/>
      <c r="K55" s="31"/>
      <c r="L55" s="32"/>
      <c r="M55" s="32"/>
      <c r="N55" s="32"/>
      <c r="O55" s="32"/>
      <c r="P55" s="32"/>
      <c r="Q55" s="32"/>
      <c r="R55" s="32"/>
      <c r="S55" s="32"/>
      <c r="T55" s="32"/>
      <c r="U55" s="32"/>
      <c r="V55" s="32"/>
      <c r="W55" s="32"/>
      <c r="X55" s="32"/>
      <c r="Y55" s="32"/>
      <c r="Z55" s="32"/>
    </row>
    <row r="56" spans="1:26" s="17" customFormat="1">
      <c r="A56" s="45" t="s">
        <v>549</v>
      </c>
      <c r="B56" s="117">
        <f>COUNTA($B$1:B55)</f>
        <v>51</v>
      </c>
      <c r="C56" s="46" t="s">
        <v>140</v>
      </c>
      <c r="D56" s="46"/>
      <c r="E56" s="46"/>
      <c r="F56" s="47"/>
      <c r="G56" s="46" t="s">
        <v>127</v>
      </c>
      <c r="H56" s="46"/>
      <c r="I56" s="46" t="s">
        <v>55</v>
      </c>
      <c r="J56" s="46" t="s">
        <v>141</v>
      </c>
      <c r="K56" s="47"/>
      <c r="L56" s="46" t="s">
        <v>142</v>
      </c>
      <c r="M56" s="48"/>
      <c r="N56" s="46"/>
      <c r="O56" s="46" t="s">
        <v>2</v>
      </c>
      <c r="P56" s="46"/>
      <c r="Q56" s="46"/>
      <c r="R56" s="49"/>
      <c r="S56" s="46"/>
      <c r="T56" s="46"/>
      <c r="U56" s="46"/>
      <c r="V56" s="46"/>
      <c r="W56" s="46"/>
      <c r="X56" s="46"/>
      <c r="Y56" s="46"/>
      <c r="Z56" s="46"/>
    </row>
    <row r="57" spans="1:26" s="17" customFormat="1">
      <c r="A57" s="45" t="str">
        <f>IF($D$56="PASSED","bln687809","N")</f>
        <v>N</v>
      </c>
      <c r="B57" s="117">
        <f>COUNTA($B$1:B56)</f>
        <v>52</v>
      </c>
      <c r="C57" s="46" t="s">
        <v>143</v>
      </c>
      <c r="D57" s="46"/>
      <c r="E57" s="46"/>
      <c r="F57" s="47"/>
      <c r="G57" s="46" t="s">
        <v>127</v>
      </c>
      <c r="H57" s="46"/>
      <c r="I57" s="46" t="s">
        <v>55</v>
      </c>
      <c r="J57" s="46" t="s">
        <v>141</v>
      </c>
      <c r="K57" s="47"/>
      <c r="L57" s="46" t="s">
        <v>98</v>
      </c>
      <c r="M57" s="48"/>
      <c r="N57" s="46" t="s">
        <v>99</v>
      </c>
      <c r="O57" s="46" t="s">
        <v>2</v>
      </c>
      <c r="P57" s="46"/>
      <c r="Q57" s="46"/>
      <c r="R57" s="49" t="s">
        <v>144</v>
      </c>
      <c r="S57" s="46"/>
      <c r="T57" s="46"/>
      <c r="U57" s="46"/>
      <c r="V57" s="46"/>
      <c r="W57" s="46"/>
      <c r="X57" s="46"/>
      <c r="Y57" s="46"/>
      <c r="Z57" s="46"/>
    </row>
    <row r="58" spans="1:26" s="17" customFormat="1">
      <c r="A58" s="45" t="str">
        <f>A57</f>
        <v>N</v>
      </c>
      <c r="B58" s="117">
        <f>COUNTA($B$1:B57)</f>
        <v>53</v>
      </c>
      <c r="C58" s="46" t="s">
        <v>145</v>
      </c>
      <c r="D58" s="46"/>
      <c r="E58" s="46"/>
      <c r="F58" s="47"/>
      <c r="G58" s="46" t="s">
        <v>127</v>
      </c>
      <c r="H58" s="46"/>
      <c r="I58" s="46" t="s">
        <v>55</v>
      </c>
      <c r="J58" s="46" t="s">
        <v>146</v>
      </c>
      <c r="K58" s="47"/>
      <c r="L58" s="46" t="s">
        <v>147</v>
      </c>
      <c r="M58" s="48"/>
      <c r="N58" s="46"/>
      <c r="O58" s="46" t="s">
        <v>2</v>
      </c>
      <c r="P58" s="46"/>
      <c r="Q58" s="46"/>
      <c r="R58" s="48"/>
      <c r="S58" s="46"/>
      <c r="T58" s="46"/>
      <c r="U58" s="46"/>
      <c r="V58" s="46"/>
      <c r="W58" s="46"/>
      <c r="X58" s="46"/>
      <c r="Y58" s="46"/>
      <c r="Z58" s="46"/>
    </row>
    <row r="59" spans="1:26">
      <c r="A59" s="116" t="s">
        <v>549</v>
      </c>
      <c r="B59" s="117">
        <f>COUNTA($B$1:B58)</f>
        <v>54</v>
      </c>
      <c r="C59" s="188" t="s">
        <v>558</v>
      </c>
      <c r="D59" s="118"/>
      <c r="E59" s="118"/>
      <c r="F59" s="117"/>
      <c r="G59" s="118" t="s">
        <v>127</v>
      </c>
      <c r="H59" s="118"/>
      <c r="I59" s="118" t="s">
        <v>55</v>
      </c>
      <c r="J59" s="130" t="s">
        <v>864</v>
      </c>
      <c r="K59" s="117">
        <v>0</v>
      </c>
      <c r="L59" s="118" t="s">
        <v>147</v>
      </c>
      <c r="M59" s="119"/>
      <c r="N59" s="118"/>
      <c r="O59" s="118"/>
      <c r="P59" s="118"/>
      <c r="Q59" s="118"/>
      <c r="R59" s="119"/>
      <c r="S59" s="118"/>
      <c r="T59" s="118"/>
      <c r="U59" s="118"/>
      <c r="V59" s="118"/>
      <c r="W59" s="118"/>
      <c r="X59" s="118"/>
      <c r="Y59" s="118"/>
      <c r="Z59" s="118"/>
    </row>
    <row r="60" spans="1:26">
      <c r="A60" s="116" t="s">
        <v>549</v>
      </c>
      <c r="B60" s="117">
        <f>COUNTA($B$1:B59)</f>
        <v>55</v>
      </c>
      <c r="C60" s="188" t="s">
        <v>67</v>
      </c>
      <c r="D60" s="118"/>
      <c r="E60" s="118"/>
      <c r="F60" s="117"/>
      <c r="G60" s="118" t="s">
        <v>127</v>
      </c>
      <c r="H60" s="118"/>
      <c r="I60" s="118"/>
      <c r="J60" s="118"/>
      <c r="K60" s="117"/>
      <c r="L60" s="118" t="s">
        <v>67</v>
      </c>
      <c r="M60" s="119">
        <v>3</v>
      </c>
      <c r="N60" s="118"/>
      <c r="O60" s="118"/>
      <c r="P60" s="118"/>
      <c r="Q60" s="118"/>
      <c r="R60" s="119"/>
      <c r="S60" s="118"/>
      <c r="T60" s="118"/>
      <c r="U60" s="118"/>
      <c r="V60" s="118"/>
      <c r="W60" s="118"/>
      <c r="X60" s="118"/>
      <c r="Y60" s="118"/>
      <c r="Z60" s="118"/>
    </row>
    <row r="61" spans="1:26">
      <c r="A61" s="116" t="s">
        <v>549</v>
      </c>
      <c r="B61" s="117">
        <f>COUNTA($B$1:B60)</f>
        <v>56</v>
      </c>
      <c r="C61" s="188" t="s">
        <v>860</v>
      </c>
      <c r="D61" s="127"/>
      <c r="E61" s="128"/>
      <c r="F61" s="117"/>
      <c r="G61" s="118" t="s">
        <v>127</v>
      </c>
      <c r="H61" s="118"/>
      <c r="I61" s="118" t="s">
        <v>55</v>
      </c>
      <c r="J61" s="118" t="s">
        <v>856</v>
      </c>
      <c r="K61" s="117">
        <v>1</v>
      </c>
      <c r="L61" s="118" t="s">
        <v>98</v>
      </c>
      <c r="M61" s="119"/>
      <c r="N61" s="118" t="s">
        <v>99</v>
      </c>
      <c r="O61" s="118"/>
      <c r="P61" s="118"/>
      <c r="Q61" s="118"/>
      <c r="R61" s="119">
        <f>S52</f>
        <v>0</v>
      </c>
      <c r="S61" s="118"/>
      <c r="T61" s="118" t="s">
        <v>2</v>
      </c>
      <c r="U61" s="118"/>
      <c r="V61" s="118"/>
      <c r="W61" s="118"/>
      <c r="X61" s="118"/>
      <c r="Y61" s="118"/>
      <c r="Z61" s="118"/>
    </row>
    <row r="62" spans="1:26" s="17" customFormat="1">
      <c r="A62" s="116" t="s">
        <v>549</v>
      </c>
      <c r="B62" s="117">
        <f>COUNTA($B$1:B61)</f>
        <v>57</v>
      </c>
      <c r="C62" s="188" t="s">
        <v>844</v>
      </c>
      <c r="D62" s="118"/>
      <c r="E62" s="118"/>
      <c r="F62" s="117"/>
      <c r="G62" s="118" t="s">
        <v>127</v>
      </c>
      <c r="H62" s="118"/>
      <c r="I62" s="118" t="s">
        <v>55</v>
      </c>
      <c r="J62" s="118" t="s">
        <v>83</v>
      </c>
      <c r="K62" s="117">
        <v>0</v>
      </c>
      <c r="L62" s="118" t="s">
        <v>0</v>
      </c>
      <c r="M62" s="82" t="s">
        <v>294</v>
      </c>
      <c r="N62" s="118"/>
      <c r="O62" s="118"/>
      <c r="P62" s="118"/>
      <c r="Q62" s="118"/>
      <c r="R62" s="128"/>
      <c r="S62" s="118"/>
      <c r="T62" s="118"/>
      <c r="U62" s="118"/>
      <c r="V62" s="118"/>
      <c r="W62" s="118"/>
      <c r="X62" s="118"/>
      <c r="Y62" s="118"/>
      <c r="Z62" s="118"/>
    </row>
    <row r="63" spans="1:26">
      <c r="A63" s="116" t="s">
        <v>549</v>
      </c>
      <c r="B63" s="117">
        <f>COUNTA($B$1:B62)</f>
        <v>58</v>
      </c>
      <c r="C63" s="188" t="s">
        <v>226</v>
      </c>
      <c r="D63" s="127"/>
      <c r="E63" s="128"/>
      <c r="F63" s="117"/>
      <c r="G63" s="118" t="s">
        <v>127</v>
      </c>
      <c r="H63" s="118"/>
      <c r="I63" s="118"/>
      <c r="J63" s="118"/>
      <c r="K63" s="117"/>
      <c r="L63" s="118" t="s">
        <v>227</v>
      </c>
      <c r="M63" s="119" t="s">
        <v>79</v>
      </c>
      <c r="N63" s="118"/>
      <c r="O63" s="118"/>
      <c r="P63" s="118"/>
      <c r="Q63" s="118"/>
      <c r="R63" s="118"/>
      <c r="S63" s="128"/>
      <c r="T63" s="118"/>
      <c r="U63" s="118"/>
      <c r="V63" s="118"/>
      <c r="W63" s="118"/>
      <c r="X63" s="128"/>
      <c r="Y63" s="128"/>
      <c r="Z63" s="128"/>
    </row>
    <row r="64" spans="1:26">
      <c r="A64" s="116" t="s">
        <v>549</v>
      </c>
      <c r="B64" s="117">
        <f>COUNTA($B$1:B63)</f>
        <v>59</v>
      </c>
      <c r="C64" s="188" t="s">
        <v>67</v>
      </c>
      <c r="D64" s="118"/>
      <c r="E64" s="118"/>
      <c r="F64" s="117"/>
      <c r="G64" s="118" t="s">
        <v>127</v>
      </c>
      <c r="H64" s="118"/>
      <c r="I64" s="118"/>
      <c r="J64" s="118"/>
      <c r="K64" s="117"/>
      <c r="L64" s="118" t="s">
        <v>67</v>
      </c>
      <c r="M64" s="119">
        <v>10</v>
      </c>
      <c r="N64" s="118"/>
      <c r="O64" s="118"/>
      <c r="P64" s="118"/>
      <c r="Q64" s="118"/>
      <c r="R64" s="119"/>
      <c r="S64" s="118"/>
      <c r="T64" s="118"/>
      <c r="U64" s="118"/>
      <c r="V64" s="118"/>
      <c r="W64" s="118"/>
      <c r="X64" s="118"/>
      <c r="Y64" s="118"/>
      <c r="Z64" s="118"/>
    </row>
    <row r="65" spans="1:26">
      <c r="A65" s="116" t="s">
        <v>549</v>
      </c>
      <c r="B65" s="117">
        <f>COUNTA($B$1:B64)</f>
        <v>60</v>
      </c>
      <c r="C65" s="188" t="s">
        <v>417</v>
      </c>
      <c r="D65" s="118"/>
      <c r="E65" s="118"/>
      <c r="F65" s="117"/>
      <c r="G65" s="118" t="s">
        <v>127</v>
      </c>
      <c r="H65" s="118"/>
      <c r="I65" s="118" t="s">
        <v>55</v>
      </c>
      <c r="J65" s="118" t="s">
        <v>418</v>
      </c>
      <c r="K65" s="117">
        <v>0</v>
      </c>
      <c r="L65" s="118" t="s">
        <v>147</v>
      </c>
      <c r="M65" s="119"/>
      <c r="N65" s="118"/>
      <c r="O65" s="118"/>
      <c r="P65" s="118"/>
      <c r="Q65" s="118"/>
      <c r="R65" s="118"/>
      <c r="S65" s="128"/>
      <c r="T65" s="118"/>
      <c r="U65" s="118"/>
      <c r="V65" s="118"/>
      <c r="W65" s="118"/>
      <c r="X65" s="128"/>
      <c r="Y65" s="128"/>
      <c r="Z65" s="128"/>
    </row>
    <row r="66" spans="1:26">
      <c r="A66" s="116" t="s">
        <v>549</v>
      </c>
      <c r="B66" s="117">
        <f>COUNTA($B$1:B65)</f>
        <v>61</v>
      </c>
      <c r="C66" s="188" t="s">
        <v>67</v>
      </c>
      <c r="D66" s="118"/>
      <c r="E66" s="118"/>
      <c r="F66" s="117"/>
      <c r="G66" s="118" t="s">
        <v>127</v>
      </c>
      <c r="H66" s="118"/>
      <c r="I66" s="118"/>
      <c r="J66" s="118"/>
      <c r="K66" s="117"/>
      <c r="L66" s="118" t="s">
        <v>67</v>
      </c>
      <c r="M66" s="119">
        <v>5</v>
      </c>
      <c r="N66" s="118"/>
      <c r="O66" s="118"/>
      <c r="P66" s="118"/>
      <c r="Q66" s="118"/>
      <c r="R66" s="119"/>
      <c r="S66" s="118"/>
      <c r="T66" s="118"/>
      <c r="U66" s="118"/>
      <c r="V66" s="118"/>
      <c r="W66" s="118"/>
      <c r="X66" s="118"/>
      <c r="Y66" s="118"/>
      <c r="Z66" s="118"/>
    </row>
    <row r="67" spans="1:26" s="16" customFormat="1" outlineLevel="1">
      <c r="A67" s="116" t="s">
        <v>549</v>
      </c>
      <c r="B67" s="117">
        <f>COUNTA($B$1:B66)</f>
        <v>62</v>
      </c>
      <c r="C67" s="188" t="s">
        <v>861</v>
      </c>
      <c r="D67" s="118"/>
      <c r="E67" s="118"/>
      <c r="F67" s="117"/>
      <c r="G67" s="118" t="s">
        <v>127</v>
      </c>
      <c r="H67" s="118"/>
      <c r="I67" s="118" t="s">
        <v>55</v>
      </c>
      <c r="J67" s="118" t="s">
        <v>862</v>
      </c>
      <c r="K67" s="117">
        <v>0</v>
      </c>
      <c r="L67" s="118" t="s">
        <v>147</v>
      </c>
      <c r="M67" s="119"/>
      <c r="N67" s="118"/>
      <c r="O67" s="118"/>
      <c r="P67" s="118"/>
      <c r="Q67" s="118"/>
      <c r="R67" s="118"/>
      <c r="S67" s="118"/>
      <c r="T67" s="118"/>
      <c r="U67" s="118"/>
      <c r="V67" s="118"/>
      <c r="W67" s="118"/>
      <c r="X67" s="118"/>
      <c r="Y67" s="118"/>
      <c r="Z67" s="118"/>
    </row>
    <row r="68" spans="1:26">
      <c r="A68" s="116" t="str">
        <f>IF(OR(Global!B2="QA"),"bln687809","N")</f>
        <v>N</v>
      </c>
      <c r="B68" s="117">
        <f>COUNTA($B$1:B67)</f>
        <v>63</v>
      </c>
      <c r="C68" s="188" t="s">
        <v>946</v>
      </c>
      <c r="D68" s="127"/>
      <c r="E68" s="128"/>
      <c r="F68" s="117"/>
      <c r="G68" s="118" t="s">
        <v>127</v>
      </c>
      <c r="H68" s="118"/>
      <c r="I68" s="118" t="s">
        <v>55</v>
      </c>
      <c r="J68" s="118" t="s">
        <v>856</v>
      </c>
      <c r="K68" s="117">
        <v>3</v>
      </c>
      <c r="L68" s="118" t="s">
        <v>98</v>
      </c>
      <c r="M68" s="119"/>
      <c r="N68" s="118" t="s">
        <v>99</v>
      </c>
      <c r="O68" s="118"/>
      <c r="P68" s="118"/>
      <c r="Q68" s="118"/>
      <c r="R68" s="119">
        <f>S49</f>
        <v>0</v>
      </c>
      <c r="S68" s="118"/>
      <c r="T68" s="118" t="s">
        <v>2</v>
      </c>
      <c r="U68" s="118"/>
      <c r="V68" s="118"/>
      <c r="W68" s="118"/>
      <c r="X68" s="118"/>
      <c r="Y68" s="118"/>
      <c r="Z68" s="118"/>
    </row>
    <row r="69" spans="1:26">
      <c r="A69" s="116" t="str">
        <f>IF(OR(Global!B2="PROD",Global!B2="UAT"),"bln687809","N")</f>
        <v>bln687809</v>
      </c>
      <c r="B69" s="117">
        <f>COUNTA($B$1:B68)</f>
        <v>64</v>
      </c>
      <c r="C69" s="188" t="s">
        <v>945</v>
      </c>
      <c r="D69" s="127"/>
      <c r="E69" s="128"/>
      <c r="F69" s="117"/>
      <c r="G69" s="118" t="s">
        <v>127</v>
      </c>
      <c r="H69" s="118"/>
      <c r="I69" s="118" t="s">
        <v>55</v>
      </c>
      <c r="J69" s="118" t="s">
        <v>856</v>
      </c>
      <c r="K69" s="117">
        <v>3</v>
      </c>
      <c r="L69" s="118" t="s">
        <v>98</v>
      </c>
      <c r="M69" s="119"/>
      <c r="N69" s="118" t="s">
        <v>99</v>
      </c>
      <c r="O69" s="118"/>
      <c r="P69" s="118"/>
      <c r="Q69" s="118"/>
      <c r="R69" s="119">
        <f>S49</f>
        <v>0</v>
      </c>
      <c r="S69" s="118"/>
      <c r="T69" s="118" t="s">
        <v>2</v>
      </c>
      <c r="U69" s="118"/>
      <c r="V69" s="118"/>
      <c r="W69" s="118"/>
      <c r="X69" s="118"/>
      <c r="Y69" s="118"/>
      <c r="Z69" s="118"/>
    </row>
    <row r="70" spans="1:26">
      <c r="A70" s="116" t="s">
        <v>549</v>
      </c>
      <c r="B70" s="117">
        <f>COUNTA($B$1:B69)</f>
        <v>65</v>
      </c>
      <c r="C70" s="188" t="s">
        <v>930</v>
      </c>
      <c r="D70" s="127"/>
      <c r="E70" s="128"/>
      <c r="F70" s="117"/>
      <c r="G70" s="118" t="s">
        <v>127</v>
      </c>
      <c r="H70" s="118"/>
      <c r="I70" s="118" t="s">
        <v>55</v>
      </c>
      <c r="J70" s="118" t="s">
        <v>931</v>
      </c>
      <c r="K70" s="117">
        <v>0</v>
      </c>
      <c r="L70" s="118" t="s">
        <v>98</v>
      </c>
      <c r="M70" s="119"/>
      <c r="N70" s="118" t="s">
        <v>99</v>
      </c>
      <c r="O70" s="118"/>
      <c r="P70" s="118"/>
      <c r="Q70" s="118"/>
      <c r="R70" s="119" t="str">
        <f>M47</f>
        <v>AOAD3</v>
      </c>
      <c r="S70" s="118"/>
      <c r="T70" s="118" t="s">
        <v>2</v>
      </c>
      <c r="U70" s="118"/>
      <c r="V70" s="118"/>
      <c r="W70" s="118"/>
      <c r="X70" s="118"/>
      <c r="Y70" s="118"/>
      <c r="Z70" s="118"/>
    </row>
    <row r="71" spans="1:26">
      <c r="A71" s="116" t="s">
        <v>549</v>
      </c>
      <c r="B71" s="117">
        <f>COUNTA($B$1:B70)</f>
        <v>66</v>
      </c>
      <c r="C71" s="188" t="s">
        <v>558</v>
      </c>
      <c r="D71" s="118"/>
      <c r="E71" s="118"/>
      <c r="F71" s="117"/>
      <c r="G71" s="118" t="s">
        <v>127</v>
      </c>
      <c r="H71" s="118"/>
      <c r="I71" s="118" t="s">
        <v>55</v>
      </c>
      <c r="J71" s="130" t="s">
        <v>428</v>
      </c>
      <c r="K71" s="117">
        <v>0</v>
      </c>
      <c r="L71" s="118" t="s">
        <v>147</v>
      </c>
      <c r="M71" s="119"/>
      <c r="N71" s="118"/>
      <c r="O71" s="118"/>
      <c r="P71" s="118"/>
      <c r="Q71" s="118"/>
      <c r="R71" s="119"/>
      <c r="S71" s="118"/>
      <c r="T71" s="118"/>
      <c r="U71" s="118"/>
      <c r="V71" s="118"/>
      <c r="W71" s="118"/>
      <c r="X71" s="118"/>
      <c r="Y71" s="118"/>
      <c r="Z71" s="118"/>
    </row>
    <row r="72" spans="1:26">
      <c r="A72" s="116" t="s">
        <v>549</v>
      </c>
      <c r="B72" s="117">
        <f>COUNTA($B$1:B71)</f>
        <v>67</v>
      </c>
      <c r="C72" s="188" t="s">
        <v>67</v>
      </c>
      <c r="D72" s="118"/>
      <c r="E72" s="118"/>
      <c r="F72" s="117"/>
      <c r="G72" s="118" t="s">
        <v>127</v>
      </c>
      <c r="H72" s="118"/>
      <c r="I72" s="118"/>
      <c r="J72" s="118"/>
      <c r="K72" s="117"/>
      <c r="L72" s="118" t="s">
        <v>67</v>
      </c>
      <c r="M72" s="119">
        <v>3</v>
      </c>
      <c r="N72" s="118"/>
      <c r="O72" s="118"/>
      <c r="P72" s="118"/>
      <c r="Q72" s="118"/>
      <c r="R72" s="119"/>
      <c r="S72" s="118"/>
      <c r="T72" s="118"/>
      <c r="U72" s="118"/>
      <c r="V72" s="118"/>
      <c r="W72" s="118"/>
      <c r="X72" s="118"/>
      <c r="Y72" s="118"/>
      <c r="Z72" s="118"/>
    </row>
    <row r="73" spans="1:26">
      <c r="A73" s="116" t="s">
        <v>549</v>
      </c>
      <c r="B73" s="117">
        <f>COUNTA($B$1:B72)</f>
        <v>68</v>
      </c>
      <c r="C73" s="188" t="s">
        <v>863</v>
      </c>
      <c r="D73" s="127"/>
      <c r="E73" s="128"/>
      <c r="F73" s="117"/>
      <c r="G73" s="118" t="s">
        <v>127</v>
      </c>
      <c r="H73" s="118"/>
      <c r="I73" s="118" t="s">
        <v>55</v>
      </c>
      <c r="J73" s="118" t="s">
        <v>856</v>
      </c>
      <c r="K73" s="117">
        <v>1</v>
      </c>
      <c r="L73" s="118" t="s">
        <v>98</v>
      </c>
      <c r="M73" s="119"/>
      <c r="N73" s="118" t="s">
        <v>99</v>
      </c>
      <c r="O73" s="118"/>
      <c r="P73" s="118"/>
      <c r="Q73" s="118"/>
      <c r="R73" s="119">
        <f>S52</f>
        <v>0</v>
      </c>
      <c r="S73" s="118"/>
      <c r="T73" s="118" t="s">
        <v>2</v>
      </c>
      <c r="U73" s="118"/>
      <c r="V73" s="118"/>
      <c r="W73" s="118"/>
      <c r="X73" s="118"/>
      <c r="Y73" s="118"/>
      <c r="Z73" s="118"/>
    </row>
    <row r="74" spans="1:26">
      <c r="A74" s="116" t="s">
        <v>549</v>
      </c>
      <c r="B74" s="117">
        <f>COUNTA($B$1:B73)</f>
        <v>69</v>
      </c>
      <c r="C74" s="188" t="s">
        <v>190</v>
      </c>
      <c r="D74" s="118"/>
      <c r="E74" s="118"/>
      <c r="F74" s="117"/>
      <c r="G74" s="118" t="s">
        <v>127</v>
      </c>
      <c r="H74" s="118"/>
      <c r="I74" s="118" t="s">
        <v>55</v>
      </c>
      <c r="J74" s="118" t="s">
        <v>87</v>
      </c>
      <c r="K74" s="117">
        <v>0</v>
      </c>
      <c r="L74" s="118" t="s">
        <v>147</v>
      </c>
      <c r="M74" s="119"/>
      <c r="N74" s="118"/>
      <c r="O74" s="118"/>
      <c r="P74" s="118"/>
      <c r="Q74" s="118"/>
      <c r="R74" s="118"/>
      <c r="S74" s="118"/>
      <c r="T74" s="118"/>
      <c r="U74" s="118"/>
      <c r="V74" s="118"/>
      <c r="W74" s="118"/>
      <c r="X74" s="118"/>
      <c r="Y74" s="118"/>
      <c r="Z74" s="118"/>
    </row>
    <row r="75" spans="1:26">
      <c r="A75" s="116" t="s">
        <v>549</v>
      </c>
      <c r="B75" s="117">
        <f>COUNTA($B$1:B74)</f>
        <v>70</v>
      </c>
      <c r="C75" s="188" t="s">
        <v>67</v>
      </c>
      <c r="D75" s="118"/>
      <c r="E75" s="118"/>
      <c r="F75" s="117"/>
      <c r="G75" s="118" t="s">
        <v>127</v>
      </c>
      <c r="H75" s="118"/>
      <c r="I75" s="118"/>
      <c r="J75" s="118"/>
      <c r="K75" s="117"/>
      <c r="L75" s="118" t="s">
        <v>67</v>
      </c>
      <c r="M75" s="119">
        <v>10</v>
      </c>
      <c r="N75" s="118"/>
      <c r="O75" s="118"/>
      <c r="P75" s="118"/>
      <c r="Q75" s="118"/>
      <c r="R75" s="119"/>
      <c r="S75" s="118"/>
      <c r="T75" s="118"/>
      <c r="U75" s="118"/>
      <c r="V75" s="118"/>
      <c r="W75" s="118"/>
      <c r="X75" s="118"/>
      <c r="Y75" s="118"/>
      <c r="Z75" s="118"/>
    </row>
    <row r="76" spans="1:26" s="17" customFormat="1">
      <c r="A76" s="116" t="s">
        <v>549</v>
      </c>
      <c r="B76" s="117">
        <f>COUNTA($B$1:B75)</f>
        <v>71</v>
      </c>
      <c r="C76" s="118" t="s">
        <v>220</v>
      </c>
      <c r="D76" s="118"/>
      <c r="E76" s="118"/>
      <c r="F76" s="117"/>
      <c r="G76" s="118" t="s">
        <v>127</v>
      </c>
      <c r="H76" s="118"/>
      <c r="I76" s="118" t="s">
        <v>55</v>
      </c>
      <c r="J76" s="118" t="s">
        <v>221</v>
      </c>
      <c r="K76" s="117">
        <v>0</v>
      </c>
      <c r="L76" s="118" t="s">
        <v>0</v>
      </c>
      <c r="M76" s="82" t="s">
        <v>222</v>
      </c>
      <c r="N76" s="118"/>
      <c r="O76" s="118"/>
      <c r="P76" s="118"/>
      <c r="Q76" s="118"/>
      <c r="R76" s="128"/>
      <c r="S76" s="118"/>
      <c r="T76" s="118"/>
      <c r="U76" s="118"/>
      <c r="V76" s="118"/>
      <c r="W76" s="118"/>
      <c r="X76" s="118"/>
      <c r="Y76" s="118"/>
      <c r="Z76" s="118"/>
    </row>
    <row r="77" spans="1:26" s="17" customFormat="1">
      <c r="A77" s="116" t="s">
        <v>549</v>
      </c>
      <c r="B77" s="117">
        <f>COUNTA($B$1:B76)</f>
        <v>72</v>
      </c>
      <c r="C77" s="118" t="s">
        <v>103</v>
      </c>
      <c r="D77" s="118"/>
      <c r="E77" s="118"/>
      <c r="F77" s="117"/>
      <c r="G77" s="118" t="s">
        <v>127</v>
      </c>
      <c r="H77" s="118"/>
      <c r="I77" s="118" t="s">
        <v>55</v>
      </c>
      <c r="J77" s="118" t="s">
        <v>105</v>
      </c>
      <c r="K77" s="117">
        <v>0</v>
      </c>
      <c r="L77" s="118" t="s">
        <v>0</v>
      </c>
      <c r="M77" s="82" t="s">
        <v>223</v>
      </c>
      <c r="N77" s="118"/>
      <c r="O77" s="118"/>
      <c r="P77" s="118"/>
      <c r="Q77" s="118"/>
      <c r="R77" s="128"/>
      <c r="S77" s="118"/>
      <c r="T77" s="118"/>
      <c r="U77" s="118"/>
      <c r="V77" s="118"/>
      <c r="W77" s="118"/>
      <c r="X77" s="118"/>
      <c r="Y77" s="118"/>
      <c r="Z77" s="118"/>
    </row>
    <row r="78" spans="1:26" s="17" customFormat="1">
      <c r="A78" s="116" t="s">
        <v>549</v>
      </c>
      <c r="B78" s="117">
        <f>COUNTA($B$1:B77)</f>
        <v>73</v>
      </c>
      <c r="C78" s="118" t="s">
        <v>224</v>
      </c>
      <c r="D78" s="118"/>
      <c r="E78" s="118"/>
      <c r="F78" s="117"/>
      <c r="G78" s="118" t="s">
        <v>127</v>
      </c>
      <c r="H78" s="118"/>
      <c r="I78" s="118" t="s">
        <v>55</v>
      </c>
      <c r="J78" s="118" t="s">
        <v>83</v>
      </c>
      <c r="K78" s="117">
        <v>0</v>
      </c>
      <c r="L78" s="118" t="s">
        <v>0</v>
      </c>
      <c r="M78" s="82" t="s">
        <v>294</v>
      </c>
      <c r="N78" s="118"/>
      <c r="O78" s="118"/>
      <c r="P78" s="118"/>
      <c r="Q78" s="118"/>
      <c r="R78" s="128"/>
      <c r="S78" s="118"/>
      <c r="T78" s="118"/>
      <c r="U78" s="118"/>
      <c r="V78" s="118"/>
      <c r="W78" s="118"/>
      <c r="X78" s="118"/>
      <c r="Y78" s="118"/>
      <c r="Z78" s="118"/>
    </row>
    <row r="79" spans="1:26" s="17" customFormat="1">
      <c r="A79" s="116" t="s">
        <v>549</v>
      </c>
      <c r="B79" s="117">
        <f>COUNTA($B$1:B78)</f>
        <v>74</v>
      </c>
      <c r="C79" s="118" t="s">
        <v>226</v>
      </c>
      <c r="D79" s="127"/>
      <c r="E79" s="128"/>
      <c r="F79" s="117"/>
      <c r="G79" s="118" t="s">
        <v>127</v>
      </c>
      <c r="H79" s="118"/>
      <c r="I79" s="118"/>
      <c r="J79" s="118"/>
      <c r="K79" s="117"/>
      <c r="L79" s="118" t="s">
        <v>227</v>
      </c>
      <c r="M79" s="119" t="s">
        <v>79</v>
      </c>
      <c r="N79" s="118"/>
      <c r="O79" s="118"/>
      <c r="P79" s="118"/>
      <c r="Q79" s="118"/>
      <c r="R79" s="118"/>
      <c r="S79" s="128"/>
      <c r="T79" s="118"/>
      <c r="U79" s="118"/>
      <c r="V79" s="118"/>
      <c r="W79" s="118"/>
      <c r="X79" s="128"/>
      <c r="Y79" s="128"/>
      <c r="Z79" s="128"/>
    </row>
    <row r="80" spans="1:26" s="17" customFormat="1">
      <c r="A80" s="116" t="s">
        <v>549</v>
      </c>
      <c r="B80" s="117">
        <f>COUNTA($B$1:B79)</f>
        <v>75</v>
      </c>
      <c r="C80" s="118" t="s">
        <v>67</v>
      </c>
      <c r="D80" s="118"/>
      <c r="E80" s="118"/>
      <c r="F80" s="117"/>
      <c r="G80" s="118" t="s">
        <v>127</v>
      </c>
      <c r="H80" s="118"/>
      <c r="I80" s="118"/>
      <c r="J80" s="118"/>
      <c r="K80" s="117"/>
      <c r="L80" s="118" t="s">
        <v>67</v>
      </c>
      <c r="M80" s="119">
        <v>2</v>
      </c>
      <c r="N80" s="118"/>
      <c r="O80" s="118"/>
      <c r="P80" s="118"/>
      <c r="Q80" s="118"/>
      <c r="R80" s="119"/>
      <c r="S80" s="118"/>
      <c r="T80" s="118"/>
      <c r="U80" s="118"/>
      <c r="V80" s="118"/>
      <c r="W80" s="118"/>
      <c r="X80" s="118"/>
      <c r="Y80" s="118"/>
      <c r="Z80" s="118"/>
    </row>
    <row r="81" spans="1:26" s="17" customFormat="1">
      <c r="A81" s="116" t="s">
        <v>549</v>
      </c>
      <c r="B81" s="117">
        <f>COUNTA($B$1:B80)</f>
        <v>76</v>
      </c>
      <c r="C81" s="118" t="s">
        <v>228</v>
      </c>
      <c r="D81" s="118"/>
      <c r="E81" s="118"/>
      <c r="F81" s="117"/>
      <c r="G81" s="118" t="s">
        <v>127</v>
      </c>
      <c r="H81" s="118"/>
      <c r="I81" s="118" t="s">
        <v>55</v>
      </c>
      <c r="J81" s="118" t="s">
        <v>229</v>
      </c>
      <c r="K81" s="117">
        <v>0</v>
      </c>
      <c r="L81" s="118" t="s">
        <v>0</v>
      </c>
      <c r="M81" s="82" t="s">
        <v>230</v>
      </c>
      <c r="N81" s="118"/>
      <c r="O81" s="118"/>
      <c r="P81" s="118"/>
      <c r="Q81" s="118"/>
      <c r="R81" s="128"/>
      <c r="S81" s="118"/>
      <c r="T81" s="118"/>
      <c r="U81" s="118"/>
      <c r="V81" s="118"/>
      <c r="W81" s="118"/>
      <c r="X81" s="118"/>
      <c r="Y81" s="118"/>
      <c r="Z81" s="118"/>
    </row>
    <row r="82" spans="1:26" s="17" customFormat="1">
      <c r="A82" s="116" t="s">
        <v>549</v>
      </c>
      <c r="B82" s="117">
        <f>COUNTA($B$1:B81)</f>
        <v>77</v>
      </c>
      <c r="C82" s="118" t="s">
        <v>89</v>
      </c>
      <c r="D82" s="118"/>
      <c r="E82" s="118"/>
      <c r="F82" s="117"/>
      <c r="G82" s="118" t="s">
        <v>127</v>
      </c>
      <c r="H82" s="118"/>
      <c r="I82" s="118" t="s">
        <v>55</v>
      </c>
      <c r="J82" s="118" t="s">
        <v>231</v>
      </c>
      <c r="K82" s="117">
        <v>0</v>
      </c>
      <c r="L82" s="118" t="s">
        <v>0</v>
      </c>
      <c r="M82" s="82" t="s">
        <v>104</v>
      </c>
      <c r="N82" s="118"/>
      <c r="O82" s="118"/>
      <c r="P82" s="118"/>
      <c r="Q82" s="118"/>
      <c r="R82" s="128"/>
      <c r="S82" s="118"/>
      <c r="T82" s="118"/>
      <c r="U82" s="118"/>
      <c r="V82" s="118"/>
      <c r="W82" s="118"/>
      <c r="X82" s="118"/>
      <c r="Y82" s="118"/>
      <c r="Z82" s="118"/>
    </row>
    <row r="83" spans="1:26" s="17" customFormat="1">
      <c r="A83" s="116" t="s">
        <v>549</v>
      </c>
      <c r="B83" s="117">
        <f>COUNTA($B$1:B82)</f>
        <v>78</v>
      </c>
      <c r="C83" s="118" t="s">
        <v>232</v>
      </c>
      <c r="D83" s="118"/>
      <c r="E83" s="118"/>
      <c r="F83" s="117"/>
      <c r="G83" s="118" t="s">
        <v>127</v>
      </c>
      <c r="H83" s="118"/>
      <c r="I83" s="118" t="s">
        <v>55</v>
      </c>
      <c r="J83" s="118" t="s">
        <v>233</v>
      </c>
      <c r="K83" s="117">
        <v>0</v>
      </c>
      <c r="L83" s="118" t="s">
        <v>0</v>
      </c>
      <c r="M83" s="82" t="s">
        <v>234</v>
      </c>
      <c r="N83" s="118"/>
      <c r="O83" s="118"/>
      <c r="P83" s="118"/>
      <c r="Q83" s="118"/>
      <c r="R83" s="128"/>
      <c r="S83" s="118"/>
      <c r="T83" s="118"/>
      <c r="U83" s="118"/>
      <c r="V83" s="118"/>
      <c r="W83" s="118"/>
      <c r="X83" s="118"/>
      <c r="Y83" s="118"/>
      <c r="Z83" s="118"/>
    </row>
    <row r="84" spans="1:26">
      <c r="A84" s="116" t="s">
        <v>549</v>
      </c>
      <c r="B84" s="117">
        <f>COUNTA($B$1:B83)</f>
        <v>79</v>
      </c>
      <c r="C84" s="118" t="s">
        <v>235</v>
      </c>
      <c r="D84" s="118"/>
      <c r="E84" s="118"/>
      <c r="F84" s="117"/>
      <c r="G84" s="118" t="s">
        <v>127</v>
      </c>
      <c r="H84" s="118"/>
      <c r="I84" s="118" t="s">
        <v>55</v>
      </c>
      <c r="J84" s="118" t="s">
        <v>236</v>
      </c>
      <c r="K84" s="117">
        <v>0</v>
      </c>
      <c r="L84" s="118" t="s">
        <v>0</v>
      </c>
      <c r="M84" s="82" t="s">
        <v>237</v>
      </c>
      <c r="N84" s="118"/>
      <c r="O84" s="118"/>
      <c r="P84" s="118"/>
      <c r="Q84" s="118"/>
      <c r="R84" s="128"/>
      <c r="S84" s="118"/>
      <c r="T84" s="118"/>
      <c r="U84" s="118"/>
      <c r="V84" s="118"/>
      <c r="W84" s="118"/>
      <c r="X84" s="118"/>
      <c r="Y84" s="118"/>
      <c r="Z84" s="118"/>
    </row>
    <row r="85" spans="1:26">
      <c r="A85" s="116" t="s">
        <v>549</v>
      </c>
      <c r="B85" s="117">
        <f>COUNTA($B$1:B84)</f>
        <v>80</v>
      </c>
      <c r="C85" s="118" t="s">
        <v>238</v>
      </c>
      <c r="D85" s="118"/>
      <c r="E85" s="118"/>
      <c r="F85" s="117"/>
      <c r="G85" s="118" t="s">
        <v>127</v>
      </c>
      <c r="H85" s="118"/>
      <c r="I85" s="118" t="s">
        <v>55</v>
      </c>
      <c r="J85" s="118" t="s">
        <v>90</v>
      </c>
      <c r="K85" s="117">
        <v>0</v>
      </c>
      <c r="L85" s="118" t="s">
        <v>0</v>
      </c>
      <c r="M85" s="82" t="s">
        <v>239</v>
      </c>
      <c r="N85" s="118"/>
      <c r="O85" s="118"/>
      <c r="P85" s="118"/>
      <c r="Q85" s="118"/>
      <c r="R85" s="128"/>
      <c r="S85" s="118"/>
      <c r="T85" s="118"/>
      <c r="U85" s="118"/>
      <c r="V85" s="118"/>
      <c r="W85" s="118"/>
      <c r="X85" s="118"/>
      <c r="Y85" s="118"/>
      <c r="Z85" s="118"/>
    </row>
    <row r="86" spans="1:26">
      <c r="A86" s="116" t="s">
        <v>549</v>
      </c>
      <c r="B86" s="117">
        <f>COUNTA($B$1:B85)</f>
        <v>81</v>
      </c>
      <c r="C86" s="118" t="s">
        <v>190</v>
      </c>
      <c r="D86" s="118"/>
      <c r="E86" s="118"/>
      <c r="F86" s="117"/>
      <c r="G86" s="118" t="s">
        <v>127</v>
      </c>
      <c r="H86" s="118"/>
      <c r="I86" s="118" t="s">
        <v>55</v>
      </c>
      <c r="J86" s="118" t="s">
        <v>87</v>
      </c>
      <c r="K86" s="117">
        <v>0</v>
      </c>
      <c r="L86" s="118" t="s">
        <v>147</v>
      </c>
      <c r="M86" s="119"/>
      <c r="N86" s="118"/>
      <c r="O86" s="118"/>
      <c r="P86" s="118"/>
      <c r="Q86" s="118"/>
      <c r="R86" s="118"/>
      <c r="S86" s="118"/>
      <c r="T86" s="118"/>
      <c r="U86" s="118"/>
      <c r="V86" s="118"/>
      <c r="W86" s="118"/>
      <c r="X86" s="118"/>
      <c r="Y86" s="118"/>
      <c r="Z86" s="118"/>
    </row>
    <row r="87" spans="1:26">
      <c r="A87" s="116" t="s">
        <v>549</v>
      </c>
      <c r="B87" s="117">
        <f>COUNTA($B$1:B86)</f>
        <v>82</v>
      </c>
      <c r="C87" s="118" t="s">
        <v>67</v>
      </c>
      <c r="D87" s="118"/>
      <c r="E87" s="118"/>
      <c r="F87" s="117"/>
      <c r="G87" s="118" t="s">
        <v>127</v>
      </c>
      <c r="H87" s="118"/>
      <c r="I87" s="118"/>
      <c r="J87" s="118"/>
      <c r="K87" s="117"/>
      <c r="L87" s="118" t="s">
        <v>67</v>
      </c>
      <c r="M87" s="119">
        <v>10</v>
      </c>
      <c r="N87" s="118"/>
      <c r="O87" s="118"/>
      <c r="P87" s="118"/>
      <c r="Q87" s="118"/>
      <c r="R87" s="119"/>
      <c r="S87" s="118"/>
      <c r="T87" s="118"/>
      <c r="U87" s="118"/>
      <c r="V87" s="118"/>
      <c r="W87" s="118"/>
      <c r="X87" s="118"/>
      <c r="Y87" s="118"/>
      <c r="Z87" s="118"/>
    </row>
    <row r="88" spans="1:26">
      <c r="A88" s="30" t="s">
        <v>91</v>
      </c>
      <c r="B88" s="31"/>
      <c r="C88" s="31"/>
      <c r="D88" s="32"/>
      <c r="E88" s="32"/>
      <c r="F88" s="31"/>
      <c r="G88" s="32"/>
      <c r="H88" s="32"/>
      <c r="I88" s="32"/>
      <c r="J88" s="32"/>
      <c r="K88" s="31"/>
      <c r="L88" s="32"/>
      <c r="M88" s="32"/>
      <c r="N88" s="32"/>
      <c r="O88" s="32"/>
      <c r="P88" s="32"/>
      <c r="Q88" s="32"/>
      <c r="R88" s="32"/>
      <c r="S88" s="32"/>
      <c r="T88" s="32"/>
      <c r="U88" s="32"/>
      <c r="V88" s="32"/>
      <c r="W88" s="32"/>
      <c r="X88" s="32"/>
      <c r="Y88" s="32"/>
      <c r="Z88" s="32"/>
    </row>
    <row r="89" spans="1:26">
      <c r="A89" s="45" t="s">
        <v>549</v>
      </c>
      <c r="B89" s="117">
        <f>COUNTA($B$1:B88)</f>
        <v>83</v>
      </c>
      <c r="C89" s="46" t="s">
        <v>140</v>
      </c>
      <c r="D89" s="46"/>
      <c r="E89" s="46"/>
      <c r="F89" s="47"/>
      <c r="G89" s="46" t="s">
        <v>127</v>
      </c>
      <c r="H89" s="46"/>
      <c r="I89" s="46" t="s">
        <v>55</v>
      </c>
      <c r="J89" s="46" t="s">
        <v>141</v>
      </c>
      <c r="K89" s="47"/>
      <c r="L89" s="46" t="s">
        <v>142</v>
      </c>
      <c r="M89" s="48"/>
      <c r="N89" s="46"/>
      <c r="O89" s="46" t="s">
        <v>2</v>
      </c>
      <c r="P89" s="46"/>
      <c r="Q89" s="46"/>
      <c r="R89" s="49"/>
      <c r="S89" s="46"/>
      <c r="T89" s="46"/>
      <c r="U89" s="46"/>
      <c r="V89" s="46"/>
      <c r="W89" s="46"/>
      <c r="X89" s="46"/>
      <c r="Y89" s="46"/>
      <c r="Z89" s="46"/>
    </row>
    <row r="90" spans="1:26">
      <c r="A90" s="45" t="str">
        <f>IF($D$89="PASSED","bln687809","N")</f>
        <v>N</v>
      </c>
      <c r="B90" s="117">
        <f>COUNTA($B$1:B89)</f>
        <v>84</v>
      </c>
      <c r="C90" s="46" t="s">
        <v>143</v>
      </c>
      <c r="D90" s="46"/>
      <c r="E90" s="46"/>
      <c r="F90" s="47"/>
      <c r="G90" s="46" t="s">
        <v>127</v>
      </c>
      <c r="H90" s="46"/>
      <c r="I90" s="46" t="s">
        <v>55</v>
      </c>
      <c r="J90" s="46" t="s">
        <v>141</v>
      </c>
      <c r="K90" s="47"/>
      <c r="L90" s="46" t="s">
        <v>98</v>
      </c>
      <c r="M90" s="48"/>
      <c r="N90" s="46" t="s">
        <v>99</v>
      </c>
      <c r="O90" s="46" t="s">
        <v>2</v>
      </c>
      <c r="P90" s="46"/>
      <c r="Q90" s="46"/>
      <c r="R90" s="49" t="s">
        <v>144</v>
      </c>
      <c r="S90" s="46"/>
      <c r="T90" s="46"/>
      <c r="U90" s="46"/>
      <c r="V90" s="46"/>
      <c r="W90" s="46"/>
      <c r="X90" s="46"/>
      <c r="Y90" s="46"/>
      <c r="Z90" s="46"/>
    </row>
    <row r="91" spans="1:26">
      <c r="A91" s="45" t="str">
        <f>A90</f>
        <v>N</v>
      </c>
      <c r="B91" s="117">
        <f>COUNTA($B$1:B90)</f>
        <v>85</v>
      </c>
      <c r="C91" s="46" t="s">
        <v>145</v>
      </c>
      <c r="D91" s="46"/>
      <c r="E91" s="46"/>
      <c r="F91" s="47"/>
      <c r="G91" s="46" t="s">
        <v>127</v>
      </c>
      <c r="H91" s="46"/>
      <c r="I91" s="46" t="s">
        <v>55</v>
      </c>
      <c r="J91" s="46" t="s">
        <v>146</v>
      </c>
      <c r="K91" s="47"/>
      <c r="L91" s="46" t="s">
        <v>147</v>
      </c>
      <c r="M91" s="48"/>
      <c r="N91" s="46"/>
      <c r="O91" s="46" t="s">
        <v>2</v>
      </c>
      <c r="P91" s="46"/>
      <c r="Q91" s="46"/>
      <c r="R91" s="48"/>
      <c r="S91" s="46"/>
      <c r="T91" s="46"/>
      <c r="U91" s="46"/>
      <c r="V91" s="46"/>
      <c r="W91" s="46"/>
      <c r="X91" s="46"/>
      <c r="Y91" s="46"/>
      <c r="Z91" s="46"/>
    </row>
    <row r="92" spans="1:26">
      <c r="A92" s="116" t="s">
        <v>549</v>
      </c>
      <c r="B92" s="117">
        <f>COUNTA($B$1:B91)</f>
        <v>86</v>
      </c>
      <c r="C92" s="118" t="s">
        <v>93</v>
      </c>
      <c r="D92" s="118"/>
      <c r="E92" s="118"/>
      <c r="F92" s="117"/>
      <c r="G92" s="118" t="s">
        <v>127</v>
      </c>
      <c r="H92" s="118"/>
      <c r="I92" s="118" t="s">
        <v>55</v>
      </c>
      <c r="J92" s="118" t="s">
        <v>92</v>
      </c>
      <c r="K92" s="117">
        <v>0</v>
      </c>
      <c r="L92" s="118" t="s">
        <v>0</v>
      </c>
      <c r="M92" s="82" t="s">
        <v>261</v>
      </c>
      <c r="N92" s="118"/>
      <c r="O92" s="118"/>
      <c r="P92" s="118"/>
      <c r="Q92" s="118"/>
      <c r="R92" s="128"/>
      <c r="S92" s="118"/>
      <c r="T92" s="118"/>
      <c r="U92" s="118"/>
      <c r="V92" s="118"/>
      <c r="W92" s="118"/>
      <c r="X92" s="118"/>
      <c r="Y92" s="118"/>
      <c r="Z92" s="118"/>
    </row>
    <row r="93" spans="1:26" s="17" customFormat="1">
      <c r="A93" s="116" t="s">
        <v>549</v>
      </c>
      <c r="B93" s="117">
        <f>COUNTA($B$1:B92)</f>
        <v>87</v>
      </c>
      <c r="C93" s="118" t="s">
        <v>262</v>
      </c>
      <c r="D93" s="118"/>
      <c r="E93" s="118"/>
      <c r="F93" s="117"/>
      <c r="G93" s="118" t="s">
        <v>127</v>
      </c>
      <c r="H93" s="118"/>
      <c r="I93" s="133" t="s">
        <v>55</v>
      </c>
      <c r="J93" s="133"/>
      <c r="K93" s="117">
        <v>0</v>
      </c>
      <c r="L93" s="118" t="s">
        <v>95</v>
      </c>
      <c r="M93" s="118"/>
      <c r="N93" s="118"/>
      <c r="O93" s="118"/>
      <c r="P93" s="118"/>
      <c r="Q93" s="118"/>
      <c r="R93" s="128"/>
      <c r="S93" s="118"/>
      <c r="T93" s="118"/>
      <c r="U93" s="118"/>
      <c r="V93" s="118"/>
      <c r="W93" s="118"/>
      <c r="X93" s="118"/>
      <c r="Y93" s="118"/>
      <c r="Z93" s="118"/>
    </row>
    <row r="94" spans="1:26" s="17" customFormat="1">
      <c r="A94" s="45" t="s">
        <v>549</v>
      </c>
      <c r="B94" s="117">
        <f>COUNTA($B$1:B93)</f>
        <v>88</v>
      </c>
      <c r="C94" s="46" t="s">
        <v>140</v>
      </c>
      <c r="D94" s="46"/>
      <c r="E94" s="46"/>
      <c r="F94" s="47"/>
      <c r="G94" s="46" t="s">
        <v>127</v>
      </c>
      <c r="H94" s="46"/>
      <c r="I94" s="46" t="s">
        <v>55</v>
      </c>
      <c r="J94" s="46" t="s">
        <v>141</v>
      </c>
      <c r="K94" s="47"/>
      <c r="L94" s="46" t="s">
        <v>142</v>
      </c>
      <c r="M94" s="48"/>
      <c r="N94" s="46"/>
      <c r="O94" s="46" t="s">
        <v>2</v>
      </c>
      <c r="P94" s="46"/>
      <c r="Q94" s="46"/>
      <c r="R94" s="49"/>
      <c r="S94" s="46"/>
      <c r="T94" s="46"/>
      <c r="U94" s="46"/>
      <c r="V94" s="46"/>
      <c r="W94" s="46"/>
      <c r="X94" s="46"/>
      <c r="Y94" s="46"/>
      <c r="Z94" s="46"/>
    </row>
    <row r="95" spans="1:26" s="17" customFormat="1">
      <c r="A95" s="45" t="str">
        <f>IF($D$94="PASSED","bln687809","N")</f>
        <v>N</v>
      </c>
      <c r="B95" s="117">
        <f>COUNTA($B$1:B94)</f>
        <v>89</v>
      </c>
      <c r="C95" s="46" t="s">
        <v>143</v>
      </c>
      <c r="D95" s="46"/>
      <c r="E95" s="46"/>
      <c r="F95" s="47"/>
      <c r="G95" s="46" t="s">
        <v>127</v>
      </c>
      <c r="H95" s="46"/>
      <c r="I95" s="46" t="s">
        <v>55</v>
      </c>
      <c r="J95" s="46" t="s">
        <v>141</v>
      </c>
      <c r="K95" s="47"/>
      <c r="L95" s="46" t="s">
        <v>98</v>
      </c>
      <c r="M95" s="48"/>
      <c r="N95" s="46" t="s">
        <v>99</v>
      </c>
      <c r="O95" s="46" t="s">
        <v>2</v>
      </c>
      <c r="P95" s="46"/>
      <c r="Q95" s="46"/>
      <c r="R95" s="49" t="s">
        <v>144</v>
      </c>
      <c r="S95" s="46"/>
      <c r="T95" s="46"/>
      <c r="U95" s="46"/>
      <c r="V95" s="46"/>
      <c r="W95" s="46"/>
      <c r="X95" s="46"/>
      <c r="Y95" s="46"/>
      <c r="Z95" s="46"/>
    </row>
    <row r="96" spans="1:26" s="17" customFormat="1">
      <c r="A96" s="45" t="str">
        <f>A95</f>
        <v>N</v>
      </c>
      <c r="B96" s="117">
        <f>COUNTA($B$1:B95)</f>
        <v>90</v>
      </c>
      <c r="C96" s="46" t="s">
        <v>145</v>
      </c>
      <c r="D96" s="46"/>
      <c r="E96" s="46"/>
      <c r="F96" s="47"/>
      <c r="G96" s="46" t="s">
        <v>127</v>
      </c>
      <c r="H96" s="46"/>
      <c r="I96" s="46" t="s">
        <v>55</v>
      </c>
      <c r="J96" s="46" t="s">
        <v>146</v>
      </c>
      <c r="K96" s="47"/>
      <c r="L96" s="46" t="s">
        <v>147</v>
      </c>
      <c r="M96" s="48"/>
      <c r="N96" s="46"/>
      <c r="O96" s="46" t="s">
        <v>2</v>
      </c>
      <c r="P96" s="46"/>
      <c r="Q96" s="46"/>
      <c r="R96" s="48"/>
      <c r="S96" s="46"/>
      <c r="T96" s="46"/>
      <c r="U96" s="46"/>
      <c r="V96" s="46"/>
      <c r="W96" s="46"/>
      <c r="X96" s="46"/>
      <c r="Y96" s="46"/>
      <c r="Z96" s="46"/>
    </row>
    <row r="97" spans="1:26" s="17" customFormat="1">
      <c r="A97" s="116" t="s">
        <v>549</v>
      </c>
      <c r="B97" s="117">
        <f>COUNTA($B$1:B96)</f>
        <v>91</v>
      </c>
      <c r="C97" s="118" t="s">
        <v>94</v>
      </c>
      <c r="D97" s="118"/>
      <c r="E97" s="118"/>
      <c r="F97" s="117"/>
      <c r="G97" s="118" t="s">
        <v>127</v>
      </c>
      <c r="H97" s="118"/>
      <c r="I97" s="118" t="s">
        <v>55</v>
      </c>
      <c r="J97" s="118" t="s">
        <v>263</v>
      </c>
      <c r="K97" s="117">
        <v>0</v>
      </c>
      <c r="L97" s="118" t="s">
        <v>0</v>
      </c>
      <c r="M97" s="82" t="s">
        <v>264</v>
      </c>
      <c r="N97" s="118"/>
      <c r="O97" s="118"/>
      <c r="P97" s="118"/>
      <c r="Q97" s="118"/>
      <c r="R97" s="128"/>
      <c r="S97" s="118"/>
      <c r="T97" s="118"/>
      <c r="U97" s="118"/>
      <c r="V97" s="118"/>
      <c r="W97" s="118"/>
      <c r="X97" s="118"/>
      <c r="Y97" s="118"/>
      <c r="Z97" s="118"/>
    </row>
    <row r="98" spans="1:26" s="17" customFormat="1">
      <c r="A98" s="116" t="s">
        <v>549</v>
      </c>
      <c r="B98" s="117">
        <f>COUNTA($B$1:B97)</f>
        <v>92</v>
      </c>
      <c r="C98" s="118" t="s">
        <v>262</v>
      </c>
      <c r="D98" s="118"/>
      <c r="E98" s="118"/>
      <c r="F98" s="117"/>
      <c r="G98" s="118" t="s">
        <v>127</v>
      </c>
      <c r="H98" s="118"/>
      <c r="I98" s="118"/>
      <c r="J98" s="118"/>
      <c r="K98" s="117">
        <v>0</v>
      </c>
      <c r="L98" s="118" t="s">
        <v>96</v>
      </c>
      <c r="M98" s="118"/>
      <c r="N98" s="118"/>
      <c r="O98" s="118"/>
      <c r="P98" s="118"/>
      <c r="Q98" s="118"/>
      <c r="R98" s="128"/>
      <c r="S98" s="118"/>
      <c r="T98" s="118"/>
      <c r="U98" s="118"/>
      <c r="V98" s="118"/>
      <c r="W98" s="118"/>
      <c r="X98" s="118"/>
      <c r="Y98" s="118"/>
      <c r="Z98" s="118"/>
    </row>
    <row r="99" spans="1:26" s="17" customFormat="1">
      <c r="A99" s="116" t="s">
        <v>549</v>
      </c>
      <c r="B99" s="117">
        <f>COUNTA($B$1:B98)</f>
        <v>93</v>
      </c>
      <c r="C99" s="118" t="s">
        <v>262</v>
      </c>
      <c r="D99" s="118"/>
      <c r="E99" s="118"/>
      <c r="F99" s="117"/>
      <c r="G99" s="118" t="s">
        <v>127</v>
      </c>
      <c r="H99" s="118"/>
      <c r="I99" s="133"/>
      <c r="J99" s="133"/>
      <c r="K99" s="117">
        <v>0</v>
      </c>
      <c r="L99" s="118" t="s">
        <v>95</v>
      </c>
      <c r="M99" s="118"/>
      <c r="N99" s="118"/>
      <c r="O99" s="118"/>
      <c r="P99" s="118"/>
      <c r="Q99" s="118"/>
      <c r="R99" s="128"/>
      <c r="S99" s="118"/>
      <c r="T99" s="118"/>
      <c r="U99" s="118"/>
      <c r="V99" s="118"/>
      <c r="W99" s="118"/>
      <c r="X99" s="118"/>
      <c r="Y99" s="118"/>
      <c r="Z99" s="118"/>
    </row>
    <row r="100" spans="1:26" s="17" customFormat="1">
      <c r="A100" s="228" t="s">
        <v>21</v>
      </c>
      <c r="B100" s="229">
        <f>COUNTA($B$1:B99)</f>
        <v>94</v>
      </c>
      <c r="C100" s="230" t="s">
        <v>226</v>
      </c>
      <c r="D100" s="127"/>
      <c r="E100" s="128"/>
      <c r="F100" s="117"/>
      <c r="G100" s="118" t="s">
        <v>127</v>
      </c>
      <c r="H100" s="118"/>
      <c r="I100" s="118"/>
      <c r="J100" s="118"/>
      <c r="K100" s="117"/>
      <c r="L100" s="118" t="s">
        <v>227</v>
      </c>
      <c r="M100" s="119" t="s">
        <v>79</v>
      </c>
      <c r="N100" s="118"/>
      <c r="O100" s="118"/>
      <c r="P100" s="118"/>
      <c r="Q100" s="118"/>
      <c r="R100" s="118"/>
      <c r="S100" s="128"/>
      <c r="T100" s="118"/>
      <c r="U100" s="118"/>
      <c r="V100" s="118"/>
      <c r="W100" s="118"/>
      <c r="X100" s="128"/>
      <c r="Y100" s="128"/>
      <c r="Z100" s="128"/>
    </row>
    <row r="101" spans="1:26">
      <c r="A101" s="228" t="s">
        <v>21</v>
      </c>
      <c r="B101" s="229">
        <f>COUNTA($B$1:B100)</f>
        <v>95</v>
      </c>
      <c r="C101" s="230" t="s">
        <v>265</v>
      </c>
      <c r="D101" s="118"/>
      <c r="E101" s="118"/>
      <c r="F101" s="117"/>
      <c r="G101" s="118" t="s">
        <v>127</v>
      </c>
      <c r="H101" s="118"/>
      <c r="I101" s="118"/>
      <c r="J101" s="118"/>
      <c r="K101" s="117"/>
      <c r="L101" s="118" t="s">
        <v>227</v>
      </c>
      <c r="M101" s="82" t="s">
        <v>266</v>
      </c>
      <c r="N101" s="118"/>
      <c r="O101" s="118"/>
      <c r="P101" s="118"/>
      <c r="Q101" s="118"/>
      <c r="R101" s="128"/>
      <c r="S101" s="118"/>
      <c r="T101" s="118"/>
      <c r="U101" s="118"/>
      <c r="V101" s="118"/>
      <c r="W101" s="118"/>
      <c r="X101" s="118"/>
      <c r="Y101" s="118"/>
      <c r="Z101" s="118"/>
    </row>
    <row r="102" spans="1:26">
      <c r="A102" s="228" t="s">
        <v>21</v>
      </c>
      <c r="B102" s="229">
        <f>COUNTA($B$1:B101)</f>
        <v>96</v>
      </c>
      <c r="C102" s="230" t="s">
        <v>267</v>
      </c>
      <c r="D102" s="118"/>
      <c r="E102" s="118"/>
      <c r="F102" s="117"/>
      <c r="G102" s="118" t="s">
        <v>127</v>
      </c>
      <c r="H102" s="118"/>
      <c r="I102" s="118"/>
      <c r="J102" s="118"/>
      <c r="K102" s="117"/>
      <c r="L102" s="118" t="s">
        <v>227</v>
      </c>
      <c r="M102" s="82" t="s">
        <v>268</v>
      </c>
      <c r="N102" s="118"/>
      <c r="O102" s="118"/>
      <c r="P102" s="118"/>
      <c r="Q102" s="118"/>
      <c r="R102" s="128"/>
      <c r="S102" s="118"/>
      <c r="T102" s="118"/>
      <c r="U102" s="118"/>
      <c r="V102" s="118"/>
      <c r="W102" s="118"/>
      <c r="X102" s="118"/>
      <c r="Y102" s="118"/>
      <c r="Z102" s="118"/>
    </row>
    <row r="103" spans="1:26" s="19" customFormat="1" outlineLevel="1">
      <c r="A103" s="33" t="s">
        <v>549</v>
      </c>
      <c r="B103" s="34">
        <f>COUNTA($B$1:B102)</f>
        <v>97</v>
      </c>
      <c r="C103" s="35" t="s">
        <v>948</v>
      </c>
      <c r="D103" s="35"/>
      <c r="E103" s="35"/>
      <c r="F103" s="34"/>
      <c r="G103" s="35" t="s">
        <v>127</v>
      </c>
      <c r="H103" s="35"/>
      <c r="I103" s="35" t="s">
        <v>55</v>
      </c>
      <c r="J103" s="35" t="s">
        <v>949</v>
      </c>
      <c r="K103" s="34">
        <v>0</v>
      </c>
      <c r="L103" s="35" t="s">
        <v>34</v>
      </c>
      <c r="M103" s="35"/>
      <c r="N103" s="35"/>
      <c r="O103" s="35"/>
      <c r="P103" s="35"/>
      <c r="Q103" s="35"/>
      <c r="R103" s="35"/>
      <c r="S103" s="35"/>
      <c r="T103" s="35"/>
      <c r="U103" s="35"/>
      <c r="V103" s="35"/>
      <c r="W103" s="35"/>
      <c r="X103" s="35"/>
      <c r="Y103" s="35"/>
      <c r="Z103" s="35"/>
    </row>
    <row r="104" spans="1:26" s="19" customFormat="1" outlineLevel="1">
      <c r="A104" s="33" t="s">
        <v>549</v>
      </c>
      <c r="B104" s="34">
        <f>COUNTA($B$1:B103)</f>
        <v>98</v>
      </c>
      <c r="C104" s="35" t="s">
        <v>67</v>
      </c>
      <c r="D104" s="35"/>
      <c r="E104" s="35"/>
      <c r="F104" s="34"/>
      <c r="G104" s="35" t="s">
        <v>127</v>
      </c>
      <c r="H104" s="35"/>
      <c r="I104" s="35"/>
      <c r="J104" s="35"/>
      <c r="K104" s="34"/>
      <c r="L104" s="35" t="s">
        <v>67</v>
      </c>
      <c r="M104" s="36">
        <v>2</v>
      </c>
      <c r="N104" s="35"/>
      <c r="O104" s="35"/>
      <c r="P104" s="35"/>
      <c r="Q104" s="35"/>
      <c r="R104" s="35"/>
      <c r="S104" s="35"/>
      <c r="T104" s="35"/>
      <c r="U104" s="35"/>
      <c r="V104" s="35"/>
      <c r="W104" s="35"/>
      <c r="X104" s="35"/>
      <c r="Y104" s="35"/>
      <c r="Z104" s="35"/>
    </row>
    <row r="105" spans="1:26" s="19" customFormat="1" outlineLevel="1">
      <c r="A105" s="33" t="s">
        <v>549</v>
      </c>
      <c r="B105" s="34">
        <f>COUNTA($B$1:B104)</f>
        <v>99</v>
      </c>
      <c r="C105" s="35" t="s">
        <v>952</v>
      </c>
      <c r="D105" s="35"/>
      <c r="E105" s="35"/>
      <c r="F105" s="34"/>
      <c r="G105" s="35" t="s">
        <v>127</v>
      </c>
      <c r="H105" s="35"/>
      <c r="I105" s="35" t="s">
        <v>55</v>
      </c>
      <c r="J105" s="35" t="s">
        <v>949</v>
      </c>
      <c r="K105" s="34">
        <v>0</v>
      </c>
      <c r="L105" s="35" t="s">
        <v>951</v>
      </c>
      <c r="M105" s="50" t="s">
        <v>266</v>
      </c>
      <c r="N105" s="35"/>
      <c r="O105" s="35"/>
      <c r="P105" s="35"/>
      <c r="Q105" s="35"/>
      <c r="R105" s="35"/>
      <c r="S105" s="35"/>
      <c r="T105" s="35"/>
      <c r="U105" s="35"/>
      <c r="V105" s="35"/>
      <c r="W105" s="35"/>
      <c r="X105" s="35"/>
      <c r="Y105" s="35"/>
      <c r="Z105" s="35"/>
    </row>
    <row r="106" spans="1:26" s="19" customFormat="1" outlineLevel="1">
      <c r="A106" s="33" t="s">
        <v>549</v>
      </c>
      <c r="B106" s="34">
        <f>COUNTA($B$1:B105)</f>
        <v>100</v>
      </c>
      <c r="C106" s="35" t="s">
        <v>953</v>
      </c>
      <c r="D106" s="35"/>
      <c r="E106" s="35"/>
      <c r="F106" s="34"/>
      <c r="G106" s="35" t="s">
        <v>127</v>
      </c>
      <c r="H106" s="35"/>
      <c r="I106" s="35" t="s">
        <v>55</v>
      </c>
      <c r="J106" s="35" t="s">
        <v>949</v>
      </c>
      <c r="K106" s="34">
        <v>0</v>
      </c>
      <c r="L106" s="35" t="s">
        <v>951</v>
      </c>
      <c r="M106" s="50" t="s">
        <v>268</v>
      </c>
      <c r="N106" s="35"/>
      <c r="O106" s="35"/>
      <c r="P106" s="35"/>
      <c r="Q106" s="35"/>
      <c r="R106" s="35"/>
      <c r="S106" s="35"/>
      <c r="T106" s="35"/>
      <c r="U106" s="35"/>
      <c r="V106" s="35"/>
      <c r="W106" s="35"/>
      <c r="X106" s="35"/>
      <c r="Y106" s="35"/>
      <c r="Z106" s="35"/>
    </row>
    <row r="107" spans="1:26" s="19" customFormat="1" outlineLevel="1">
      <c r="A107" s="33" t="s">
        <v>549</v>
      </c>
      <c r="B107" s="34">
        <f>COUNTA($B$1:B106)</f>
        <v>101</v>
      </c>
      <c r="C107" s="35" t="s">
        <v>67</v>
      </c>
      <c r="D107" s="35"/>
      <c r="E107" s="35"/>
      <c r="F107" s="34"/>
      <c r="G107" s="35" t="s">
        <v>127</v>
      </c>
      <c r="H107" s="35"/>
      <c r="I107" s="35"/>
      <c r="J107" s="35"/>
      <c r="K107" s="34"/>
      <c r="L107" s="35" t="s">
        <v>67</v>
      </c>
      <c r="M107" s="36">
        <v>2</v>
      </c>
      <c r="N107" s="35"/>
      <c r="O107" s="35"/>
      <c r="P107" s="35"/>
      <c r="Q107" s="35"/>
      <c r="R107" s="35"/>
      <c r="S107" s="35"/>
      <c r="T107" s="35"/>
      <c r="U107" s="35"/>
      <c r="V107" s="35"/>
      <c r="W107" s="35"/>
      <c r="X107" s="35"/>
      <c r="Y107" s="35"/>
      <c r="Z107" s="35"/>
    </row>
    <row r="108" spans="1:26" s="12" customFormat="1" ht="12.75" customHeight="1">
      <c r="A108" s="116" t="s">
        <v>549</v>
      </c>
      <c r="B108" s="34">
        <f>COUNTA($B$1:B107)</f>
        <v>102</v>
      </c>
      <c r="C108" s="118" t="s">
        <v>262</v>
      </c>
      <c r="D108" s="118"/>
      <c r="E108" s="118"/>
      <c r="F108" s="117"/>
      <c r="G108" s="118" t="s">
        <v>127</v>
      </c>
      <c r="H108" s="118"/>
      <c r="I108" s="118"/>
      <c r="J108" s="118"/>
      <c r="K108" s="117">
        <v>0</v>
      </c>
      <c r="L108" s="118" t="s">
        <v>96</v>
      </c>
      <c r="M108" s="118"/>
      <c r="N108" s="118"/>
      <c r="O108" s="118"/>
      <c r="P108" s="118"/>
      <c r="Q108" s="118"/>
      <c r="R108" s="128"/>
      <c r="S108" s="118"/>
      <c r="T108" s="118"/>
      <c r="U108" s="118"/>
      <c r="V108" s="118"/>
      <c r="W108" s="118"/>
      <c r="X108" s="118"/>
      <c r="Y108" s="118"/>
      <c r="Z108" s="118"/>
    </row>
    <row r="109" spans="1:26">
      <c r="A109" s="116" t="s">
        <v>549</v>
      </c>
      <c r="B109" s="117">
        <f>COUNTA($B$1:B108)</f>
        <v>103</v>
      </c>
      <c r="C109" s="118" t="s">
        <v>67</v>
      </c>
      <c r="D109" s="118"/>
      <c r="E109" s="118"/>
      <c r="F109" s="117"/>
      <c r="G109" s="118" t="s">
        <v>127</v>
      </c>
      <c r="H109" s="118"/>
      <c r="I109" s="118"/>
      <c r="J109" s="118"/>
      <c r="K109" s="117"/>
      <c r="L109" s="118" t="s">
        <v>67</v>
      </c>
      <c r="M109" s="119">
        <v>2</v>
      </c>
      <c r="N109" s="118"/>
      <c r="O109" s="118"/>
      <c r="P109" s="118"/>
      <c r="Q109" s="118"/>
      <c r="R109" s="119"/>
      <c r="S109" s="118"/>
      <c r="T109" s="118"/>
      <c r="U109" s="118"/>
      <c r="V109" s="118"/>
      <c r="W109" s="118"/>
      <c r="X109" s="118"/>
      <c r="Y109" s="118"/>
      <c r="Z109" s="118"/>
    </row>
    <row r="110" spans="1:26">
      <c r="A110" s="116" t="s">
        <v>549</v>
      </c>
      <c r="B110" s="117">
        <f>COUNTA($B$1:B109)</f>
        <v>104</v>
      </c>
      <c r="C110" s="118" t="s">
        <v>312</v>
      </c>
      <c r="D110" s="127"/>
      <c r="E110" s="128" t="s">
        <v>154</v>
      </c>
      <c r="F110" s="117"/>
      <c r="G110" s="118" t="s">
        <v>127</v>
      </c>
      <c r="H110" s="118"/>
      <c r="I110" s="118" t="s">
        <v>55</v>
      </c>
      <c r="J110" s="118" t="s">
        <v>313</v>
      </c>
      <c r="K110" s="117">
        <v>0</v>
      </c>
      <c r="L110" s="118" t="s">
        <v>147</v>
      </c>
      <c r="M110" s="119"/>
      <c r="N110" s="118"/>
      <c r="O110" s="118"/>
      <c r="P110" s="118"/>
      <c r="Q110" s="118"/>
      <c r="R110" s="118"/>
      <c r="S110" s="128"/>
      <c r="T110" s="118"/>
      <c r="U110" s="118"/>
      <c r="V110" s="118"/>
      <c r="W110" s="118"/>
      <c r="X110" s="128"/>
      <c r="Y110" s="128"/>
      <c r="Z110" s="128"/>
    </row>
    <row r="111" spans="1:26">
      <c r="A111" s="116" t="s">
        <v>549</v>
      </c>
      <c r="B111" s="117">
        <f>COUNTA($B$1:B110)</f>
        <v>105</v>
      </c>
      <c r="C111" s="118" t="s">
        <v>67</v>
      </c>
      <c r="D111" s="118"/>
      <c r="E111" s="118"/>
      <c r="F111" s="117"/>
      <c r="G111" s="118" t="s">
        <v>127</v>
      </c>
      <c r="H111" s="118"/>
      <c r="I111" s="118"/>
      <c r="J111" s="118"/>
      <c r="K111" s="117"/>
      <c r="L111" s="118" t="s">
        <v>67</v>
      </c>
      <c r="M111" s="119">
        <v>2</v>
      </c>
      <c r="N111" s="118"/>
      <c r="O111" s="118"/>
      <c r="P111" s="118"/>
      <c r="Q111" s="118"/>
      <c r="R111" s="119"/>
      <c r="S111" s="118"/>
      <c r="T111" s="118"/>
      <c r="U111" s="118"/>
      <c r="V111" s="118"/>
      <c r="W111" s="118"/>
      <c r="X111" s="118"/>
      <c r="Y111" s="118"/>
      <c r="Z111" s="118"/>
    </row>
    <row r="112" spans="1:26">
      <c r="A112" s="116" t="s">
        <v>549</v>
      </c>
      <c r="B112" s="117">
        <f>COUNTA($B$1:B111)</f>
        <v>106</v>
      </c>
      <c r="C112" s="118" t="s">
        <v>554</v>
      </c>
      <c r="D112" s="118"/>
      <c r="E112" s="118"/>
      <c r="F112" s="117"/>
      <c r="G112" s="118" t="s">
        <v>127</v>
      </c>
      <c r="H112" s="118"/>
      <c r="I112" s="118"/>
      <c r="J112" s="118"/>
      <c r="K112" s="117">
        <v>0</v>
      </c>
      <c r="L112" s="118" t="s">
        <v>555</v>
      </c>
      <c r="M112" s="119"/>
      <c r="N112" s="118"/>
      <c r="O112" s="118"/>
      <c r="P112" s="118"/>
      <c r="Q112" s="118"/>
      <c r="R112" s="119"/>
      <c r="S112" s="118"/>
      <c r="T112" s="118"/>
      <c r="U112" s="118"/>
      <c r="V112" s="118"/>
      <c r="W112" s="118"/>
      <c r="X112" s="118"/>
      <c r="Y112" s="118"/>
      <c r="Z112" s="118"/>
    </row>
    <row r="113" spans="1:26" s="12" customFormat="1" ht="12.75" customHeight="1">
      <c r="A113" s="116" t="s">
        <v>549</v>
      </c>
      <c r="B113" s="117">
        <f>COUNTA($B$1:B112)</f>
        <v>107</v>
      </c>
      <c r="C113" s="118" t="s">
        <v>67</v>
      </c>
      <c r="D113" s="118"/>
      <c r="E113" s="118"/>
      <c r="F113" s="117"/>
      <c r="G113" s="118" t="s">
        <v>127</v>
      </c>
      <c r="H113" s="118"/>
      <c r="I113" s="118"/>
      <c r="J113" s="118"/>
      <c r="K113" s="117"/>
      <c r="L113" s="118" t="s">
        <v>67</v>
      </c>
      <c r="M113" s="119">
        <v>10</v>
      </c>
      <c r="N113" s="118"/>
      <c r="O113" s="118"/>
      <c r="P113" s="118"/>
      <c r="Q113" s="118"/>
      <c r="R113" s="119"/>
      <c r="S113" s="118"/>
      <c r="T113" s="118"/>
      <c r="U113" s="118"/>
      <c r="V113" s="118"/>
      <c r="W113" s="118"/>
      <c r="X113" s="118"/>
      <c r="Y113" s="118"/>
      <c r="Z113" s="118"/>
    </row>
    <row r="114" spans="1:26">
      <c r="A114" s="30" t="s">
        <v>269</v>
      </c>
      <c r="B114" s="31"/>
      <c r="C114" s="31"/>
      <c r="D114" s="32"/>
      <c r="E114" s="32"/>
      <c r="F114" s="31"/>
      <c r="G114" s="32"/>
      <c r="H114" s="32"/>
      <c r="I114" s="32"/>
      <c r="J114" s="32"/>
      <c r="K114" s="31"/>
      <c r="L114" s="32"/>
      <c r="M114" s="32"/>
      <c r="N114" s="32"/>
      <c r="O114" s="32"/>
      <c r="P114" s="32"/>
      <c r="Q114" s="32"/>
      <c r="R114" s="32"/>
      <c r="S114" s="32"/>
      <c r="T114" s="32"/>
      <c r="U114" s="32"/>
      <c r="V114" s="32"/>
      <c r="W114" s="32"/>
      <c r="X114" s="32"/>
      <c r="Y114" s="32"/>
      <c r="Z114" s="32"/>
    </row>
    <row r="115" spans="1:26" s="17" customFormat="1">
      <c r="A115" s="116" t="s">
        <v>549</v>
      </c>
      <c r="B115" s="117">
        <f>COUNTA($B$1:B114)</f>
        <v>108</v>
      </c>
      <c r="C115" s="118" t="s">
        <v>556</v>
      </c>
      <c r="D115" s="118"/>
      <c r="E115" s="118"/>
      <c r="F115" s="117"/>
      <c r="G115" s="118" t="s">
        <v>127</v>
      </c>
      <c r="H115" s="118"/>
      <c r="I115" s="118" t="s">
        <v>55</v>
      </c>
      <c r="J115" s="118" t="s">
        <v>428</v>
      </c>
      <c r="K115" s="117">
        <v>0</v>
      </c>
      <c r="L115" s="118" t="s">
        <v>147</v>
      </c>
      <c r="M115" s="119"/>
      <c r="N115" s="118"/>
      <c r="O115" s="118"/>
      <c r="P115" s="118"/>
      <c r="Q115" s="118"/>
      <c r="R115" s="119"/>
      <c r="S115" s="118"/>
      <c r="T115" s="118"/>
      <c r="U115" s="118"/>
      <c r="V115" s="118"/>
      <c r="W115" s="118"/>
      <c r="X115" s="118"/>
      <c r="Y115" s="118"/>
      <c r="Z115" s="118"/>
    </row>
    <row r="116" spans="1:26">
      <c r="A116" s="116" t="s">
        <v>549</v>
      </c>
      <c r="B116" s="117">
        <f>COUNTA($B$1:B115)</f>
        <v>109</v>
      </c>
      <c r="C116" s="118" t="s">
        <v>507</v>
      </c>
      <c r="D116" s="134"/>
      <c r="E116" s="128"/>
      <c r="F116" s="117"/>
      <c r="G116" s="118" t="s">
        <v>127</v>
      </c>
      <c r="H116" s="118"/>
      <c r="I116" s="118" t="s">
        <v>55</v>
      </c>
      <c r="J116" s="118" t="s">
        <v>557</v>
      </c>
      <c r="K116" s="117">
        <v>0</v>
      </c>
      <c r="L116" s="118" t="s">
        <v>147</v>
      </c>
      <c r="M116" s="119"/>
      <c r="N116" s="118"/>
      <c r="O116" s="118"/>
      <c r="P116" s="118"/>
      <c r="Q116" s="118"/>
      <c r="R116" s="119"/>
      <c r="S116" s="118"/>
      <c r="T116" s="118"/>
      <c r="U116" s="118"/>
      <c r="V116" s="118"/>
      <c r="W116" s="118"/>
      <c r="X116" s="118"/>
      <c r="Y116" s="118"/>
      <c r="Z116" s="118"/>
    </row>
    <row r="117" spans="1:26" s="17" customFormat="1">
      <c r="A117" s="116" t="s">
        <v>549</v>
      </c>
      <c r="B117" s="117">
        <f>COUNTA($B$1:B116)</f>
        <v>110</v>
      </c>
      <c r="C117" s="118" t="s">
        <v>67</v>
      </c>
      <c r="D117" s="118"/>
      <c r="E117" s="118"/>
      <c r="F117" s="117"/>
      <c r="G117" s="118" t="s">
        <v>127</v>
      </c>
      <c r="H117" s="118"/>
      <c r="I117" s="118"/>
      <c r="J117" s="118"/>
      <c r="K117" s="117"/>
      <c r="L117" s="118" t="s">
        <v>67</v>
      </c>
      <c r="M117" s="119">
        <v>2</v>
      </c>
      <c r="N117" s="118"/>
      <c r="O117" s="118"/>
      <c r="P117" s="118"/>
      <c r="Q117" s="118"/>
      <c r="R117" s="119"/>
      <c r="S117" s="118"/>
      <c r="T117" s="118"/>
      <c r="U117" s="118"/>
      <c r="V117" s="118"/>
      <c r="W117" s="118"/>
      <c r="X117" s="118"/>
      <c r="Y117" s="118"/>
      <c r="Z117" s="118"/>
    </row>
    <row r="118" spans="1:26">
      <c r="A118" s="116" t="s">
        <v>549</v>
      </c>
      <c r="B118" s="117">
        <f>COUNTA($B$1:B117)</f>
        <v>111</v>
      </c>
      <c r="C118" s="118" t="s">
        <v>148</v>
      </c>
      <c r="D118" s="118"/>
      <c r="E118" s="118"/>
      <c r="F118" s="117"/>
      <c r="G118" s="118" t="s">
        <v>127</v>
      </c>
      <c r="H118" s="118"/>
      <c r="I118" s="118" t="s">
        <v>55</v>
      </c>
      <c r="J118" s="118" t="s">
        <v>439</v>
      </c>
      <c r="K118" s="117">
        <v>0</v>
      </c>
      <c r="L118" s="118" t="s">
        <v>34</v>
      </c>
      <c r="M118" s="118"/>
      <c r="N118" s="118"/>
      <c r="O118" s="118"/>
      <c r="P118" s="118"/>
      <c r="Q118" s="118"/>
      <c r="R118" s="119"/>
      <c r="S118" s="118"/>
      <c r="T118" s="118"/>
      <c r="U118" s="118"/>
      <c r="V118" s="118"/>
      <c r="W118" s="118"/>
      <c r="X118" s="118"/>
      <c r="Y118" s="118"/>
      <c r="Z118" s="118"/>
    </row>
    <row r="119" spans="1:26">
      <c r="A119" s="116" t="s">
        <v>549</v>
      </c>
      <c r="B119" s="117">
        <f>COUNTA($B$1:B118)</f>
        <v>112</v>
      </c>
      <c r="C119" s="118" t="s">
        <v>67</v>
      </c>
      <c r="D119" s="118"/>
      <c r="E119" s="118"/>
      <c r="F119" s="117"/>
      <c r="G119" s="118" t="s">
        <v>127</v>
      </c>
      <c r="H119" s="118"/>
      <c r="I119" s="118"/>
      <c r="J119" s="118"/>
      <c r="K119" s="117"/>
      <c r="L119" s="118" t="s">
        <v>67</v>
      </c>
      <c r="M119" s="119">
        <v>2</v>
      </c>
      <c r="N119" s="118"/>
      <c r="O119" s="118"/>
      <c r="P119" s="118"/>
      <c r="Q119" s="118"/>
      <c r="R119" s="119"/>
      <c r="S119" s="118"/>
      <c r="T119" s="118"/>
      <c r="U119" s="118"/>
      <c r="V119" s="118"/>
      <c r="W119" s="118"/>
      <c r="X119" s="118"/>
      <c r="Y119" s="118"/>
      <c r="Z119" s="118"/>
    </row>
    <row r="120" spans="1:26">
      <c r="A120" s="116" t="s">
        <v>549</v>
      </c>
      <c r="B120" s="117">
        <f>COUNTA($B$1:B119)</f>
        <v>113</v>
      </c>
      <c r="C120" s="118" t="s">
        <v>150</v>
      </c>
      <c r="D120" s="118"/>
      <c r="E120" s="118"/>
      <c r="F120" s="117"/>
      <c r="G120" s="118" t="s">
        <v>127</v>
      </c>
      <c r="H120" s="118"/>
      <c r="I120" s="118" t="s">
        <v>55</v>
      </c>
      <c r="J120" s="118" t="s">
        <v>273</v>
      </c>
      <c r="K120" s="117">
        <v>0</v>
      </c>
      <c r="L120" s="118" t="s">
        <v>151</v>
      </c>
      <c r="M120" s="82" t="s">
        <v>274</v>
      </c>
      <c r="N120" s="118"/>
      <c r="O120" s="118"/>
      <c r="P120" s="118"/>
      <c r="Q120" s="118"/>
      <c r="R120" s="119"/>
      <c r="S120" s="118"/>
      <c r="T120" s="118"/>
      <c r="U120" s="118"/>
      <c r="V120" s="118"/>
      <c r="W120" s="118"/>
      <c r="X120" s="118"/>
      <c r="Y120" s="118"/>
      <c r="Z120" s="118"/>
    </row>
    <row r="121" spans="1:26">
      <c r="A121" s="116" t="s">
        <v>549</v>
      </c>
      <c r="B121" s="117">
        <f>COUNTA($B$1:B120)</f>
        <v>114</v>
      </c>
      <c r="C121" s="118" t="s">
        <v>67</v>
      </c>
      <c r="D121" s="118"/>
      <c r="E121" s="118"/>
      <c r="F121" s="117"/>
      <c r="G121" s="118" t="s">
        <v>127</v>
      </c>
      <c r="H121" s="118"/>
      <c r="I121" s="118"/>
      <c r="J121" s="118"/>
      <c r="K121" s="117"/>
      <c r="L121" s="118" t="s">
        <v>67</v>
      </c>
      <c r="M121" s="119">
        <v>2</v>
      </c>
      <c r="N121" s="118"/>
      <c r="O121" s="118"/>
      <c r="P121" s="118"/>
      <c r="Q121" s="118"/>
      <c r="R121" s="119"/>
      <c r="S121" s="118"/>
      <c r="T121" s="118"/>
      <c r="U121" s="118"/>
      <c r="V121" s="118"/>
      <c r="W121" s="118"/>
      <c r="X121" s="118"/>
      <c r="Y121" s="118"/>
      <c r="Z121" s="118"/>
    </row>
    <row r="122" spans="1:26">
      <c r="A122" s="116" t="s">
        <v>549</v>
      </c>
      <c r="B122" s="117">
        <f>COUNTA($B$1:B121)</f>
        <v>115</v>
      </c>
      <c r="C122" s="118" t="s">
        <v>148</v>
      </c>
      <c r="D122" s="118"/>
      <c r="E122" s="118"/>
      <c r="F122" s="125"/>
      <c r="G122" s="118" t="s">
        <v>127</v>
      </c>
      <c r="H122" s="118"/>
      <c r="I122" s="118" t="s">
        <v>55</v>
      </c>
      <c r="J122" s="118" t="str">
        <f>"//a[contains(.,'"&amp;M120&amp;"')]"</f>
        <v>//a[contains(.,'Destination1')]</v>
      </c>
      <c r="K122" s="117">
        <v>0</v>
      </c>
      <c r="L122" s="118" t="s">
        <v>147</v>
      </c>
      <c r="M122" s="118"/>
      <c r="N122" s="118"/>
      <c r="O122" s="118"/>
      <c r="P122" s="118"/>
      <c r="Q122" s="118"/>
      <c r="R122" s="119"/>
      <c r="S122" s="118"/>
      <c r="T122" s="118"/>
      <c r="U122" s="118"/>
      <c r="V122" s="118"/>
      <c r="W122" s="118"/>
      <c r="X122" s="118"/>
      <c r="Y122" s="118"/>
      <c r="Z122" s="118"/>
    </row>
    <row r="123" spans="1:26">
      <c r="A123" s="116" t="s">
        <v>549</v>
      </c>
      <c r="B123" s="117">
        <f>COUNTA($B$1:B122)</f>
        <v>116</v>
      </c>
      <c r="C123" s="118" t="s">
        <v>153</v>
      </c>
      <c r="D123" s="127"/>
      <c r="E123" s="128" t="s">
        <v>154</v>
      </c>
      <c r="F123" s="121"/>
      <c r="G123" s="118" t="s">
        <v>127</v>
      </c>
      <c r="H123" s="118"/>
      <c r="I123" s="118" t="s">
        <v>55</v>
      </c>
      <c r="J123" s="118" t="s">
        <v>81</v>
      </c>
      <c r="K123" s="117">
        <v>0</v>
      </c>
      <c r="L123" s="118" t="s">
        <v>0</v>
      </c>
      <c r="M123" s="82" t="s">
        <v>440</v>
      </c>
      <c r="N123" s="118"/>
      <c r="O123" s="118"/>
      <c r="P123" s="118"/>
      <c r="Q123" s="118"/>
      <c r="R123" s="119"/>
      <c r="S123" s="118"/>
      <c r="T123" s="118"/>
      <c r="U123" s="118"/>
      <c r="V123" s="118"/>
      <c r="W123" s="118"/>
      <c r="X123" s="118"/>
      <c r="Y123" s="118"/>
      <c r="Z123" s="118"/>
    </row>
    <row r="124" spans="1:26" s="20" customFormat="1" ht="12.75" customHeight="1">
      <c r="A124" s="116" t="s">
        <v>549</v>
      </c>
      <c r="B124" s="117">
        <f>COUNTA($B$1:B123)</f>
        <v>117</v>
      </c>
      <c r="C124" s="118" t="s">
        <v>156</v>
      </c>
      <c r="D124" s="127"/>
      <c r="E124" s="128" t="s">
        <v>154</v>
      </c>
      <c r="F124" s="121"/>
      <c r="G124" s="118" t="s">
        <v>127</v>
      </c>
      <c r="H124" s="118"/>
      <c r="I124" s="118" t="s">
        <v>55</v>
      </c>
      <c r="J124" s="118" t="s">
        <v>82</v>
      </c>
      <c r="K124" s="117">
        <v>0</v>
      </c>
      <c r="L124" s="118" t="s">
        <v>0</v>
      </c>
      <c r="M124" s="82" t="s">
        <v>441</v>
      </c>
      <c r="N124" s="118"/>
      <c r="O124" s="118"/>
      <c r="P124" s="118"/>
      <c r="Q124" s="118"/>
      <c r="R124" s="119"/>
      <c r="S124" s="118"/>
      <c r="T124" s="118"/>
      <c r="U124" s="118"/>
      <c r="V124" s="118"/>
      <c r="W124" s="118"/>
      <c r="X124" s="118"/>
      <c r="Y124" s="118"/>
      <c r="Z124" s="118"/>
    </row>
    <row r="125" spans="1:26" s="16" customFormat="1" outlineLevel="1">
      <c r="A125" s="116" t="s">
        <v>549</v>
      </c>
      <c r="B125" s="117">
        <f>COUNTA($B$1:B124)</f>
        <v>118</v>
      </c>
      <c r="C125" s="118" t="s">
        <v>161</v>
      </c>
      <c r="D125" s="118"/>
      <c r="E125" s="118"/>
      <c r="F125" s="117"/>
      <c r="G125" s="118" t="s">
        <v>127</v>
      </c>
      <c r="H125" s="118"/>
      <c r="I125" s="118" t="s">
        <v>55</v>
      </c>
      <c r="J125" s="118" t="s">
        <v>442</v>
      </c>
      <c r="K125" s="117">
        <v>0</v>
      </c>
      <c r="L125" s="118" t="s">
        <v>34</v>
      </c>
      <c r="M125" s="118"/>
      <c r="N125" s="118"/>
      <c r="O125" s="118"/>
      <c r="P125" s="118"/>
      <c r="Q125" s="118"/>
      <c r="R125" s="119"/>
      <c r="S125" s="118"/>
      <c r="T125" s="118"/>
      <c r="U125" s="118"/>
      <c r="V125" s="118"/>
      <c r="W125" s="118"/>
      <c r="X125" s="118"/>
      <c r="Y125" s="118"/>
      <c r="Z125" s="118"/>
    </row>
    <row r="126" spans="1:26" s="16" customFormat="1" outlineLevel="1">
      <c r="A126" s="116" t="s">
        <v>549</v>
      </c>
      <c r="B126" s="117">
        <f>COUNTA($B$1:B125)</f>
        <v>119</v>
      </c>
      <c r="C126" s="118" t="s">
        <v>67</v>
      </c>
      <c r="D126" s="118"/>
      <c r="E126" s="118"/>
      <c r="F126" s="117"/>
      <c r="G126" s="118" t="s">
        <v>127</v>
      </c>
      <c r="H126" s="118"/>
      <c r="I126" s="118"/>
      <c r="J126" s="118"/>
      <c r="K126" s="117"/>
      <c r="L126" s="118" t="s">
        <v>67</v>
      </c>
      <c r="M126" s="119">
        <v>2</v>
      </c>
      <c r="N126" s="118"/>
      <c r="O126" s="118"/>
      <c r="P126" s="118"/>
      <c r="Q126" s="118"/>
      <c r="R126" s="119"/>
      <c r="S126" s="118"/>
      <c r="T126" s="118"/>
      <c r="U126" s="118"/>
      <c r="V126" s="118"/>
      <c r="W126" s="118"/>
      <c r="X126" s="118"/>
      <c r="Y126" s="118"/>
      <c r="Z126" s="118"/>
    </row>
    <row r="127" spans="1:26" s="16" customFormat="1" outlineLevel="1">
      <c r="A127" s="116" t="s">
        <v>549</v>
      </c>
      <c r="B127" s="117">
        <f>COUNTA($B$1:B126)</f>
        <v>120</v>
      </c>
      <c r="C127" s="118" t="s">
        <v>163</v>
      </c>
      <c r="D127" s="118"/>
      <c r="E127" s="118"/>
      <c r="F127" s="117"/>
      <c r="G127" s="118" t="s">
        <v>127</v>
      </c>
      <c r="H127" s="118"/>
      <c r="I127" s="118" t="s">
        <v>55</v>
      </c>
      <c r="J127" s="118" t="s">
        <v>277</v>
      </c>
      <c r="K127" s="117">
        <v>0</v>
      </c>
      <c r="L127" s="118" t="s">
        <v>151</v>
      </c>
      <c r="M127" s="82" t="s">
        <v>278</v>
      </c>
      <c r="N127" s="118"/>
      <c r="O127" s="118"/>
      <c r="P127" s="118"/>
      <c r="Q127" s="118"/>
      <c r="R127" s="119"/>
      <c r="S127" s="118"/>
      <c r="T127" s="118"/>
      <c r="U127" s="118"/>
      <c r="V127" s="118"/>
      <c r="W127" s="118"/>
      <c r="X127" s="118"/>
      <c r="Y127" s="118"/>
      <c r="Z127" s="118"/>
    </row>
    <row r="128" spans="1:26" s="16" customFormat="1" outlineLevel="1">
      <c r="A128" s="116" t="s">
        <v>549</v>
      </c>
      <c r="B128" s="117">
        <f>COUNTA($B$1:B127)</f>
        <v>121</v>
      </c>
      <c r="C128" s="118" t="s">
        <v>67</v>
      </c>
      <c r="D128" s="118"/>
      <c r="E128" s="118"/>
      <c r="F128" s="117"/>
      <c r="G128" s="118" t="s">
        <v>127</v>
      </c>
      <c r="H128" s="118"/>
      <c r="I128" s="118"/>
      <c r="J128" s="118"/>
      <c r="K128" s="117"/>
      <c r="L128" s="118" t="s">
        <v>67</v>
      </c>
      <c r="M128" s="119">
        <v>2</v>
      </c>
      <c r="N128" s="118"/>
      <c r="O128" s="118"/>
      <c r="P128" s="118"/>
      <c r="Q128" s="118"/>
      <c r="R128" s="119"/>
      <c r="S128" s="118"/>
      <c r="T128" s="118"/>
      <c r="U128" s="118"/>
      <c r="V128" s="118"/>
      <c r="W128" s="118"/>
      <c r="X128" s="118"/>
      <c r="Y128" s="118"/>
      <c r="Z128" s="118"/>
    </row>
    <row r="129" spans="1:26" s="16" customFormat="1" outlineLevel="1">
      <c r="A129" s="116" t="s">
        <v>549</v>
      </c>
      <c r="B129" s="117">
        <f>COUNTA($B$1:B128)</f>
        <v>122</v>
      </c>
      <c r="C129" s="118" t="s">
        <v>148</v>
      </c>
      <c r="D129" s="118"/>
      <c r="E129" s="118"/>
      <c r="F129" s="125"/>
      <c r="G129" s="118" t="s">
        <v>127</v>
      </c>
      <c r="H129" s="118"/>
      <c r="I129" s="118" t="s">
        <v>55</v>
      </c>
      <c r="J129" s="118" t="str">
        <f>"//a[contains(.,'"&amp;M127&amp;"')]"</f>
        <v>//a[contains(.,'Residence1')]</v>
      </c>
      <c r="K129" s="117">
        <v>0</v>
      </c>
      <c r="L129" s="118" t="s">
        <v>147</v>
      </c>
      <c r="M129" s="118"/>
      <c r="N129" s="118"/>
      <c r="O129" s="118"/>
      <c r="P129" s="118"/>
      <c r="Q129" s="118"/>
      <c r="R129" s="119"/>
      <c r="S129" s="118"/>
      <c r="T129" s="118"/>
      <c r="U129" s="118"/>
      <c r="V129" s="118"/>
      <c r="W129" s="118"/>
      <c r="X129" s="118"/>
      <c r="Y129" s="118"/>
      <c r="Z129" s="118"/>
    </row>
    <row r="130" spans="1:26" s="16" customFormat="1" outlineLevel="1">
      <c r="A130" s="116" t="s">
        <v>549</v>
      </c>
      <c r="B130" s="117">
        <f>COUNTA($B$1:B129)</f>
        <v>123</v>
      </c>
      <c r="C130" s="118" t="s">
        <v>165</v>
      </c>
      <c r="D130" s="127"/>
      <c r="E130" s="128" t="s">
        <v>154</v>
      </c>
      <c r="F130" s="121"/>
      <c r="G130" s="118" t="s">
        <v>127</v>
      </c>
      <c r="H130" s="118"/>
      <c r="I130" s="118" t="s">
        <v>55</v>
      </c>
      <c r="J130" s="118" t="s">
        <v>526</v>
      </c>
      <c r="K130" s="117">
        <v>0</v>
      </c>
      <c r="L130" s="118" t="s">
        <v>0</v>
      </c>
      <c r="M130" s="82" t="s">
        <v>174</v>
      </c>
      <c r="N130" s="118"/>
      <c r="O130" s="118"/>
      <c r="P130" s="118"/>
      <c r="Q130" s="118"/>
      <c r="R130" s="119"/>
      <c r="S130" s="118"/>
      <c r="T130" s="118"/>
      <c r="U130" s="118"/>
      <c r="V130" s="118"/>
      <c r="W130" s="118"/>
      <c r="X130" s="118"/>
      <c r="Y130" s="118"/>
      <c r="Z130" s="118"/>
    </row>
    <row r="131" spans="1:26" s="16" customFormat="1" outlineLevel="1">
      <c r="A131" s="116" t="s">
        <v>549</v>
      </c>
      <c r="B131" s="117">
        <f>COUNTA($B$1:B130)</f>
        <v>124</v>
      </c>
      <c r="C131" s="118" t="s">
        <v>190</v>
      </c>
      <c r="D131" s="118"/>
      <c r="E131" s="118"/>
      <c r="F131" s="117"/>
      <c r="G131" s="118" t="s">
        <v>127</v>
      </c>
      <c r="H131" s="118"/>
      <c r="I131" s="118" t="s">
        <v>55</v>
      </c>
      <c r="J131" s="118" t="s">
        <v>87</v>
      </c>
      <c r="K131" s="117">
        <v>0</v>
      </c>
      <c r="L131" s="118" t="s">
        <v>147</v>
      </c>
      <c r="M131" s="119"/>
      <c r="N131" s="118"/>
      <c r="O131" s="118"/>
      <c r="P131" s="118"/>
      <c r="Q131" s="118"/>
      <c r="R131" s="119"/>
      <c r="S131" s="118"/>
      <c r="T131" s="118"/>
      <c r="U131" s="118"/>
      <c r="V131" s="118"/>
      <c r="W131" s="118"/>
      <c r="X131" s="118"/>
      <c r="Y131" s="118"/>
      <c r="Z131" s="118"/>
    </row>
    <row r="132" spans="1:26" s="16" customFormat="1" outlineLevel="1">
      <c r="A132" s="116" t="s">
        <v>549</v>
      </c>
      <c r="B132" s="117">
        <f>COUNTA($B$1:B131)</f>
        <v>125</v>
      </c>
      <c r="C132" s="118" t="s">
        <v>67</v>
      </c>
      <c r="D132" s="118"/>
      <c r="E132" s="118"/>
      <c r="F132" s="117"/>
      <c r="G132" s="118" t="s">
        <v>127</v>
      </c>
      <c r="H132" s="118"/>
      <c r="I132" s="118"/>
      <c r="J132" s="118"/>
      <c r="K132" s="117"/>
      <c r="L132" s="118" t="s">
        <v>67</v>
      </c>
      <c r="M132" s="119">
        <v>10</v>
      </c>
      <c r="N132" s="118"/>
      <c r="O132" s="118"/>
      <c r="P132" s="118"/>
      <c r="Q132" s="118"/>
      <c r="R132" s="119"/>
      <c r="S132" s="118"/>
      <c r="T132" s="118"/>
      <c r="U132" s="118"/>
      <c r="V132" s="118"/>
      <c r="W132" s="118"/>
      <c r="X132" s="118"/>
      <c r="Y132" s="118"/>
      <c r="Z132" s="118"/>
    </row>
    <row r="133" spans="1:26">
      <c r="A133" s="30" t="s">
        <v>191</v>
      </c>
      <c r="B133" s="31"/>
      <c r="C133" s="31"/>
      <c r="D133" s="32"/>
      <c r="E133" s="32"/>
      <c r="F133" s="31"/>
      <c r="G133" s="32"/>
      <c r="H133" s="32"/>
      <c r="I133" s="32"/>
      <c r="J133" s="32"/>
      <c r="K133" s="31"/>
      <c r="L133" s="32"/>
      <c r="M133" s="32"/>
      <c r="N133" s="32"/>
      <c r="O133" s="32"/>
      <c r="P133" s="32"/>
      <c r="Q133" s="32"/>
      <c r="R133" s="32"/>
      <c r="S133" s="32"/>
      <c r="T133" s="32"/>
      <c r="U133" s="32"/>
      <c r="V133" s="32"/>
      <c r="W133" s="32"/>
      <c r="X133" s="32"/>
      <c r="Y133" s="32"/>
      <c r="Z133" s="32"/>
    </row>
    <row r="134" spans="1:26" s="213" customFormat="1">
      <c r="A134" s="208" t="s">
        <v>549</v>
      </c>
      <c r="B134" s="209">
        <f>COUNTA($B$1:B133)</f>
        <v>126</v>
      </c>
      <c r="C134" s="210" t="s">
        <v>558</v>
      </c>
      <c r="D134" s="210"/>
      <c r="E134" s="210"/>
      <c r="F134" s="209"/>
      <c r="G134" s="210" t="s">
        <v>127</v>
      </c>
      <c r="H134" s="210"/>
      <c r="I134" s="210" t="s">
        <v>55</v>
      </c>
      <c r="J134" s="221" t="s">
        <v>421</v>
      </c>
      <c r="K134" s="209">
        <v>0</v>
      </c>
      <c r="L134" s="210" t="s">
        <v>147</v>
      </c>
      <c r="M134" s="214"/>
      <c r="N134" s="210"/>
      <c r="O134" s="210"/>
      <c r="P134" s="210"/>
      <c r="Q134" s="210"/>
      <c r="R134" s="214"/>
      <c r="S134" s="210"/>
      <c r="T134" s="210"/>
      <c r="U134" s="210"/>
      <c r="V134" s="210"/>
      <c r="W134" s="210"/>
      <c r="X134" s="210"/>
      <c r="Y134" s="210"/>
      <c r="Z134" s="210"/>
    </row>
    <row r="135" spans="1:26" s="213" customFormat="1">
      <c r="A135" s="208" t="s">
        <v>549</v>
      </c>
      <c r="B135" s="209">
        <f>COUNTA($B$1:B134)</f>
        <v>127</v>
      </c>
      <c r="C135" s="210" t="s">
        <v>67</v>
      </c>
      <c r="D135" s="210"/>
      <c r="E135" s="210"/>
      <c r="F135" s="209"/>
      <c r="G135" s="210" t="s">
        <v>127</v>
      </c>
      <c r="H135" s="210"/>
      <c r="I135" s="210"/>
      <c r="J135" s="210"/>
      <c r="K135" s="209"/>
      <c r="L135" s="210" t="s">
        <v>67</v>
      </c>
      <c r="M135" s="214">
        <v>3</v>
      </c>
      <c r="N135" s="210"/>
      <c r="O135" s="210"/>
      <c r="P135" s="210"/>
      <c r="Q135" s="210"/>
      <c r="R135" s="214"/>
      <c r="S135" s="210"/>
      <c r="T135" s="210"/>
      <c r="U135" s="210"/>
      <c r="V135" s="210"/>
      <c r="W135" s="210"/>
      <c r="X135" s="210"/>
      <c r="Y135" s="210"/>
      <c r="Z135" s="210"/>
    </row>
    <row r="136" spans="1:26" s="222" customFormat="1">
      <c r="A136" s="208" t="s">
        <v>549</v>
      </c>
      <c r="B136" s="209">
        <f>COUNTA($B$1:B135)</f>
        <v>128</v>
      </c>
      <c r="C136" s="210" t="s">
        <v>295</v>
      </c>
      <c r="D136" s="215"/>
      <c r="E136" s="212"/>
      <c r="F136" s="209"/>
      <c r="G136" s="210" t="s">
        <v>127</v>
      </c>
      <c r="H136" s="210"/>
      <c r="I136" s="210" t="s">
        <v>55</v>
      </c>
      <c r="J136" s="210" t="s">
        <v>559</v>
      </c>
      <c r="K136" s="209">
        <v>0</v>
      </c>
      <c r="L136" s="210" t="s">
        <v>98</v>
      </c>
      <c r="M136" s="214"/>
      <c r="N136" s="210" t="s">
        <v>99</v>
      </c>
      <c r="O136" s="210"/>
      <c r="P136" s="210"/>
      <c r="Q136" s="210"/>
      <c r="R136" s="210" t="str">
        <f>TEXT(M120,"")</f>
        <v>Destination1</v>
      </c>
      <c r="S136" s="210"/>
      <c r="T136" s="210" t="s">
        <v>2</v>
      </c>
      <c r="U136" s="210"/>
      <c r="V136" s="210"/>
      <c r="W136" s="210"/>
      <c r="X136" s="210"/>
      <c r="Y136" s="210"/>
      <c r="Z136" s="210"/>
    </row>
    <row r="137" spans="1:26" s="213" customFormat="1">
      <c r="A137" s="208" t="s">
        <v>21</v>
      </c>
      <c r="B137" s="209">
        <f>COUNTA($B$1:B136)</f>
        <v>129</v>
      </c>
      <c r="C137" s="210" t="s">
        <v>560</v>
      </c>
      <c r="D137" s="215"/>
      <c r="E137" s="212"/>
      <c r="F137" s="209"/>
      <c r="G137" s="210" t="s">
        <v>127</v>
      </c>
      <c r="H137" s="210"/>
      <c r="I137" s="210" t="s">
        <v>55</v>
      </c>
      <c r="J137" s="210" t="s">
        <v>561</v>
      </c>
      <c r="K137" s="209">
        <v>0</v>
      </c>
      <c r="L137" s="210" t="s">
        <v>98</v>
      </c>
      <c r="M137" s="214"/>
      <c r="N137" s="210" t="s">
        <v>99</v>
      </c>
      <c r="O137" s="210"/>
      <c r="P137" s="210"/>
      <c r="Q137" s="210"/>
      <c r="R137" s="210" t="str">
        <f>"Travel Dates:"&amp;CHAR(10)&amp;TEXT(M123,"mm/dd/yyyy")&amp;" — "&amp;TEXT(M124,"mm/dd/yyyy")</f>
        <v>Travel Dates:
DepDate1 — RetDate1</v>
      </c>
      <c r="S137" s="210"/>
      <c r="T137" s="210" t="s">
        <v>2</v>
      </c>
      <c r="U137" s="210"/>
      <c r="V137" s="210"/>
      <c r="W137" s="210"/>
      <c r="X137" s="210"/>
      <c r="Y137" s="210"/>
      <c r="Z137" s="210"/>
    </row>
    <row r="138" spans="1:26" s="213" customFormat="1">
      <c r="A138" s="208" t="s">
        <v>549</v>
      </c>
      <c r="B138" s="209">
        <f>COUNTA($B$1:B137)</f>
        <v>130</v>
      </c>
      <c r="C138" s="210" t="s">
        <v>914</v>
      </c>
      <c r="D138" s="215"/>
      <c r="E138" s="212"/>
      <c r="F138" s="209"/>
      <c r="G138" s="210" t="s">
        <v>127</v>
      </c>
      <c r="H138" s="210"/>
      <c r="I138" s="210" t="s">
        <v>55</v>
      </c>
      <c r="J138" s="210" t="s">
        <v>298</v>
      </c>
      <c r="K138" s="209">
        <v>0</v>
      </c>
      <c r="L138" s="210" t="s">
        <v>98</v>
      </c>
      <c r="M138" s="214"/>
      <c r="N138" s="210" t="s">
        <v>99</v>
      </c>
      <c r="O138" s="210"/>
      <c r="P138" s="210"/>
      <c r="Q138" s="210"/>
      <c r="R138" s="210" t="str">
        <f>TEXT(M123,"mm/dd/yyyy")</f>
        <v>DepDate1</v>
      </c>
      <c r="S138" s="210"/>
      <c r="T138" s="210" t="s">
        <v>2</v>
      </c>
      <c r="U138" s="210"/>
      <c r="V138" s="210"/>
      <c r="W138" s="210"/>
      <c r="X138" s="210"/>
      <c r="Y138" s="210"/>
      <c r="Z138" s="210"/>
    </row>
    <row r="139" spans="1:26" s="213" customFormat="1">
      <c r="A139" s="208" t="s">
        <v>549</v>
      </c>
      <c r="B139" s="209">
        <f>COUNTA($B$1:B138)</f>
        <v>131</v>
      </c>
      <c r="C139" s="210" t="s">
        <v>915</v>
      </c>
      <c r="D139" s="215"/>
      <c r="E139" s="212"/>
      <c r="F139" s="209"/>
      <c r="G139" s="210" t="s">
        <v>127</v>
      </c>
      <c r="H139" s="210"/>
      <c r="I139" s="210" t="s">
        <v>55</v>
      </c>
      <c r="J139" s="210" t="s">
        <v>300</v>
      </c>
      <c r="K139" s="209">
        <v>0</v>
      </c>
      <c r="L139" s="210" t="s">
        <v>98</v>
      </c>
      <c r="M139" s="214"/>
      <c r="N139" s="210" t="s">
        <v>99</v>
      </c>
      <c r="O139" s="210"/>
      <c r="P139" s="210"/>
      <c r="Q139" s="210"/>
      <c r="R139" s="210" t="str">
        <f>TEXT(M124,"mm/dd/yyyy")</f>
        <v>RetDate1</v>
      </c>
      <c r="S139" s="210"/>
      <c r="T139" s="210" t="s">
        <v>2</v>
      </c>
      <c r="U139" s="210"/>
      <c r="V139" s="210"/>
      <c r="W139" s="210"/>
      <c r="X139" s="210"/>
      <c r="Y139" s="210"/>
      <c r="Z139" s="210"/>
    </row>
    <row r="140" spans="1:26" s="213" customFormat="1">
      <c r="A140" s="208" t="s">
        <v>549</v>
      </c>
      <c r="B140" s="209">
        <f>COUNTA($B$1:B139)</f>
        <v>132</v>
      </c>
      <c r="C140" s="210" t="s">
        <v>900</v>
      </c>
      <c r="D140" s="215"/>
      <c r="E140" s="212"/>
      <c r="F140" s="209"/>
      <c r="G140" s="210" t="s">
        <v>127</v>
      </c>
      <c r="H140" s="210"/>
      <c r="I140" s="210" t="s">
        <v>55</v>
      </c>
      <c r="J140" s="210" t="s">
        <v>562</v>
      </c>
      <c r="K140" s="209">
        <v>0</v>
      </c>
      <c r="L140" s="210" t="s">
        <v>98</v>
      </c>
      <c r="M140" s="214"/>
      <c r="N140" s="210" t="s">
        <v>99</v>
      </c>
      <c r="O140" s="210"/>
      <c r="P140" s="210"/>
      <c r="Q140" s="210"/>
      <c r="R140" s="210"/>
      <c r="S140" s="210"/>
      <c r="T140" s="210"/>
      <c r="U140" s="210"/>
      <c r="V140" s="210"/>
      <c r="W140" s="210"/>
      <c r="X140" s="210"/>
      <c r="Y140" s="210"/>
      <c r="Z140" s="210"/>
    </row>
    <row r="141" spans="1:26" s="213" customFormat="1">
      <c r="A141" s="208" t="s">
        <v>549</v>
      </c>
      <c r="B141" s="209">
        <f>COUNTA($B$1:B140)</f>
        <v>133</v>
      </c>
      <c r="C141" s="210" t="s">
        <v>902</v>
      </c>
      <c r="D141" s="211"/>
      <c r="E141" s="212"/>
      <c r="F141" s="209"/>
      <c r="G141" s="210" t="s">
        <v>127</v>
      </c>
      <c r="H141" s="210"/>
      <c r="I141" s="210" t="s">
        <v>55</v>
      </c>
      <c r="J141" s="210" t="s">
        <v>563</v>
      </c>
      <c r="K141" s="209">
        <v>0</v>
      </c>
      <c r="L141" s="210" t="s">
        <v>98</v>
      </c>
      <c r="M141" s="214"/>
      <c r="N141" s="210" t="s">
        <v>99</v>
      </c>
      <c r="O141" s="210"/>
      <c r="P141" s="210"/>
      <c r="Q141" s="210"/>
      <c r="R141" s="214"/>
      <c r="S141" s="210"/>
      <c r="T141" s="210"/>
      <c r="U141" s="210"/>
      <c r="V141" s="210"/>
      <c r="W141" s="210"/>
      <c r="X141" s="210"/>
      <c r="Y141" s="210"/>
      <c r="Z141" s="210"/>
    </row>
    <row r="142" spans="1:26">
      <c r="A142" s="116" t="s">
        <v>549</v>
      </c>
      <c r="B142" s="117">
        <f>COUNTA($B$1:B141)</f>
        <v>134</v>
      </c>
      <c r="C142" s="132" t="s">
        <v>551</v>
      </c>
      <c r="D142" s="118"/>
      <c r="E142" s="118"/>
      <c r="F142" s="117"/>
      <c r="G142" s="118" t="s">
        <v>127</v>
      </c>
      <c r="H142" s="118"/>
      <c r="I142" s="118" t="s">
        <v>55</v>
      </c>
      <c r="J142" s="118" t="s">
        <v>552</v>
      </c>
      <c r="K142" s="117">
        <v>0</v>
      </c>
      <c r="L142" s="118" t="s">
        <v>147</v>
      </c>
      <c r="M142" s="119"/>
      <c r="N142" s="118"/>
      <c r="O142" s="118"/>
      <c r="P142" s="118"/>
      <c r="Q142" s="118"/>
      <c r="R142" s="118"/>
      <c r="S142" s="118"/>
      <c r="T142" s="118"/>
      <c r="U142" s="118"/>
      <c r="V142" s="118"/>
      <c r="W142" s="118"/>
      <c r="X142" s="118"/>
      <c r="Y142" s="118"/>
      <c r="Z142" s="118"/>
    </row>
    <row r="143" spans="1:26">
      <c r="A143" s="116" t="s">
        <v>549</v>
      </c>
      <c r="B143" s="117">
        <f>COUNTA($B$1:B142)</f>
        <v>135</v>
      </c>
      <c r="C143" s="118" t="s">
        <v>67</v>
      </c>
      <c r="D143" s="118"/>
      <c r="E143" s="118"/>
      <c r="F143" s="117"/>
      <c r="G143" s="118" t="s">
        <v>127</v>
      </c>
      <c r="H143" s="118"/>
      <c r="I143" s="118"/>
      <c r="J143" s="118"/>
      <c r="K143" s="117"/>
      <c r="L143" s="118" t="s">
        <v>67</v>
      </c>
      <c r="M143" s="119">
        <v>3</v>
      </c>
      <c r="N143" s="118"/>
      <c r="O143" s="118"/>
      <c r="P143" s="118"/>
      <c r="Q143" s="118"/>
      <c r="R143" s="119"/>
      <c r="S143" s="118"/>
      <c r="T143" s="118"/>
      <c r="U143" s="118"/>
      <c r="V143" s="118"/>
      <c r="W143" s="118"/>
      <c r="X143" s="118"/>
      <c r="Y143" s="118"/>
      <c r="Z143" s="118"/>
    </row>
    <row r="144" spans="1:26" s="213" customFormat="1">
      <c r="A144" s="208" t="s">
        <v>549</v>
      </c>
      <c r="B144" s="209">
        <f>COUNTA($B$1:B143)</f>
        <v>136</v>
      </c>
      <c r="C144" s="210" t="s">
        <v>921</v>
      </c>
      <c r="D144" s="210"/>
      <c r="E144" s="210"/>
      <c r="F144" s="209"/>
      <c r="G144" s="210" t="s">
        <v>127</v>
      </c>
      <c r="H144" s="210"/>
      <c r="I144" s="210" t="s">
        <v>55</v>
      </c>
      <c r="J144" s="210" t="s">
        <v>907</v>
      </c>
      <c r="K144" s="209">
        <v>0</v>
      </c>
      <c r="L144" s="210" t="s">
        <v>147</v>
      </c>
      <c r="M144" s="214"/>
      <c r="N144" s="210"/>
      <c r="O144" s="210"/>
      <c r="P144" s="210"/>
      <c r="Q144" s="210"/>
      <c r="R144" s="210"/>
      <c r="S144" s="210"/>
      <c r="T144" s="210"/>
      <c r="U144" s="210"/>
      <c r="V144" s="210"/>
      <c r="W144" s="210"/>
      <c r="X144" s="210"/>
      <c r="Y144" s="210"/>
      <c r="Z144" s="210"/>
    </row>
    <row r="145" spans="1:26" s="213" customFormat="1">
      <c r="A145" s="208" t="s">
        <v>549</v>
      </c>
      <c r="B145" s="209">
        <f>COUNTA($B$1:B144)</f>
        <v>137</v>
      </c>
      <c r="C145" s="210" t="s">
        <v>917</v>
      </c>
      <c r="D145" s="215"/>
      <c r="E145" s="212"/>
      <c r="F145" s="209"/>
      <c r="G145" s="210" t="s">
        <v>127</v>
      </c>
      <c r="H145" s="210"/>
      <c r="I145" s="210" t="s">
        <v>55</v>
      </c>
      <c r="J145" s="210" t="s">
        <v>898</v>
      </c>
      <c r="K145" s="209">
        <v>0</v>
      </c>
      <c r="L145" s="210" t="s">
        <v>98</v>
      </c>
      <c r="M145" s="214"/>
      <c r="N145" s="210" t="s">
        <v>99</v>
      </c>
      <c r="O145" s="210"/>
      <c r="P145" s="210"/>
      <c r="Q145" s="210"/>
      <c r="R145" s="210">
        <f>S136</f>
        <v>0</v>
      </c>
      <c r="S145" s="210"/>
      <c r="T145" s="210" t="s">
        <v>2</v>
      </c>
      <c r="U145" s="210"/>
      <c r="V145" s="210"/>
      <c r="W145" s="210"/>
      <c r="X145" s="210"/>
      <c r="Y145" s="210"/>
      <c r="Z145" s="210"/>
    </row>
    <row r="146" spans="1:26" s="213" customFormat="1">
      <c r="A146" s="208" t="s">
        <v>549</v>
      </c>
      <c r="B146" s="209">
        <f>COUNTA($B$1:B145)</f>
        <v>138</v>
      </c>
      <c r="C146" s="210" t="s">
        <v>918</v>
      </c>
      <c r="D146" s="215"/>
      <c r="E146" s="212"/>
      <c r="F146" s="209"/>
      <c r="G146" s="210" t="s">
        <v>127</v>
      </c>
      <c r="H146" s="210"/>
      <c r="I146" s="210" t="s">
        <v>55</v>
      </c>
      <c r="J146" s="210" t="s">
        <v>298</v>
      </c>
      <c r="K146" s="209">
        <v>0</v>
      </c>
      <c r="L146" s="210" t="s">
        <v>98</v>
      </c>
      <c r="M146" s="214"/>
      <c r="N146" s="210" t="s">
        <v>99</v>
      </c>
      <c r="O146" s="210"/>
      <c r="P146" s="210"/>
      <c r="Q146" s="210"/>
      <c r="R146" s="210">
        <f>S138</f>
        <v>0</v>
      </c>
      <c r="S146" s="210"/>
      <c r="T146" s="210" t="s">
        <v>2</v>
      </c>
      <c r="U146" s="210"/>
      <c r="V146" s="210"/>
      <c r="W146" s="210"/>
      <c r="X146" s="210"/>
      <c r="Y146" s="210"/>
      <c r="Z146" s="210"/>
    </row>
    <row r="147" spans="1:26" s="213" customFormat="1">
      <c r="A147" s="208" t="s">
        <v>549</v>
      </c>
      <c r="B147" s="209">
        <f>COUNTA($B$1:B146)</f>
        <v>139</v>
      </c>
      <c r="C147" s="210" t="s">
        <v>919</v>
      </c>
      <c r="D147" s="215"/>
      <c r="E147" s="212"/>
      <c r="F147" s="209"/>
      <c r="G147" s="210" t="s">
        <v>127</v>
      </c>
      <c r="H147" s="210"/>
      <c r="I147" s="210" t="s">
        <v>55</v>
      </c>
      <c r="J147" s="210" t="s">
        <v>300</v>
      </c>
      <c r="K147" s="209">
        <v>0</v>
      </c>
      <c r="L147" s="210" t="s">
        <v>98</v>
      </c>
      <c r="M147" s="214"/>
      <c r="N147" s="210" t="s">
        <v>99</v>
      </c>
      <c r="O147" s="210"/>
      <c r="P147" s="210"/>
      <c r="Q147" s="210"/>
      <c r="R147" s="210">
        <f>S139</f>
        <v>0</v>
      </c>
      <c r="S147" s="210"/>
      <c r="T147" s="210" t="s">
        <v>2</v>
      </c>
      <c r="U147" s="210"/>
      <c r="V147" s="210"/>
      <c r="W147" s="210"/>
      <c r="X147" s="210"/>
      <c r="Y147" s="210"/>
      <c r="Z147" s="210"/>
    </row>
    <row r="148" spans="1:26" s="213" customFormat="1">
      <c r="A148" s="208" t="s">
        <v>549</v>
      </c>
      <c r="B148" s="209">
        <f>COUNTA($B$1:B147)</f>
        <v>140</v>
      </c>
      <c r="C148" s="210" t="s">
        <v>920</v>
      </c>
      <c r="D148" s="215"/>
      <c r="E148" s="212"/>
      <c r="F148" s="209"/>
      <c r="G148" s="210" t="s">
        <v>127</v>
      </c>
      <c r="H148" s="210"/>
      <c r="I148" s="210" t="s">
        <v>55</v>
      </c>
      <c r="J148" s="210" t="s">
        <v>899</v>
      </c>
      <c r="K148" s="209">
        <v>0</v>
      </c>
      <c r="L148" s="210" t="s">
        <v>98</v>
      </c>
      <c r="M148" s="214"/>
      <c r="N148" s="210" t="s">
        <v>99</v>
      </c>
      <c r="O148" s="210"/>
      <c r="P148" s="210"/>
      <c r="Q148" s="210"/>
      <c r="R148" s="210">
        <f>S140</f>
        <v>0</v>
      </c>
      <c r="S148" s="210"/>
      <c r="T148" s="210" t="s">
        <v>2</v>
      </c>
      <c r="U148" s="210"/>
      <c r="V148" s="210"/>
      <c r="W148" s="210"/>
      <c r="X148" s="210"/>
      <c r="Y148" s="210"/>
      <c r="Z148" s="210"/>
    </row>
    <row r="149" spans="1:26" s="213" customFormat="1">
      <c r="A149" s="208" t="s">
        <v>549</v>
      </c>
      <c r="B149" s="209">
        <f>COUNTA($B$1:B148)</f>
        <v>141</v>
      </c>
      <c r="C149" s="210" t="s">
        <v>905</v>
      </c>
      <c r="D149" s="215"/>
      <c r="E149" s="212"/>
      <c r="F149" s="209"/>
      <c r="G149" s="210" t="s">
        <v>127</v>
      </c>
      <c r="H149" s="210"/>
      <c r="I149" s="210" t="s">
        <v>55</v>
      </c>
      <c r="J149" s="210" t="s">
        <v>107</v>
      </c>
      <c r="K149" s="209">
        <v>0</v>
      </c>
      <c r="L149" s="210" t="s">
        <v>98</v>
      </c>
      <c r="M149" s="214"/>
      <c r="N149" s="210" t="s">
        <v>99</v>
      </c>
      <c r="O149" s="210"/>
      <c r="P149" s="210"/>
      <c r="Q149" s="210"/>
      <c r="R149" s="210"/>
      <c r="S149" s="210"/>
      <c r="T149" s="210"/>
      <c r="U149" s="210"/>
      <c r="V149" s="210"/>
      <c r="W149" s="210"/>
      <c r="X149" s="210"/>
      <c r="Y149" s="210"/>
      <c r="Z149" s="210"/>
    </row>
    <row r="150" spans="1:26" s="213" customFormat="1">
      <c r="A150" s="208" t="s">
        <v>549</v>
      </c>
      <c r="B150" s="209">
        <f>COUNTA($B$1:B149)</f>
        <v>142</v>
      </c>
      <c r="C150" s="210" t="s">
        <v>906</v>
      </c>
      <c r="D150" s="215"/>
      <c r="E150" s="212"/>
      <c r="F150" s="209"/>
      <c r="G150" s="210" t="s">
        <v>127</v>
      </c>
      <c r="H150" s="210"/>
      <c r="I150" s="210" t="s">
        <v>55</v>
      </c>
      <c r="J150" s="210" t="s">
        <v>838</v>
      </c>
      <c r="K150" s="209">
        <v>0</v>
      </c>
      <c r="L150" s="210" t="s">
        <v>98</v>
      </c>
      <c r="M150" s="214"/>
      <c r="N150" s="210" t="s">
        <v>99</v>
      </c>
      <c r="O150" s="210"/>
      <c r="P150" s="210"/>
      <c r="Q150" s="210"/>
      <c r="R150" s="210"/>
      <c r="S150" s="210"/>
      <c r="T150" s="210"/>
      <c r="U150" s="210"/>
      <c r="V150" s="210"/>
      <c r="W150" s="210"/>
      <c r="X150" s="210"/>
      <c r="Y150" s="210"/>
      <c r="Z150" s="210"/>
    </row>
    <row r="151" spans="1:26" s="213" customFormat="1">
      <c r="A151" s="208" t="s">
        <v>549</v>
      </c>
      <c r="B151" s="209">
        <f>COUNTA($B$1:B150)</f>
        <v>143</v>
      </c>
      <c r="C151" s="210" t="s">
        <v>922</v>
      </c>
      <c r="D151" s="215"/>
      <c r="E151" s="212"/>
      <c r="F151" s="209"/>
      <c r="G151" s="210" t="s">
        <v>127</v>
      </c>
      <c r="H151" s="210"/>
      <c r="I151" s="210" t="s">
        <v>55</v>
      </c>
      <c r="J151" s="210" t="s">
        <v>574</v>
      </c>
      <c r="K151" s="209">
        <v>0</v>
      </c>
      <c r="L151" s="210" t="s">
        <v>98</v>
      </c>
      <c r="M151" s="214"/>
      <c r="N151" s="210" t="s">
        <v>99</v>
      </c>
      <c r="O151" s="210"/>
      <c r="P151" s="210"/>
      <c r="Q151" s="210"/>
      <c r="R151" s="210"/>
      <c r="S151" s="210"/>
      <c r="T151" s="210"/>
      <c r="U151" s="210"/>
      <c r="V151" s="210"/>
      <c r="W151" s="210"/>
      <c r="X151" s="210"/>
      <c r="Y151" s="210"/>
      <c r="Z151" s="210"/>
    </row>
    <row r="152" spans="1:26">
      <c r="A152" s="116" t="s">
        <v>549</v>
      </c>
      <c r="B152" s="117">
        <f>COUNTA($B$1:B151)</f>
        <v>144</v>
      </c>
      <c r="C152" s="118" t="s">
        <v>564</v>
      </c>
      <c r="D152" s="118"/>
      <c r="E152" s="118"/>
      <c r="F152" s="117"/>
      <c r="G152" s="118" t="s">
        <v>127</v>
      </c>
      <c r="H152" s="118"/>
      <c r="I152" s="118" t="s">
        <v>55</v>
      </c>
      <c r="J152" s="118" t="s">
        <v>565</v>
      </c>
      <c r="K152" s="117">
        <v>0</v>
      </c>
      <c r="L152" s="118" t="s">
        <v>147</v>
      </c>
      <c r="M152" s="119"/>
      <c r="N152" s="118"/>
      <c r="O152" s="118"/>
      <c r="P152" s="118"/>
      <c r="Q152" s="118"/>
      <c r="R152" s="119"/>
      <c r="S152" s="118"/>
      <c r="T152" s="118"/>
      <c r="U152" s="118"/>
      <c r="V152" s="118"/>
      <c r="W152" s="118"/>
      <c r="X152" s="128"/>
      <c r="Y152" s="128"/>
      <c r="Z152" s="128"/>
    </row>
    <row r="153" spans="1:26" s="17" customFormat="1">
      <c r="A153" s="116" t="s">
        <v>549</v>
      </c>
      <c r="B153" s="117">
        <f>COUNTA($B$1:B152)</f>
        <v>145</v>
      </c>
      <c r="C153" s="188" t="s">
        <v>851</v>
      </c>
      <c r="D153" s="118"/>
      <c r="E153" s="118"/>
      <c r="F153" s="117"/>
      <c r="G153" s="118" t="s">
        <v>127</v>
      </c>
      <c r="H153" s="118"/>
      <c r="I153" s="118" t="s">
        <v>55</v>
      </c>
      <c r="J153" s="118" t="s">
        <v>853</v>
      </c>
      <c r="K153" s="117">
        <v>0</v>
      </c>
      <c r="L153" s="118" t="s">
        <v>852</v>
      </c>
      <c r="M153" s="82" t="s">
        <v>849</v>
      </c>
      <c r="N153" s="118"/>
      <c r="O153" s="118"/>
      <c r="P153" s="118"/>
      <c r="Q153" s="118"/>
      <c r="R153" s="118"/>
      <c r="S153" s="118"/>
      <c r="T153" s="118"/>
      <c r="U153" s="118"/>
      <c r="V153" s="118"/>
      <c r="W153" s="118"/>
      <c r="X153" s="118"/>
      <c r="Y153" s="118"/>
      <c r="Z153" s="118"/>
    </row>
    <row r="154" spans="1:26">
      <c r="A154" s="116" t="s">
        <v>549</v>
      </c>
      <c r="B154" s="117">
        <f>COUNTA($B$1:B153)</f>
        <v>146</v>
      </c>
      <c r="C154" s="188" t="s">
        <v>67</v>
      </c>
      <c r="D154" s="118"/>
      <c r="E154" s="118"/>
      <c r="F154" s="117"/>
      <c r="G154" s="118" t="s">
        <v>127</v>
      </c>
      <c r="H154" s="118"/>
      <c r="I154" s="118"/>
      <c r="J154" s="118"/>
      <c r="K154" s="117"/>
      <c r="L154" s="118" t="s">
        <v>67</v>
      </c>
      <c r="M154" s="119">
        <v>3</v>
      </c>
      <c r="N154" s="118"/>
      <c r="O154" s="118"/>
      <c r="P154" s="118"/>
      <c r="Q154" s="118"/>
      <c r="R154" s="119"/>
      <c r="S154" s="118"/>
      <c r="T154" s="118"/>
      <c r="U154" s="118"/>
      <c r="V154" s="118"/>
      <c r="W154" s="118"/>
      <c r="X154" s="118"/>
      <c r="Y154" s="118"/>
      <c r="Z154" s="118"/>
    </row>
    <row r="155" spans="1:26">
      <c r="A155" s="116" t="s">
        <v>549</v>
      </c>
      <c r="B155" s="117">
        <f>COUNTA($B$1:B154)</f>
        <v>147</v>
      </c>
      <c r="C155" s="118" t="s">
        <v>566</v>
      </c>
      <c r="D155" s="118"/>
      <c r="E155" s="118"/>
      <c r="F155" s="117"/>
      <c r="G155" s="118" t="s">
        <v>127</v>
      </c>
      <c r="H155" s="118"/>
      <c r="I155" s="118" t="s">
        <v>55</v>
      </c>
      <c r="J155" s="118" t="s">
        <v>567</v>
      </c>
      <c r="K155" s="117">
        <v>0</v>
      </c>
      <c r="L155" s="118" t="s">
        <v>147</v>
      </c>
      <c r="M155" s="119"/>
      <c r="N155" s="118"/>
      <c r="O155" s="118"/>
      <c r="P155" s="118"/>
      <c r="Q155" s="118"/>
      <c r="R155" s="119"/>
      <c r="S155" s="118"/>
      <c r="T155" s="118"/>
      <c r="U155" s="118"/>
      <c r="V155" s="118"/>
      <c r="W155" s="118"/>
      <c r="X155" s="118"/>
      <c r="Y155" s="118"/>
      <c r="Z155" s="118"/>
    </row>
    <row r="156" spans="1:26">
      <c r="A156" s="116" t="s">
        <v>549</v>
      </c>
      <c r="B156" s="117">
        <f>COUNTA($B$1:B155)</f>
        <v>148</v>
      </c>
      <c r="C156" s="118" t="s">
        <v>568</v>
      </c>
      <c r="D156" s="118"/>
      <c r="E156" s="118"/>
      <c r="F156" s="117"/>
      <c r="G156" s="118" t="s">
        <v>127</v>
      </c>
      <c r="H156" s="118"/>
      <c r="I156" s="118" t="s">
        <v>55</v>
      </c>
      <c r="J156" s="118" t="s">
        <v>569</v>
      </c>
      <c r="K156" s="117">
        <v>0</v>
      </c>
      <c r="L156" s="118" t="s">
        <v>147</v>
      </c>
      <c r="M156" s="119"/>
      <c r="N156" s="118"/>
      <c r="O156" s="118"/>
      <c r="P156" s="118"/>
      <c r="Q156" s="118"/>
      <c r="R156" s="119"/>
      <c r="S156" s="118"/>
      <c r="T156" s="118"/>
      <c r="U156" s="118"/>
      <c r="V156" s="118"/>
      <c r="W156" s="118"/>
      <c r="X156" s="118"/>
      <c r="Y156" s="118"/>
      <c r="Z156" s="118"/>
    </row>
    <row r="157" spans="1:26">
      <c r="A157" s="116" t="s">
        <v>549</v>
      </c>
      <c r="B157" s="117">
        <f>COUNTA($B$1:B156)</f>
        <v>149</v>
      </c>
      <c r="C157" s="118" t="s">
        <v>197</v>
      </c>
      <c r="D157" s="118"/>
      <c r="E157" s="118"/>
      <c r="F157" s="117"/>
      <c r="G157" s="118" t="s">
        <v>127</v>
      </c>
      <c r="H157" s="118"/>
      <c r="I157" s="118" t="s">
        <v>55</v>
      </c>
      <c r="J157" s="118" t="s">
        <v>198</v>
      </c>
      <c r="K157" s="117">
        <v>0</v>
      </c>
      <c r="L157" s="118" t="s">
        <v>147</v>
      </c>
      <c r="M157" s="119"/>
      <c r="N157" s="118"/>
      <c r="O157" s="118"/>
      <c r="P157" s="118"/>
      <c r="Q157" s="118"/>
      <c r="R157" s="119"/>
      <c r="S157" s="118"/>
      <c r="T157" s="118"/>
      <c r="U157" s="118"/>
      <c r="V157" s="118"/>
      <c r="W157" s="118"/>
      <c r="X157" s="118"/>
      <c r="Y157" s="118"/>
      <c r="Z157" s="118"/>
    </row>
    <row r="158" spans="1:26">
      <c r="A158" s="116" t="s">
        <v>549</v>
      </c>
      <c r="B158" s="117">
        <f>COUNTA($B$1:B157)</f>
        <v>150</v>
      </c>
      <c r="C158" s="118" t="s">
        <v>199</v>
      </c>
      <c r="D158" s="127"/>
      <c r="E158" s="128" t="s">
        <v>154</v>
      </c>
      <c r="F158" s="121"/>
      <c r="G158" s="118" t="s">
        <v>127</v>
      </c>
      <c r="H158" s="118"/>
      <c r="I158" s="118" t="s">
        <v>55</v>
      </c>
      <c r="J158" s="118" t="s">
        <v>200</v>
      </c>
      <c r="K158" s="117">
        <v>0</v>
      </c>
      <c r="L158" s="118" t="s">
        <v>147</v>
      </c>
      <c r="M158" s="119"/>
      <c r="N158" s="118"/>
      <c r="O158" s="118"/>
      <c r="P158" s="118"/>
      <c r="Q158" s="118"/>
      <c r="R158" s="118"/>
      <c r="S158" s="128"/>
      <c r="T158" s="118"/>
      <c r="U158" s="118"/>
      <c r="V158" s="118"/>
      <c r="W158" s="118"/>
      <c r="X158" s="118"/>
      <c r="Y158" s="118"/>
      <c r="Z158" s="118"/>
    </row>
    <row r="159" spans="1:26">
      <c r="A159" s="116" t="s">
        <v>549</v>
      </c>
      <c r="B159" s="117">
        <f>COUNTA($B$1:B158)</f>
        <v>151</v>
      </c>
      <c r="C159" s="118" t="s">
        <v>201</v>
      </c>
      <c r="D159" s="127"/>
      <c r="E159" s="128" t="s">
        <v>154</v>
      </c>
      <c r="F159" s="121"/>
      <c r="G159" s="118" t="s">
        <v>127</v>
      </c>
      <c r="H159" s="118"/>
      <c r="I159" s="118" t="s">
        <v>55</v>
      </c>
      <c r="J159" s="118" t="s">
        <v>202</v>
      </c>
      <c r="K159" s="117">
        <v>0</v>
      </c>
      <c r="L159" s="118" t="s">
        <v>0</v>
      </c>
      <c r="M159" s="82" t="s">
        <v>203</v>
      </c>
      <c r="N159" s="118"/>
      <c r="O159" s="118"/>
      <c r="P159" s="118"/>
      <c r="Q159" s="118"/>
      <c r="R159" s="118"/>
      <c r="S159" s="128"/>
      <c r="T159" s="118"/>
      <c r="U159" s="118"/>
      <c r="V159" s="118"/>
      <c r="W159" s="118"/>
      <c r="X159" s="128"/>
      <c r="Y159" s="128"/>
      <c r="Z159" s="128"/>
    </row>
    <row r="160" spans="1:26">
      <c r="A160" s="116" t="s">
        <v>549</v>
      </c>
      <c r="B160" s="117">
        <f>COUNTA($B$1:B159)</f>
        <v>152</v>
      </c>
      <c r="C160" s="118" t="s">
        <v>204</v>
      </c>
      <c r="D160" s="127"/>
      <c r="E160" s="128" t="s">
        <v>154</v>
      </c>
      <c r="F160" s="121"/>
      <c r="G160" s="118" t="s">
        <v>127</v>
      </c>
      <c r="H160" s="118"/>
      <c r="I160" s="118" t="s">
        <v>55</v>
      </c>
      <c r="J160" s="118" t="s">
        <v>205</v>
      </c>
      <c r="K160" s="117">
        <v>0</v>
      </c>
      <c r="L160" s="118" t="s">
        <v>0</v>
      </c>
      <c r="M160" s="82" t="s">
        <v>206</v>
      </c>
      <c r="N160" s="118"/>
      <c r="O160" s="118"/>
      <c r="P160" s="118"/>
      <c r="Q160" s="118"/>
      <c r="R160" s="118"/>
      <c r="S160" s="128"/>
      <c r="T160" s="118"/>
      <c r="U160" s="118"/>
      <c r="V160" s="118"/>
      <c r="W160" s="118"/>
      <c r="X160" s="118"/>
      <c r="Y160" s="118"/>
      <c r="Z160" s="118"/>
    </row>
    <row r="161" spans="1:26">
      <c r="A161" s="116" t="s">
        <v>549</v>
      </c>
      <c r="B161" s="117">
        <f>COUNTA($B$1:B160)</f>
        <v>153</v>
      </c>
      <c r="C161" s="118" t="s">
        <v>226</v>
      </c>
      <c r="D161" s="127"/>
      <c r="E161" s="128"/>
      <c r="F161" s="117"/>
      <c r="G161" s="118" t="s">
        <v>127</v>
      </c>
      <c r="H161" s="118"/>
      <c r="I161" s="118"/>
      <c r="J161" s="118"/>
      <c r="K161" s="117"/>
      <c r="L161" s="118" t="s">
        <v>227</v>
      </c>
      <c r="M161" s="119" t="s">
        <v>79</v>
      </c>
      <c r="N161" s="118"/>
      <c r="O161" s="118"/>
      <c r="P161" s="118"/>
      <c r="Q161" s="118"/>
      <c r="R161" s="119"/>
      <c r="S161" s="118"/>
      <c r="T161" s="118"/>
      <c r="U161" s="118"/>
      <c r="V161" s="118"/>
      <c r="W161" s="118"/>
      <c r="X161" s="118"/>
      <c r="Y161" s="118"/>
      <c r="Z161" s="118"/>
    </row>
    <row r="162" spans="1:26">
      <c r="A162" s="116" t="s">
        <v>549</v>
      </c>
      <c r="B162" s="117">
        <f>COUNTA($B$1:B161)</f>
        <v>154</v>
      </c>
      <c r="C162" s="118" t="s">
        <v>207</v>
      </c>
      <c r="D162" s="118"/>
      <c r="E162" s="118"/>
      <c r="F162" s="117"/>
      <c r="G162" s="118" t="s">
        <v>127</v>
      </c>
      <c r="H162" s="118"/>
      <c r="I162" s="118" t="s">
        <v>55</v>
      </c>
      <c r="J162" s="118" t="s">
        <v>208</v>
      </c>
      <c r="K162" s="117">
        <v>0</v>
      </c>
      <c r="L162" s="118" t="s">
        <v>147</v>
      </c>
      <c r="M162" s="119"/>
      <c r="N162" s="118"/>
      <c r="O162" s="118"/>
      <c r="P162" s="118"/>
      <c r="Q162" s="118"/>
      <c r="R162" s="118"/>
      <c r="S162" s="118"/>
      <c r="T162" s="118"/>
      <c r="U162" s="118"/>
      <c r="V162" s="118"/>
      <c r="W162" s="118"/>
      <c r="X162" s="118"/>
      <c r="Y162" s="118"/>
      <c r="Z162" s="118"/>
    </row>
    <row r="163" spans="1:26">
      <c r="A163" s="116" t="s">
        <v>549</v>
      </c>
      <c r="B163" s="117">
        <f>COUNTA($B$1:B162)</f>
        <v>155</v>
      </c>
      <c r="C163" s="118" t="s">
        <v>209</v>
      </c>
      <c r="D163" s="127"/>
      <c r="E163" s="128"/>
      <c r="F163" s="117"/>
      <c r="G163" s="118" t="s">
        <v>127</v>
      </c>
      <c r="H163" s="118"/>
      <c r="I163" s="118" t="s">
        <v>55</v>
      </c>
      <c r="J163" s="118" t="s">
        <v>210</v>
      </c>
      <c r="K163" s="117"/>
      <c r="L163" s="118" t="s">
        <v>98</v>
      </c>
      <c r="M163" s="118"/>
      <c r="N163" s="118" t="s">
        <v>99</v>
      </c>
      <c r="O163" s="118"/>
      <c r="P163" s="118"/>
      <c r="Q163" s="118"/>
      <c r="R163" s="118" t="str">
        <f>TEXT(M159,"mm/dd/yyyy") &amp; " - " &amp; TEXT(M160,"mm/dd/yyyy")</f>
        <v>PickUpDate - DropOffDate</v>
      </c>
      <c r="S163" s="128"/>
      <c r="T163" s="118" t="s">
        <v>2</v>
      </c>
      <c r="U163" s="118"/>
      <c r="V163" s="118"/>
      <c r="W163" s="118"/>
      <c r="X163" s="118"/>
      <c r="Y163" s="118"/>
      <c r="Z163" s="118"/>
    </row>
    <row r="164" spans="1:26">
      <c r="A164" s="116" t="s">
        <v>549</v>
      </c>
      <c r="B164" s="117">
        <f>COUNTA($B$1:B163)</f>
        <v>156</v>
      </c>
      <c r="C164" s="118" t="s">
        <v>201</v>
      </c>
      <c r="D164" s="127"/>
      <c r="E164" s="128" t="s">
        <v>154</v>
      </c>
      <c r="F164" s="121"/>
      <c r="G164" s="118" t="s">
        <v>127</v>
      </c>
      <c r="H164" s="118"/>
      <c r="I164" s="118" t="s">
        <v>55</v>
      </c>
      <c r="J164" s="118" t="s">
        <v>202</v>
      </c>
      <c r="K164" s="117">
        <v>0</v>
      </c>
      <c r="L164" s="118" t="s">
        <v>0</v>
      </c>
      <c r="M164" s="82" t="s">
        <v>211</v>
      </c>
      <c r="N164" s="118"/>
      <c r="O164" s="118"/>
      <c r="P164" s="118"/>
      <c r="Q164" s="118"/>
      <c r="R164" s="118"/>
      <c r="S164" s="128"/>
      <c r="T164" s="118"/>
      <c r="U164" s="118"/>
      <c r="V164" s="118"/>
      <c r="W164" s="118"/>
      <c r="X164" s="128"/>
      <c r="Y164" s="128"/>
      <c r="Z164" s="128"/>
    </row>
    <row r="165" spans="1:26">
      <c r="A165" s="116" t="s">
        <v>549</v>
      </c>
      <c r="B165" s="117">
        <f>COUNTA($B$1:B164)</f>
        <v>157</v>
      </c>
      <c r="C165" s="118" t="s">
        <v>204</v>
      </c>
      <c r="D165" s="127"/>
      <c r="E165" s="128" t="s">
        <v>154</v>
      </c>
      <c r="F165" s="121"/>
      <c r="G165" s="118" t="s">
        <v>127</v>
      </c>
      <c r="H165" s="118"/>
      <c r="I165" s="118" t="s">
        <v>55</v>
      </c>
      <c r="J165" s="118" t="s">
        <v>205</v>
      </c>
      <c r="K165" s="117">
        <v>0</v>
      </c>
      <c r="L165" s="118" t="s">
        <v>0</v>
      </c>
      <c r="M165" s="82" t="s">
        <v>212</v>
      </c>
      <c r="N165" s="118"/>
      <c r="O165" s="118"/>
      <c r="P165" s="118"/>
      <c r="Q165" s="118"/>
      <c r="R165" s="118"/>
      <c r="S165" s="128"/>
      <c r="T165" s="118"/>
      <c r="U165" s="118"/>
      <c r="V165" s="118"/>
      <c r="W165" s="118"/>
      <c r="X165" s="118"/>
      <c r="Y165" s="118"/>
      <c r="Z165" s="118"/>
    </row>
    <row r="166" spans="1:26">
      <c r="A166" s="116" t="s">
        <v>549</v>
      </c>
      <c r="B166" s="117">
        <f>COUNTA($B$1:B165)</f>
        <v>158</v>
      </c>
      <c r="C166" s="118" t="s">
        <v>226</v>
      </c>
      <c r="D166" s="127"/>
      <c r="E166" s="128"/>
      <c r="F166" s="117"/>
      <c r="G166" s="118" t="s">
        <v>127</v>
      </c>
      <c r="H166" s="118"/>
      <c r="I166" s="118"/>
      <c r="J166" s="118"/>
      <c r="K166" s="117"/>
      <c r="L166" s="118" t="s">
        <v>227</v>
      </c>
      <c r="M166" s="119" t="s">
        <v>79</v>
      </c>
      <c r="N166" s="118"/>
      <c r="O166" s="118"/>
      <c r="P166" s="118"/>
      <c r="Q166" s="118"/>
      <c r="R166" s="119"/>
      <c r="S166" s="118"/>
      <c r="T166" s="118"/>
      <c r="U166" s="118"/>
      <c r="V166" s="118"/>
      <c r="W166" s="118"/>
      <c r="X166" s="118"/>
      <c r="Y166" s="118"/>
      <c r="Z166" s="118"/>
    </row>
    <row r="167" spans="1:26">
      <c r="A167" s="116" t="s">
        <v>549</v>
      </c>
      <c r="B167" s="117">
        <f>COUNTA($B$1:B166)</f>
        <v>159</v>
      </c>
      <c r="C167" s="118" t="s">
        <v>207</v>
      </c>
      <c r="D167" s="118"/>
      <c r="E167" s="118"/>
      <c r="F167" s="117"/>
      <c r="G167" s="118" t="s">
        <v>127</v>
      </c>
      <c r="H167" s="118"/>
      <c r="I167" s="118" t="s">
        <v>55</v>
      </c>
      <c r="J167" s="118" t="s">
        <v>208</v>
      </c>
      <c r="K167" s="117">
        <v>0</v>
      </c>
      <c r="L167" s="118" t="s">
        <v>147</v>
      </c>
      <c r="M167" s="119"/>
      <c r="N167" s="118"/>
      <c r="O167" s="118"/>
      <c r="P167" s="118"/>
      <c r="Q167" s="118"/>
      <c r="R167" s="118"/>
      <c r="S167" s="118"/>
      <c r="T167" s="118"/>
      <c r="U167" s="118"/>
      <c r="V167" s="118"/>
      <c r="W167" s="118"/>
      <c r="X167" s="118"/>
      <c r="Y167" s="118"/>
      <c r="Z167" s="118"/>
    </row>
    <row r="168" spans="1:26">
      <c r="A168" s="116" t="s">
        <v>549</v>
      </c>
      <c r="B168" s="117">
        <f>COUNTA($B$1:B167)</f>
        <v>160</v>
      </c>
      <c r="C168" s="118" t="s">
        <v>209</v>
      </c>
      <c r="D168" s="127"/>
      <c r="E168" s="128"/>
      <c r="F168" s="117"/>
      <c r="G168" s="118" t="s">
        <v>127</v>
      </c>
      <c r="H168" s="118"/>
      <c r="I168" s="118" t="s">
        <v>55</v>
      </c>
      <c r="J168" s="118" t="s">
        <v>213</v>
      </c>
      <c r="K168" s="117">
        <v>0</v>
      </c>
      <c r="L168" s="118" t="s">
        <v>98</v>
      </c>
      <c r="M168" s="118"/>
      <c r="N168" s="118" t="s">
        <v>99</v>
      </c>
      <c r="O168" s="118"/>
      <c r="P168" s="118"/>
      <c r="Q168" s="118"/>
      <c r="R168" s="118" t="str">
        <f>TEXT(M164,"mm/dd/yyyy") &amp; " - " &amp; TEXT(M165,"mm/dd/yyyy")</f>
        <v>PickUpDate1 - DropOffDate1</v>
      </c>
      <c r="S168" s="128"/>
      <c r="T168" s="118" t="s">
        <v>2</v>
      </c>
      <c r="U168" s="118"/>
      <c r="V168" s="118"/>
      <c r="W168" s="118"/>
      <c r="X168" s="118"/>
      <c r="Y168" s="118"/>
      <c r="Z168" s="118"/>
    </row>
    <row r="169" spans="1:26">
      <c r="A169" s="116" t="s">
        <v>549</v>
      </c>
      <c r="B169" s="117">
        <f>COUNTA($B$1:B168)</f>
        <v>161</v>
      </c>
      <c r="C169" s="118" t="s">
        <v>201</v>
      </c>
      <c r="D169" s="127"/>
      <c r="E169" s="128" t="s">
        <v>154</v>
      </c>
      <c r="F169" s="121"/>
      <c r="G169" s="118" t="s">
        <v>127</v>
      </c>
      <c r="H169" s="118"/>
      <c r="I169" s="118" t="s">
        <v>55</v>
      </c>
      <c r="J169" s="118" t="s">
        <v>202</v>
      </c>
      <c r="K169" s="117">
        <v>0</v>
      </c>
      <c r="L169" s="118" t="s">
        <v>0</v>
      </c>
      <c r="M169" s="82" t="s">
        <v>214</v>
      </c>
      <c r="N169" s="118"/>
      <c r="O169" s="118"/>
      <c r="P169" s="118"/>
      <c r="Q169" s="118"/>
      <c r="R169" s="118"/>
      <c r="S169" s="128"/>
      <c r="T169" s="118"/>
      <c r="U169" s="118"/>
      <c r="V169" s="118"/>
      <c r="W169" s="118"/>
      <c r="X169" s="128"/>
      <c r="Y169" s="128"/>
      <c r="Z169" s="128"/>
    </row>
    <row r="170" spans="1:26">
      <c r="A170" s="116" t="s">
        <v>549</v>
      </c>
      <c r="B170" s="117">
        <f>COUNTA($B$1:B169)</f>
        <v>162</v>
      </c>
      <c r="C170" s="118" t="s">
        <v>204</v>
      </c>
      <c r="D170" s="127"/>
      <c r="E170" s="128" t="s">
        <v>154</v>
      </c>
      <c r="F170" s="121"/>
      <c r="G170" s="118" t="s">
        <v>127</v>
      </c>
      <c r="H170" s="118"/>
      <c r="I170" s="118" t="s">
        <v>55</v>
      </c>
      <c r="J170" s="118" t="s">
        <v>205</v>
      </c>
      <c r="K170" s="117">
        <v>0</v>
      </c>
      <c r="L170" s="118" t="s">
        <v>0</v>
      </c>
      <c r="M170" s="82" t="s">
        <v>215</v>
      </c>
      <c r="N170" s="118"/>
      <c r="O170" s="118"/>
      <c r="P170" s="118"/>
      <c r="Q170" s="118"/>
      <c r="R170" s="118"/>
      <c r="S170" s="128"/>
      <c r="T170" s="118"/>
      <c r="U170" s="118"/>
      <c r="V170" s="118"/>
      <c r="W170" s="118"/>
      <c r="X170" s="118"/>
      <c r="Y170" s="118"/>
      <c r="Z170" s="118"/>
    </row>
    <row r="171" spans="1:26">
      <c r="A171" s="116" t="s">
        <v>549</v>
      </c>
      <c r="B171" s="117">
        <f>COUNTA($B$1:B170)</f>
        <v>163</v>
      </c>
      <c r="C171" s="118" t="s">
        <v>226</v>
      </c>
      <c r="D171" s="127"/>
      <c r="E171" s="128"/>
      <c r="F171" s="117"/>
      <c r="G171" s="118" t="s">
        <v>127</v>
      </c>
      <c r="H171" s="118"/>
      <c r="I171" s="118"/>
      <c r="J171" s="118"/>
      <c r="K171" s="117"/>
      <c r="L171" s="118" t="s">
        <v>227</v>
      </c>
      <c r="M171" s="119" t="s">
        <v>79</v>
      </c>
      <c r="N171" s="118"/>
      <c r="O171" s="118"/>
      <c r="P171" s="118"/>
      <c r="Q171" s="118"/>
      <c r="R171" s="119"/>
      <c r="S171" s="118"/>
      <c r="T171" s="118"/>
      <c r="U171" s="118"/>
      <c r="V171" s="118"/>
      <c r="W171" s="118"/>
      <c r="X171" s="118"/>
      <c r="Y171" s="118"/>
      <c r="Z171" s="118"/>
    </row>
    <row r="172" spans="1:26">
      <c r="A172" s="116" t="s">
        <v>549</v>
      </c>
      <c r="B172" s="117">
        <f>COUNTA($B$1:B171)</f>
        <v>164</v>
      </c>
      <c r="C172" s="118" t="s">
        <v>207</v>
      </c>
      <c r="D172" s="118"/>
      <c r="E172" s="118"/>
      <c r="F172" s="117"/>
      <c r="G172" s="118" t="s">
        <v>127</v>
      </c>
      <c r="H172" s="118"/>
      <c r="I172" s="118" t="s">
        <v>55</v>
      </c>
      <c r="J172" s="118" t="s">
        <v>208</v>
      </c>
      <c r="K172" s="117">
        <v>0</v>
      </c>
      <c r="L172" s="118" t="s">
        <v>147</v>
      </c>
      <c r="M172" s="119"/>
      <c r="N172" s="118"/>
      <c r="O172" s="118"/>
      <c r="P172" s="118"/>
      <c r="Q172" s="118"/>
      <c r="R172" s="118"/>
      <c r="S172" s="118"/>
      <c r="T172" s="118"/>
      <c r="U172" s="118"/>
      <c r="V172" s="118"/>
      <c r="W172" s="118"/>
      <c r="X172" s="118"/>
      <c r="Y172" s="118"/>
      <c r="Z172" s="118"/>
    </row>
    <row r="173" spans="1:26">
      <c r="A173" s="116" t="s">
        <v>549</v>
      </c>
      <c r="B173" s="117">
        <f>COUNTA($B$1:B172)</f>
        <v>165</v>
      </c>
      <c r="C173" s="118" t="s">
        <v>209</v>
      </c>
      <c r="D173" s="127"/>
      <c r="E173" s="128"/>
      <c r="F173" s="117"/>
      <c r="G173" s="118" t="s">
        <v>127</v>
      </c>
      <c r="H173" s="118"/>
      <c r="I173" s="118" t="s">
        <v>55</v>
      </c>
      <c r="J173" s="118" t="s">
        <v>216</v>
      </c>
      <c r="K173" s="117"/>
      <c r="L173" s="118" t="s">
        <v>98</v>
      </c>
      <c r="M173" s="118"/>
      <c r="N173" s="118" t="s">
        <v>99</v>
      </c>
      <c r="O173" s="118"/>
      <c r="P173" s="118"/>
      <c r="Q173" s="118"/>
      <c r="R173" s="118" t="str">
        <f>TEXT(M169,"mm/dd/yyyy") &amp; " - " &amp; TEXT(M170,"mm/dd/yyyy")</f>
        <v>PickUpDate2 - DropOffDate2</v>
      </c>
      <c r="S173" s="128"/>
      <c r="T173" s="118" t="s">
        <v>2</v>
      </c>
      <c r="U173" s="118"/>
      <c r="V173" s="118"/>
      <c r="W173" s="118"/>
      <c r="X173" s="118"/>
      <c r="Y173" s="118"/>
      <c r="Z173" s="118"/>
    </row>
    <row r="174" spans="1:26">
      <c r="A174" s="116" t="s">
        <v>549</v>
      </c>
      <c r="B174" s="117">
        <f>COUNTA($B$1:B173)</f>
        <v>166</v>
      </c>
      <c r="C174" s="118" t="s">
        <v>67</v>
      </c>
      <c r="D174" s="118"/>
      <c r="E174" s="118"/>
      <c r="F174" s="117"/>
      <c r="G174" s="118" t="s">
        <v>127</v>
      </c>
      <c r="H174" s="118"/>
      <c r="I174" s="118"/>
      <c r="J174" s="118"/>
      <c r="K174" s="117"/>
      <c r="L174" s="118" t="s">
        <v>67</v>
      </c>
      <c r="M174" s="119">
        <v>2</v>
      </c>
      <c r="N174" s="118"/>
      <c r="O174" s="118"/>
      <c r="P174" s="118"/>
      <c r="Q174" s="118"/>
      <c r="R174" s="119"/>
      <c r="S174" s="118"/>
      <c r="T174" s="118"/>
      <c r="U174" s="118"/>
      <c r="V174" s="118"/>
      <c r="W174" s="118"/>
      <c r="X174" s="118"/>
      <c r="Y174" s="118"/>
      <c r="Z174" s="118"/>
    </row>
    <row r="175" spans="1:26">
      <c r="A175" s="116" t="s">
        <v>549</v>
      </c>
      <c r="B175" s="117">
        <f>COUNTA($B$1:B174)</f>
        <v>167</v>
      </c>
      <c r="C175" s="118" t="s">
        <v>570</v>
      </c>
      <c r="D175" s="118"/>
      <c r="E175" s="118"/>
      <c r="F175" s="117"/>
      <c r="G175" s="118" t="s">
        <v>127</v>
      </c>
      <c r="H175" s="118"/>
      <c r="I175" s="118" t="s">
        <v>55</v>
      </c>
      <c r="J175" s="118" t="s">
        <v>218</v>
      </c>
      <c r="K175" s="117">
        <v>0</v>
      </c>
      <c r="L175" s="118" t="s">
        <v>147</v>
      </c>
      <c r="M175" s="119"/>
      <c r="N175" s="118"/>
      <c r="O175" s="118"/>
      <c r="P175" s="118"/>
      <c r="Q175" s="118"/>
      <c r="R175" s="119"/>
      <c r="S175" s="118"/>
      <c r="T175" s="118"/>
      <c r="U175" s="118"/>
      <c r="V175" s="118"/>
      <c r="W175" s="118"/>
      <c r="X175" s="128"/>
      <c r="Y175" s="128"/>
      <c r="Z175" s="128"/>
    </row>
    <row r="176" spans="1:26">
      <c r="A176" s="116" t="s">
        <v>549</v>
      </c>
      <c r="B176" s="117">
        <f>COUNTA($B$1:B175)</f>
        <v>168</v>
      </c>
      <c r="C176" s="118" t="s">
        <v>571</v>
      </c>
      <c r="D176" s="118"/>
      <c r="E176" s="118"/>
      <c r="F176" s="117"/>
      <c r="G176" s="118" t="s">
        <v>127</v>
      </c>
      <c r="H176" s="118"/>
      <c r="I176" s="118" t="s">
        <v>55</v>
      </c>
      <c r="J176" s="118" t="s">
        <v>572</v>
      </c>
      <c r="K176" s="117">
        <v>0</v>
      </c>
      <c r="L176" s="118" t="s">
        <v>147</v>
      </c>
      <c r="M176" s="119"/>
      <c r="N176" s="118"/>
      <c r="O176" s="118"/>
      <c r="P176" s="118"/>
      <c r="Q176" s="118"/>
      <c r="R176" s="119"/>
      <c r="S176" s="118"/>
      <c r="T176" s="118"/>
      <c r="U176" s="118"/>
      <c r="V176" s="118"/>
      <c r="W176" s="118"/>
      <c r="X176" s="118"/>
      <c r="Y176" s="118"/>
      <c r="Z176" s="118"/>
    </row>
    <row r="177" spans="1:26">
      <c r="A177" s="116" t="s">
        <v>549</v>
      </c>
      <c r="B177" s="117">
        <f>COUNTA($B$1:B176)</f>
        <v>169</v>
      </c>
      <c r="C177" s="118" t="s">
        <v>67</v>
      </c>
      <c r="D177" s="118"/>
      <c r="E177" s="118"/>
      <c r="F177" s="117"/>
      <c r="G177" s="118" t="s">
        <v>127</v>
      </c>
      <c r="H177" s="118"/>
      <c r="I177" s="118"/>
      <c r="J177" s="118"/>
      <c r="K177" s="117"/>
      <c r="L177" s="118" t="s">
        <v>67</v>
      </c>
      <c r="M177" s="119">
        <v>2</v>
      </c>
      <c r="N177" s="118"/>
      <c r="O177" s="118"/>
      <c r="P177" s="118"/>
      <c r="Q177" s="118"/>
      <c r="R177" s="119"/>
      <c r="S177" s="118"/>
      <c r="T177" s="118"/>
      <c r="U177" s="118"/>
      <c r="V177" s="118"/>
      <c r="W177" s="118"/>
      <c r="X177" s="118"/>
      <c r="Y177" s="118"/>
      <c r="Z177" s="118"/>
    </row>
    <row r="178" spans="1:26" s="213" customFormat="1">
      <c r="A178" s="220" t="s">
        <v>549</v>
      </c>
      <c r="B178" s="209">
        <f>COUNTA($B$1:B177)</f>
        <v>170</v>
      </c>
      <c r="C178" s="210" t="s">
        <v>902</v>
      </c>
      <c r="D178" s="215"/>
      <c r="E178" s="212"/>
      <c r="F178" s="209"/>
      <c r="G178" s="210" t="s">
        <v>127</v>
      </c>
      <c r="H178" s="210"/>
      <c r="I178" s="210" t="s">
        <v>55</v>
      </c>
      <c r="J178" s="210" t="s">
        <v>574</v>
      </c>
      <c r="K178" s="209">
        <v>0</v>
      </c>
      <c r="L178" s="210" t="s">
        <v>98</v>
      </c>
      <c r="M178" s="214"/>
      <c r="N178" s="210" t="s">
        <v>99</v>
      </c>
      <c r="O178" s="210"/>
      <c r="P178" s="210"/>
      <c r="Q178" s="210"/>
      <c r="R178" s="210"/>
      <c r="S178" s="210"/>
      <c r="T178" s="210"/>
      <c r="U178" s="210"/>
      <c r="V178" s="210"/>
      <c r="W178" s="210"/>
      <c r="X178" s="210"/>
      <c r="Y178" s="210"/>
      <c r="Z178" s="210"/>
    </row>
    <row r="179" spans="1:26">
      <c r="A179" s="116" t="s">
        <v>549</v>
      </c>
      <c r="B179" s="117">
        <f>COUNTA($B$1:B178)</f>
        <v>171</v>
      </c>
      <c r="C179" s="118" t="s">
        <v>190</v>
      </c>
      <c r="D179" s="118"/>
      <c r="E179" s="118"/>
      <c r="F179" s="117"/>
      <c r="G179" s="118" t="s">
        <v>127</v>
      </c>
      <c r="H179" s="118"/>
      <c r="I179" s="118" t="s">
        <v>55</v>
      </c>
      <c r="J179" s="118" t="s">
        <v>87</v>
      </c>
      <c r="K179" s="117">
        <v>0</v>
      </c>
      <c r="L179" s="118" t="s">
        <v>147</v>
      </c>
      <c r="M179" s="119"/>
      <c r="N179" s="118"/>
      <c r="O179" s="118"/>
      <c r="P179" s="118"/>
      <c r="Q179" s="118"/>
      <c r="R179" s="119"/>
      <c r="S179" s="118"/>
      <c r="T179" s="118"/>
      <c r="U179" s="118"/>
      <c r="V179" s="118"/>
      <c r="W179" s="118"/>
      <c r="X179" s="118"/>
      <c r="Y179" s="118"/>
      <c r="Z179" s="118"/>
    </row>
    <row r="180" spans="1:26">
      <c r="A180" s="116" t="s">
        <v>549</v>
      </c>
      <c r="B180" s="117">
        <f>COUNTA($B$1:B179)</f>
        <v>172</v>
      </c>
      <c r="C180" s="118" t="s">
        <v>67</v>
      </c>
      <c r="D180" s="118"/>
      <c r="E180" s="118"/>
      <c r="F180" s="117"/>
      <c r="G180" s="118" t="s">
        <v>127</v>
      </c>
      <c r="H180" s="118"/>
      <c r="I180" s="118"/>
      <c r="J180" s="118"/>
      <c r="K180" s="117"/>
      <c r="L180" s="118" t="s">
        <v>67</v>
      </c>
      <c r="M180" s="119">
        <v>10</v>
      </c>
      <c r="N180" s="118"/>
      <c r="O180" s="118"/>
      <c r="P180" s="118"/>
      <c r="Q180" s="118"/>
      <c r="R180" s="119"/>
      <c r="S180" s="118"/>
      <c r="T180" s="118"/>
      <c r="U180" s="118"/>
      <c r="V180" s="118"/>
      <c r="W180" s="118"/>
      <c r="X180" s="118"/>
      <c r="Y180" s="118"/>
      <c r="Z180" s="118"/>
    </row>
    <row r="181" spans="1:26">
      <c r="A181" s="30" t="s">
        <v>219</v>
      </c>
      <c r="B181" s="31"/>
      <c r="C181" s="31"/>
      <c r="D181" s="32"/>
      <c r="E181" s="32"/>
      <c r="F181" s="31"/>
      <c r="G181" s="32"/>
      <c r="H181" s="32"/>
      <c r="I181" s="32"/>
      <c r="J181" s="32"/>
      <c r="K181" s="31"/>
      <c r="L181" s="32"/>
      <c r="M181" s="32"/>
      <c r="N181" s="32"/>
      <c r="O181" s="32"/>
      <c r="P181" s="32"/>
      <c r="Q181" s="32"/>
      <c r="R181" s="32"/>
      <c r="S181" s="32"/>
      <c r="T181" s="32"/>
      <c r="U181" s="32"/>
      <c r="V181" s="32"/>
      <c r="W181" s="32"/>
      <c r="X181" s="32"/>
      <c r="Y181" s="32"/>
      <c r="Z181" s="32"/>
    </row>
    <row r="182" spans="1:26">
      <c r="A182" s="116" t="s">
        <v>549</v>
      </c>
      <c r="B182" s="117">
        <f>COUNTA($B$1:B181)</f>
        <v>173</v>
      </c>
      <c r="C182" s="118" t="s">
        <v>558</v>
      </c>
      <c r="D182" s="118"/>
      <c r="E182" s="118"/>
      <c r="F182" s="117"/>
      <c r="G182" s="118" t="s">
        <v>127</v>
      </c>
      <c r="H182" s="118"/>
      <c r="I182" s="118" t="s">
        <v>55</v>
      </c>
      <c r="J182" s="130" t="s">
        <v>573</v>
      </c>
      <c r="K182" s="117">
        <v>0</v>
      </c>
      <c r="L182" s="118" t="s">
        <v>147</v>
      </c>
      <c r="M182" s="119"/>
      <c r="N182" s="118"/>
      <c r="O182" s="118"/>
      <c r="P182" s="118"/>
      <c r="Q182" s="118"/>
      <c r="R182" s="119"/>
      <c r="S182" s="118"/>
      <c r="T182" s="118"/>
      <c r="U182" s="118"/>
      <c r="V182" s="118"/>
      <c r="W182" s="118"/>
      <c r="X182" s="118"/>
      <c r="Y182" s="118"/>
      <c r="Z182" s="118"/>
    </row>
    <row r="183" spans="1:26">
      <c r="A183" s="116" t="s">
        <v>549</v>
      </c>
      <c r="B183" s="117">
        <f>COUNTA($B$1:B182)</f>
        <v>174</v>
      </c>
      <c r="C183" s="118" t="s">
        <v>67</v>
      </c>
      <c r="D183" s="118"/>
      <c r="E183" s="118"/>
      <c r="F183" s="117"/>
      <c r="G183" s="118" t="s">
        <v>127</v>
      </c>
      <c r="H183" s="118"/>
      <c r="I183" s="118"/>
      <c r="J183" s="118"/>
      <c r="K183" s="117"/>
      <c r="L183" s="118" t="s">
        <v>67</v>
      </c>
      <c r="M183" s="119">
        <v>3</v>
      </c>
      <c r="N183" s="118"/>
      <c r="O183" s="118"/>
      <c r="P183" s="118"/>
      <c r="Q183" s="118"/>
      <c r="R183" s="119"/>
      <c r="S183" s="118"/>
      <c r="T183" s="118"/>
      <c r="U183" s="118"/>
      <c r="V183" s="118"/>
      <c r="W183" s="118"/>
      <c r="X183" s="118"/>
      <c r="Y183" s="118"/>
      <c r="Z183" s="118"/>
    </row>
    <row r="184" spans="1:26" s="213" customFormat="1">
      <c r="A184" s="208" t="s">
        <v>549</v>
      </c>
      <c r="B184" s="209">
        <f>COUNTA($B$1:B183)</f>
        <v>175</v>
      </c>
      <c r="C184" s="210" t="s">
        <v>897</v>
      </c>
      <c r="D184" s="211"/>
      <c r="E184" s="212"/>
      <c r="F184" s="209"/>
      <c r="G184" s="210" t="s">
        <v>127</v>
      </c>
      <c r="H184" s="210"/>
      <c r="I184" s="210" t="s">
        <v>55</v>
      </c>
      <c r="J184" s="210" t="s">
        <v>898</v>
      </c>
      <c r="K184" s="209">
        <v>0</v>
      </c>
      <c r="L184" s="210" t="s">
        <v>98</v>
      </c>
      <c r="M184" s="210"/>
      <c r="N184" s="210" t="s">
        <v>99</v>
      </c>
      <c r="O184" s="210"/>
      <c r="P184" s="210"/>
      <c r="Q184" s="210"/>
      <c r="R184" s="210">
        <f>S145</f>
        <v>0</v>
      </c>
      <c r="S184" s="212"/>
      <c r="T184" s="210" t="s">
        <v>2</v>
      </c>
      <c r="U184" s="210"/>
      <c r="V184" s="210"/>
      <c r="W184" s="210"/>
      <c r="X184" s="212"/>
      <c r="Y184" s="212"/>
      <c r="Z184" s="212"/>
    </row>
    <row r="185" spans="1:26" s="213" customFormat="1">
      <c r="A185" s="208" t="s">
        <v>549</v>
      </c>
      <c r="B185" s="209">
        <f>COUNTA($B$1:B184)</f>
        <v>176</v>
      </c>
      <c r="C185" s="210" t="s">
        <v>297</v>
      </c>
      <c r="D185" s="215"/>
      <c r="E185" s="212"/>
      <c r="F185" s="209"/>
      <c r="G185" s="210" t="s">
        <v>127</v>
      </c>
      <c r="H185" s="210"/>
      <c r="I185" s="210" t="s">
        <v>55</v>
      </c>
      <c r="J185" s="210" t="s">
        <v>298</v>
      </c>
      <c r="K185" s="209">
        <v>0</v>
      </c>
      <c r="L185" s="210" t="s">
        <v>98</v>
      </c>
      <c r="M185" s="214"/>
      <c r="N185" s="210" t="s">
        <v>99</v>
      </c>
      <c r="O185" s="210"/>
      <c r="P185" s="210"/>
      <c r="Q185" s="210"/>
      <c r="R185" s="210">
        <f t="shared" ref="R185:R189" si="1">S146</f>
        <v>0</v>
      </c>
      <c r="S185" s="210"/>
      <c r="T185" s="210" t="s">
        <v>2</v>
      </c>
      <c r="U185" s="210"/>
      <c r="V185" s="210"/>
      <c r="W185" s="210"/>
      <c r="X185" s="210"/>
      <c r="Y185" s="210"/>
      <c r="Z185" s="210"/>
    </row>
    <row r="186" spans="1:26" s="213" customFormat="1">
      <c r="A186" s="208" t="s">
        <v>549</v>
      </c>
      <c r="B186" s="209">
        <f>COUNTA($B$1:B185)</f>
        <v>177</v>
      </c>
      <c r="C186" s="210" t="s">
        <v>299</v>
      </c>
      <c r="D186" s="215"/>
      <c r="E186" s="212"/>
      <c r="F186" s="209"/>
      <c r="G186" s="210" t="s">
        <v>127</v>
      </c>
      <c r="H186" s="210"/>
      <c r="I186" s="210" t="s">
        <v>55</v>
      </c>
      <c r="J186" s="210" t="s">
        <v>300</v>
      </c>
      <c r="K186" s="209">
        <v>0</v>
      </c>
      <c r="L186" s="210" t="s">
        <v>98</v>
      </c>
      <c r="M186" s="214"/>
      <c r="N186" s="210" t="s">
        <v>99</v>
      </c>
      <c r="O186" s="210"/>
      <c r="P186" s="210"/>
      <c r="Q186" s="210"/>
      <c r="R186" s="210">
        <f t="shared" si="1"/>
        <v>0</v>
      </c>
      <c r="S186" s="210"/>
      <c r="T186" s="210" t="s">
        <v>2</v>
      </c>
      <c r="U186" s="210"/>
      <c r="V186" s="210"/>
      <c r="W186" s="210"/>
      <c r="X186" s="210"/>
      <c r="Y186" s="210"/>
      <c r="Z186" s="210"/>
    </row>
    <row r="187" spans="1:26" s="213" customFormat="1">
      <c r="A187" s="208" t="s">
        <v>549</v>
      </c>
      <c r="B187" s="209">
        <f>COUNTA($B$1:B186)</f>
        <v>178</v>
      </c>
      <c r="C187" s="210" t="s">
        <v>903</v>
      </c>
      <c r="D187" s="215"/>
      <c r="E187" s="212"/>
      <c r="F187" s="209"/>
      <c r="G187" s="210" t="s">
        <v>127</v>
      </c>
      <c r="H187" s="210"/>
      <c r="I187" s="210" t="s">
        <v>55</v>
      </c>
      <c r="J187" s="210" t="s">
        <v>899</v>
      </c>
      <c r="K187" s="209">
        <v>0</v>
      </c>
      <c r="L187" s="210" t="s">
        <v>98</v>
      </c>
      <c r="M187" s="214"/>
      <c r="N187" s="210" t="s">
        <v>99</v>
      </c>
      <c r="O187" s="210"/>
      <c r="P187" s="210"/>
      <c r="Q187" s="210"/>
      <c r="R187" s="210">
        <f t="shared" si="1"/>
        <v>0</v>
      </c>
      <c r="S187" s="210"/>
      <c r="T187" s="210" t="s">
        <v>2</v>
      </c>
      <c r="U187" s="210"/>
      <c r="V187" s="210"/>
      <c r="W187" s="210"/>
      <c r="X187" s="210"/>
      <c r="Y187" s="210"/>
      <c r="Z187" s="210"/>
    </row>
    <row r="188" spans="1:26" s="213" customFormat="1">
      <c r="A188" s="208" t="s">
        <v>549</v>
      </c>
      <c r="B188" s="209">
        <f>COUNTA($B$1:B187)</f>
        <v>179</v>
      </c>
      <c r="C188" s="210" t="s">
        <v>301</v>
      </c>
      <c r="D188" s="215"/>
      <c r="E188" s="212"/>
      <c r="F188" s="209"/>
      <c r="G188" s="210" t="s">
        <v>127</v>
      </c>
      <c r="H188" s="210"/>
      <c r="I188" s="210" t="s">
        <v>55</v>
      </c>
      <c r="J188" s="210" t="s">
        <v>107</v>
      </c>
      <c r="K188" s="209">
        <v>0</v>
      </c>
      <c r="L188" s="210" t="s">
        <v>98</v>
      </c>
      <c r="M188" s="214"/>
      <c r="N188" s="210" t="s">
        <v>99</v>
      </c>
      <c r="O188" s="210"/>
      <c r="P188" s="210"/>
      <c r="Q188" s="210"/>
      <c r="R188" s="210">
        <f t="shared" si="1"/>
        <v>0</v>
      </c>
      <c r="S188" s="210"/>
      <c r="T188" s="210" t="s">
        <v>2</v>
      </c>
      <c r="U188" s="210"/>
      <c r="V188" s="210"/>
      <c r="W188" s="210"/>
      <c r="X188" s="210"/>
      <c r="Y188" s="210"/>
      <c r="Z188" s="210"/>
    </row>
    <row r="189" spans="1:26" s="213" customFormat="1">
      <c r="A189" s="208" t="s">
        <v>549</v>
      </c>
      <c r="B189" s="209">
        <f>COUNTA($B$1:B188)</f>
        <v>180</v>
      </c>
      <c r="C189" s="210" t="s">
        <v>924</v>
      </c>
      <c r="D189" s="215"/>
      <c r="E189" s="212"/>
      <c r="F189" s="209"/>
      <c r="G189" s="210" t="s">
        <v>127</v>
      </c>
      <c r="H189" s="210"/>
      <c r="I189" s="210" t="s">
        <v>55</v>
      </c>
      <c r="J189" s="210" t="s">
        <v>838</v>
      </c>
      <c r="K189" s="209">
        <v>0</v>
      </c>
      <c r="L189" s="210" t="s">
        <v>98</v>
      </c>
      <c r="M189" s="214"/>
      <c r="N189" s="210" t="s">
        <v>99</v>
      </c>
      <c r="O189" s="210"/>
      <c r="P189" s="210"/>
      <c r="Q189" s="210"/>
      <c r="R189" s="210">
        <f t="shared" si="1"/>
        <v>0</v>
      </c>
      <c r="S189" s="210"/>
      <c r="T189" s="210" t="s">
        <v>2</v>
      </c>
      <c r="U189" s="210"/>
      <c r="V189" s="210"/>
      <c r="W189" s="210"/>
      <c r="X189" s="210"/>
      <c r="Y189" s="210"/>
      <c r="Z189" s="210"/>
    </row>
    <row r="190" spans="1:26" s="213" customFormat="1">
      <c r="A190" s="208" t="s">
        <v>549</v>
      </c>
      <c r="B190" s="209">
        <f>COUNTA($B$1:B189)</f>
        <v>181</v>
      </c>
      <c r="C190" s="210" t="s">
        <v>925</v>
      </c>
      <c r="D190" s="211"/>
      <c r="E190" s="212" t="s">
        <v>154</v>
      </c>
      <c r="F190" s="209"/>
      <c r="G190" s="210" t="s">
        <v>127</v>
      </c>
      <c r="H190" s="210"/>
      <c r="I190" s="210" t="s">
        <v>55</v>
      </c>
      <c r="J190" s="210" t="s">
        <v>911</v>
      </c>
      <c r="K190" s="209">
        <v>0</v>
      </c>
      <c r="L190" s="210" t="s">
        <v>98</v>
      </c>
      <c r="M190" s="214"/>
      <c r="N190" s="210" t="s">
        <v>99</v>
      </c>
      <c r="O190" s="210"/>
      <c r="P190" s="210"/>
      <c r="Q190" s="210"/>
      <c r="R190" s="216"/>
      <c r="S190" s="212"/>
      <c r="T190" s="210"/>
      <c r="U190" s="210"/>
      <c r="V190" s="210"/>
      <c r="W190" s="210"/>
      <c r="X190" s="210"/>
      <c r="Y190" s="210"/>
      <c r="Z190" s="210"/>
    </row>
    <row r="191" spans="1:26" s="213" customFormat="1">
      <c r="A191" s="208" t="s">
        <v>549</v>
      </c>
      <c r="B191" s="209">
        <f>COUNTA($B$1:B190)</f>
        <v>182</v>
      </c>
      <c r="C191" s="210" t="s">
        <v>926</v>
      </c>
      <c r="D191" s="211"/>
      <c r="E191" s="212" t="s">
        <v>154</v>
      </c>
      <c r="F191" s="209"/>
      <c r="G191" s="210" t="s">
        <v>127</v>
      </c>
      <c r="H191" s="210"/>
      <c r="I191" s="210" t="s">
        <v>55</v>
      </c>
      <c r="J191" s="210" t="s">
        <v>911</v>
      </c>
      <c r="K191" s="209">
        <v>1</v>
      </c>
      <c r="L191" s="210" t="s">
        <v>98</v>
      </c>
      <c r="M191" s="214"/>
      <c r="N191" s="210" t="s">
        <v>99</v>
      </c>
      <c r="O191" s="210"/>
      <c r="P191" s="210"/>
      <c r="Q191" s="210"/>
      <c r="R191" s="216"/>
      <c r="S191" s="212"/>
      <c r="T191" s="210"/>
      <c r="U191" s="210"/>
      <c r="V191" s="210"/>
      <c r="W191" s="210"/>
      <c r="X191" s="210"/>
      <c r="Y191" s="210"/>
      <c r="Z191" s="210"/>
    </row>
    <row r="192" spans="1:26" s="213" customFormat="1">
      <c r="A192" s="208" t="s">
        <v>549</v>
      </c>
      <c r="B192" s="209">
        <f>COUNTA($B$1:B191)</f>
        <v>183</v>
      </c>
      <c r="C192" s="210" t="s">
        <v>927</v>
      </c>
      <c r="D192" s="211"/>
      <c r="E192" s="212" t="s">
        <v>154</v>
      </c>
      <c r="F192" s="209"/>
      <c r="G192" s="210" t="s">
        <v>127</v>
      </c>
      <c r="H192" s="210"/>
      <c r="I192" s="210" t="s">
        <v>55</v>
      </c>
      <c r="J192" s="210" t="s">
        <v>911</v>
      </c>
      <c r="K192" s="209">
        <v>2</v>
      </c>
      <c r="L192" s="210" t="s">
        <v>98</v>
      </c>
      <c r="M192" s="214"/>
      <c r="N192" s="210" t="s">
        <v>99</v>
      </c>
      <c r="O192" s="210"/>
      <c r="P192" s="210"/>
      <c r="Q192" s="210"/>
      <c r="R192" s="216"/>
      <c r="S192" s="212"/>
      <c r="T192" s="210"/>
      <c r="U192" s="210"/>
      <c r="V192" s="210"/>
      <c r="W192" s="210"/>
      <c r="X192" s="210"/>
      <c r="Y192" s="210"/>
      <c r="Z192" s="210"/>
    </row>
    <row r="193" spans="1:26" s="213" customFormat="1">
      <c r="A193" s="208" t="s">
        <v>549</v>
      </c>
      <c r="B193" s="209">
        <f>COUNTA($B$1:B192)</f>
        <v>184</v>
      </c>
      <c r="C193" s="210" t="s">
        <v>908</v>
      </c>
      <c r="D193" s="211"/>
      <c r="E193" s="212" t="s">
        <v>154</v>
      </c>
      <c r="F193" s="209"/>
      <c r="G193" s="210" t="s">
        <v>127</v>
      </c>
      <c r="H193" s="210"/>
      <c r="I193" s="210" t="s">
        <v>55</v>
      </c>
      <c r="J193" s="210" t="s">
        <v>911</v>
      </c>
      <c r="K193" s="209">
        <v>3</v>
      </c>
      <c r="L193" s="210" t="s">
        <v>98</v>
      </c>
      <c r="M193" s="214"/>
      <c r="N193" s="210" t="s">
        <v>99</v>
      </c>
      <c r="O193" s="210"/>
      <c r="P193" s="210"/>
      <c r="Q193" s="210"/>
      <c r="R193" s="216"/>
      <c r="S193" s="212"/>
      <c r="T193" s="210"/>
      <c r="U193" s="210"/>
      <c r="V193" s="210"/>
      <c r="W193" s="210"/>
      <c r="X193" s="210"/>
      <c r="Y193" s="210"/>
      <c r="Z193" s="210"/>
    </row>
    <row r="194" spans="1:26" s="213" customFormat="1">
      <c r="A194" s="208" t="s">
        <v>549</v>
      </c>
      <c r="B194" s="209">
        <f>COUNTA($B$1:B193)</f>
        <v>185</v>
      </c>
      <c r="C194" s="210" t="s">
        <v>909</v>
      </c>
      <c r="D194" s="211"/>
      <c r="E194" s="212" t="s">
        <v>154</v>
      </c>
      <c r="F194" s="209"/>
      <c r="G194" s="210" t="s">
        <v>127</v>
      </c>
      <c r="H194" s="210"/>
      <c r="I194" s="210" t="s">
        <v>55</v>
      </c>
      <c r="J194" s="210" t="s">
        <v>911</v>
      </c>
      <c r="K194" s="209">
        <v>4</v>
      </c>
      <c r="L194" s="210" t="s">
        <v>98</v>
      </c>
      <c r="M194" s="214"/>
      <c r="N194" s="210" t="s">
        <v>99</v>
      </c>
      <c r="O194" s="210"/>
      <c r="P194" s="210"/>
      <c r="Q194" s="210"/>
      <c r="R194" s="216"/>
      <c r="S194" s="212"/>
      <c r="T194" s="210"/>
      <c r="U194" s="210"/>
      <c r="V194" s="210"/>
      <c r="W194" s="210"/>
      <c r="X194" s="210"/>
      <c r="Y194" s="210"/>
      <c r="Z194" s="210"/>
    </row>
    <row r="195" spans="1:26" s="213" customFormat="1">
      <c r="A195" s="208" t="s">
        <v>549</v>
      </c>
      <c r="B195" s="209">
        <f>COUNTA($B$1:B194)</f>
        <v>186</v>
      </c>
      <c r="C195" s="210" t="s">
        <v>928</v>
      </c>
      <c r="D195" s="211"/>
      <c r="E195" s="212" t="s">
        <v>154</v>
      </c>
      <c r="F195" s="209"/>
      <c r="G195" s="210" t="s">
        <v>127</v>
      </c>
      <c r="H195" s="210"/>
      <c r="I195" s="210" t="s">
        <v>55</v>
      </c>
      <c r="J195" s="210" t="s">
        <v>911</v>
      </c>
      <c r="K195" s="209">
        <v>5</v>
      </c>
      <c r="L195" s="210" t="s">
        <v>98</v>
      </c>
      <c r="M195" s="214"/>
      <c r="N195" s="210" t="s">
        <v>99</v>
      </c>
      <c r="O195" s="210"/>
      <c r="P195" s="210"/>
      <c r="Q195" s="210"/>
      <c r="R195" s="216"/>
      <c r="S195" s="212"/>
      <c r="T195" s="210"/>
      <c r="U195" s="210"/>
      <c r="V195" s="210"/>
      <c r="W195" s="210"/>
      <c r="X195" s="210"/>
      <c r="Y195" s="210"/>
      <c r="Z195" s="210"/>
    </row>
    <row r="196" spans="1:26" s="213" customFormat="1">
      <c r="A196" s="208" t="s">
        <v>549</v>
      </c>
      <c r="B196" s="209">
        <f>COUNTA($B$1:B195)</f>
        <v>187</v>
      </c>
      <c r="C196" s="210" t="s">
        <v>929</v>
      </c>
      <c r="D196" s="211"/>
      <c r="E196" s="212" t="s">
        <v>154</v>
      </c>
      <c r="F196" s="209"/>
      <c r="G196" s="210" t="s">
        <v>127</v>
      </c>
      <c r="H196" s="210"/>
      <c r="I196" s="210" t="s">
        <v>55</v>
      </c>
      <c r="J196" s="210" t="s">
        <v>911</v>
      </c>
      <c r="K196" s="209">
        <v>6</v>
      </c>
      <c r="L196" s="210" t="s">
        <v>98</v>
      </c>
      <c r="M196" s="214"/>
      <c r="N196" s="210" t="s">
        <v>99</v>
      </c>
      <c r="O196" s="210"/>
      <c r="P196" s="210"/>
      <c r="Q196" s="210"/>
      <c r="R196" s="216"/>
      <c r="S196" s="212"/>
      <c r="T196" s="210"/>
      <c r="U196" s="210"/>
      <c r="V196" s="210"/>
      <c r="W196" s="210"/>
      <c r="X196" s="210"/>
      <c r="Y196" s="210"/>
      <c r="Z196" s="210"/>
    </row>
    <row r="197" spans="1:26" s="213" customFormat="1">
      <c r="A197" s="208" t="s">
        <v>549</v>
      </c>
      <c r="B197" s="209">
        <f>COUNTA($B$1:B196)</f>
        <v>188</v>
      </c>
      <c r="C197" s="210" t="s">
        <v>310</v>
      </c>
      <c r="D197" s="215"/>
      <c r="E197" s="212"/>
      <c r="F197" s="209"/>
      <c r="G197" s="210" t="s">
        <v>127</v>
      </c>
      <c r="H197" s="210"/>
      <c r="I197" s="210" t="s">
        <v>55</v>
      </c>
      <c r="J197" s="210" t="s">
        <v>574</v>
      </c>
      <c r="K197" s="209">
        <v>0</v>
      </c>
      <c r="L197" s="210" t="s">
        <v>98</v>
      </c>
      <c r="M197" s="214"/>
      <c r="N197" s="210" t="s">
        <v>99</v>
      </c>
      <c r="O197" s="210"/>
      <c r="P197" s="210"/>
      <c r="Q197" s="210"/>
      <c r="R197" s="210">
        <f>S178</f>
        <v>0</v>
      </c>
      <c r="S197" s="210"/>
      <c r="T197" s="210" t="s">
        <v>2</v>
      </c>
      <c r="U197" s="210"/>
      <c r="V197" s="210"/>
      <c r="W197" s="210"/>
      <c r="X197" s="210"/>
      <c r="Y197" s="210"/>
      <c r="Z197" s="210"/>
    </row>
    <row r="198" spans="1:26">
      <c r="A198" s="116" t="s">
        <v>549</v>
      </c>
      <c r="B198" s="117">
        <f>COUNTA($B$1:B197)</f>
        <v>189</v>
      </c>
      <c r="C198" s="118" t="s">
        <v>220</v>
      </c>
      <c r="D198" s="118"/>
      <c r="E198" s="118"/>
      <c r="F198" s="117"/>
      <c r="G198" s="118" t="s">
        <v>127</v>
      </c>
      <c r="H198" s="118"/>
      <c r="I198" s="118" t="s">
        <v>55</v>
      </c>
      <c r="J198" s="118" t="s">
        <v>221</v>
      </c>
      <c r="K198" s="117">
        <v>0</v>
      </c>
      <c r="L198" s="118" t="s">
        <v>0</v>
      </c>
      <c r="M198" s="82" t="s">
        <v>288</v>
      </c>
      <c r="N198" s="118"/>
      <c r="O198" s="118"/>
      <c r="P198" s="118"/>
      <c r="Q198" s="118"/>
      <c r="R198" s="128"/>
      <c r="S198" s="118"/>
      <c r="T198" s="118"/>
      <c r="U198" s="118"/>
      <c r="V198" s="118"/>
      <c r="W198" s="118"/>
      <c r="X198" s="118"/>
      <c r="Y198" s="118"/>
      <c r="Z198" s="118"/>
    </row>
    <row r="199" spans="1:26">
      <c r="A199" s="116" t="s">
        <v>549</v>
      </c>
      <c r="B199" s="117">
        <f>COUNTA($B$1:B198)</f>
        <v>190</v>
      </c>
      <c r="C199" s="118" t="s">
        <v>103</v>
      </c>
      <c r="D199" s="118"/>
      <c r="E199" s="118"/>
      <c r="F199" s="117"/>
      <c r="G199" s="118" t="s">
        <v>127</v>
      </c>
      <c r="H199" s="118"/>
      <c r="I199" s="118" t="s">
        <v>55</v>
      </c>
      <c r="J199" s="118" t="s">
        <v>105</v>
      </c>
      <c r="K199" s="117">
        <v>0</v>
      </c>
      <c r="L199" s="118" t="s">
        <v>0</v>
      </c>
      <c r="M199" s="82" t="s">
        <v>291</v>
      </c>
      <c r="N199" s="118"/>
      <c r="O199" s="118"/>
      <c r="P199" s="118"/>
      <c r="Q199" s="118"/>
      <c r="R199" s="128"/>
      <c r="S199" s="118"/>
      <c r="T199" s="118"/>
      <c r="U199" s="118"/>
      <c r="V199" s="118"/>
      <c r="W199" s="118"/>
      <c r="X199" s="118"/>
      <c r="Y199" s="118"/>
      <c r="Z199" s="118"/>
    </row>
    <row r="200" spans="1:26">
      <c r="A200" s="116" t="s">
        <v>549</v>
      </c>
      <c r="B200" s="117">
        <f>COUNTA($B$1:B199)</f>
        <v>191</v>
      </c>
      <c r="C200" s="188" t="s">
        <v>844</v>
      </c>
      <c r="D200" s="118"/>
      <c r="E200" s="118"/>
      <c r="F200" s="117"/>
      <c r="G200" s="118" t="s">
        <v>127</v>
      </c>
      <c r="H200" s="118"/>
      <c r="I200" s="118" t="s">
        <v>55</v>
      </c>
      <c r="J200" s="118" t="s">
        <v>83</v>
      </c>
      <c r="K200" s="117">
        <v>0</v>
      </c>
      <c r="L200" s="118" t="s">
        <v>0</v>
      </c>
      <c r="M200" s="82" t="s">
        <v>865</v>
      </c>
      <c r="N200" s="118"/>
      <c r="O200" s="118"/>
      <c r="P200" s="118"/>
      <c r="Q200" s="118"/>
      <c r="R200" s="128"/>
      <c r="S200" s="118"/>
      <c r="T200" s="118"/>
      <c r="U200" s="118"/>
      <c r="V200" s="118"/>
      <c r="W200" s="118"/>
      <c r="X200" s="118"/>
      <c r="Y200" s="118"/>
      <c r="Z200" s="118"/>
    </row>
    <row r="201" spans="1:26">
      <c r="A201" s="116" t="s">
        <v>549</v>
      </c>
      <c r="B201" s="117">
        <f>COUNTA($B$1:B200)</f>
        <v>192</v>
      </c>
      <c r="C201" s="118" t="s">
        <v>226</v>
      </c>
      <c r="D201" s="127"/>
      <c r="E201" s="128"/>
      <c r="F201" s="117"/>
      <c r="G201" s="118" t="s">
        <v>127</v>
      </c>
      <c r="H201" s="118"/>
      <c r="I201" s="118"/>
      <c r="J201" s="118"/>
      <c r="K201" s="117"/>
      <c r="L201" s="118" t="s">
        <v>227</v>
      </c>
      <c r="M201" s="119" t="s">
        <v>79</v>
      </c>
      <c r="N201" s="118"/>
      <c r="O201" s="118"/>
      <c r="P201" s="118"/>
      <c r="Q201" s="118"/>
      <c r="R201" s="118"/>
      <c r="S201" s="128"/>
      <c r="T201" s="118"/>
      <c r="U201" s="118"/>
      <c r="V201" s="118"/>
      <c r="W201" s="118"/>
      <c r="X201" s="128"/>
      <c r="Y201" s="128"/>
      <c r="Z201" s="128"/>
    </row>
    <row r="202" spans="1:26">
      <c r="A202" s="116" t="s">
        <v>549</v>
      </c>
      <c r="B202" s="117">
        <f>COUNTA($B$1:B201)</f>
        <v>193</v>
      </c>
      <c r="C202" s="118" t="s">
        <v>67</v>
      </c>
      <c r="D202" s="118"/>
      <c r="E202" s="118"/>
      <c r="F202" s="117"/>
      <c r="G202" s="118" t="s">
        <v>127</v>
      </c>
      <c r="H202" s="118"/>
      <c r="I202" s="118"/>
      <c r="J202" s="118"/>
      <c r="K202" s="117"/>
      <c r="L202" s="118" t="s">
        <v>67</v>
      </c>
      <c r="M202" s="119">
        <v>10</v>
      </c>
      <c r="N202" s="118"/>
      <c r="O202" s="118"/>
      <c r="P202" s="118"/>
      <c r="Q202" s="118"/>
      <c r="R202" s="119"/>
      <c r="S202" s="118"/>
      <c r="T202" s="118"/>
      <c r="U202" s="118"/>
      <c r="V202" s="118"/>
      <c r="W202" s="118"/>
      <c r="X202" s="118"/>
      <c r="Y202" s="118"/>
      <c r="Z202" s="118"/>
    </row>
    <row r="203" spans="1:26">
      <c r="A203" s="116" t="s">
        <v>549</v>
      </c>
      <c r="B203" s="117">
        <f>COUNTA($B$1:B202)</f>
        <v>194</v>
      </c>
      <c r="C203" s="118" t="s">
        <v>417</v>
      </c>
      <c r="D203" s="118"/>
      <c r="E203" s="118"/>
      <c r="F203" s="117"/>
      <c r="G203" s="118" t="s">
        <v>127</v>
      </c>
      <c r="H203" s="118"/>
      <c r="I203" s="118" t="s">
        <v>55</v>
      </c>
      <c r="J203" s="118" t="s">
        <v>418</v>
      </c>
      <c r="K203" s="117">
        <v>0</v>
      </c>
      <c r="L203" s="118" t="s">
        <v>147</v>
      </c>
      <c r="M203" s="119"/>
      <c r="N203" s="118"/>
      <c r="O203" s="118"/>
      <c r="P203" s="118"/>
      <c r="Q203" s="118"/>
      <c r="R203" s="118"/>
      <c r="S203" s="128"/>
      <c r="T203" s="118"/>
      <c r="U203" s="118"/>
      <c r="V203" s="118"/>
      <c r="W203" s="118"/>
      <c r="X203" s="128"/>
      <c r="Y203" s="128"/>
      <c r="Z203" s="128"/>
    </row>
    <row r="204" spans="1:26">
      <c r="A204" s="116" t="s">
        <v>549</v>
      </c>
      <c r="B204" s="117">
        <f>COUNTA($B$1:B203)</f>
        <v>195</v>
      </c>
      <c r="C204" s="118" t="s">
        <v>67</v>
      </c>
      <c r="D204" s="118"/>
      <c r="E204" s="118"/>
      <c r="F204" s="117"/>
      <c r="G204" s="118" t="s">
        <v>127</v>
      </c>
      <c r="H204" s="118"/>
      <c r="I204" s="118"/>
      <c r="J204" s="118"/>
      <c r="K204" s="117"/>
      <c r="L204" s="118" t="s">
        <v>67</v>
      </c>
      <c r="M204" s="119">
        <v>5</v>
      </c>
      <c r="N204" s="118"/>
      <c r="O204" s="118"/>
      <c r="P204" s="118"/>
      <c r="Q204" s="118"/>
      <c r="R204" s="119"/>
      <c r="S204" s="118"/>
      <c r="T204" s="118"/>
      <c r="U204" s="118"/>
      <c r="V204" s="118"/>
      <c r="W204" s="118"/>
      <c r="X204" s="118"/>
      <c r="Y204" s="118"/>
      <c r="Z204" s="118"/>
    </row>
    <row r="205" spans="1:26">
      <c r="A205" s="116" t="s">
        <v>549</v>
      </c>
      <c r="B205" s="117">
        <f>COUNTA($B$1:B204)</f>
        <v>196</v>
      </c>
      <c r="C205" s="188" t="s">
        <v>846</v>
      </c>
      <c r="D205" s="127"/>
      <c r="E205" s="128"/>
      <c r="F205" s="117"/>
      <c r="G205" s="118" t="s">
        <v>127</v>
      </c>
      <c r="H205" s="118"/>
      <c r="I205" s="118" t="s">
        <v>55</v>
      </c>
      <c r="J205" s="118" t="s">
        <v>847</v>
      </c>
      <c r="K205" s="117">
        <v>0</v>
      </c>
      <c r="L205" s="118" t="s">
        <v>98</v>
      </c>
      <c r="M205" s="119"/>
      <c r="N205" s="118" t="s">
        <v>99</v>
      </c>
      <c r="O205" s="118"/>
      <c r="P205" s="118"/>
      <c r="Q205" s="118"/>
      <c r="R205" s="119"/>
      <c r="S205" s="118"/>
      <c r="T205" s="118"/>
      <c r="U205" s="118"/>
      <c r="V205" s="118"/>
      <c r="W205" s="118"/>
      <c r="X205" s="118"/>
      <c r="Y205" s="118"/>
      <c r="Z205" s="118"/>
    </row>
    <row r="206" spans="1:26">
      <c r="A206" s="116" t="s">
        <v>549</v>
      </c>
      <c r="B206" s="117">
        <f>COUNTA($B$1:B205)</f>
        <v>197</v>
      </c>
      <c r="C206" s="118" t="s">
        <v>190</v>
      </c>
      <c r="D206" s="118"/>
      <c r="E206" s="118"/>
      <c r="F206" s="117"/>
      <c r="G206" s="118" t="s">
        <v>127</v>
      </c>
      <c r="H206" s="118"/>
      <c r="I206" s="118" t="s">
        <v>55</v>
      </c>
      <c r="J206" s="118" t="s">
        <v>87</v>
      </c>
      <c r="K206" s="117">
        <v>0</v>
      </c>
      <c r="L206" s="118" t="s">
        <v>147</v>
      </c>
      <c r="M206" s="119"/>
      <c r="N206" s="118"/>
      <c r="O206" s="118"/>
      <c r="P206" s="118"/>
      <c r="Q206" s="118"/>
      <c r="R206" s="118"/>
      <c r="S206" s="128"/>
      <c r="T206" s="118"/>
      <c r="U206" s="118"/>
      <c r="V206" s="118"/>
      <c r="W206" s="118"/>
      <c r="X206" s="128"/>
      <c r="Y206" s="128"/>
      <c r="Z206" s="128"/>
    </row>
    <row r="207" spans="1:26">
      <c r="A207" s="116" t="s">
        <v>549</v>
      </c>
      <c r="B207" s="117">
        <f>COUNTA($B$1:B206)</f>
        <v>198</v>
      </c>
      <c r="C207" s="118" t="s">
        <v>67</v>
      </c>
      <c r="D207" s="118"/>
      <c r="E207" s="118"/>
      <c r="F207" s="117"/>
      <c r="G207" s="118" t="s">
        <v>127</v>
      </c>
      <c r="H207" s="118"/>
      <c r="I207" s="118"/>
      <c r="J207" s="118"/>
      <c r="K207" s="117"/>
      <c r="L207" s="118" t="s">
        <v>67</v>
      </c>
      <c r="M207" s="119">
        <v>10</v>
      </c>
      <c r="N207" s="118"/>
      <c r="O207" s="118"/>
      <c r="P207" s="118"/>
      <c r="Q207" s="118"/>
      <c r="R207" s="119"/>
      <c r="S207" s="118"/>
      <c r="T207" s="118"/>
      <c r="U207" s="118"/>
      <c r="V207" s="118"/>
      <c r="W207" s="118"/>
      <c r="X207" s="118"/>
      <c r="Y207" s="118"/>
      <c r="Z207" s="118"/>
    </row>
    <row r="208" spans="1:26" s="131" customFormat="1">
      <c r="A208" s="116" t="s">
        <v>549</v>
      </c>
      <c r="B208" s="117">
        <f>COUNTA($B$1:B207)</f>
        <v>199</v>
      </c>
      <c r="C208" s="118" t="s">
        <v>805</v>
      </c>
      <c r="D208" s="127"/>
      <c r="E208" s="128"/>
      <c r="F208" s="117"/>
      <c r="G208" s="118" t="s">
        <v>127</v>
      </c>
      <c r="H208" s="118"/>
      <c r="I208" s="118" t="s">
        <v>55</v>
      </c>
      <c r="J208" s="118" t="s">
        <v>807</v>
      </c>
      <c r="K208" s="117"/>
      <c r="L208" s="118" t="s">
        <v>98</v>
      </c>
      <c r="M208" s="119"/>
      <c r="N208" s="118" t="s">
        <v>99</v>
      </c>
      <c r="O208" s="118"/>
      <c r="P208" s="118"/>
      <c r="Q208" s="118"/>
      <c r="R208" s="119" t="s">
        <v>806</v>
      </c>
      <c r="S208" s="118"/>
      <c r="T208" s="118" t="s">
        <v>2</v>
      </c>
      <c r="U208" s="118"/>
      <c r="V208" s="118"/>
      <c r="W208" s="118"/>
      <c r="X208" s="118"/>
      <c r="Y208" s="118"/>
      <c r="Z208" s="118"/>
    </row>
    <row r="209" spans="1:26">
      <c r="A209" s="116" t="s">
        <v>549</v>
      </c>
      <c r="B209" s="117">
        <f>COUNTA($B$1:B208)</f>
        <v>200</v>
      </c>
      <c r="C209" s="118" t="s">
        <v>228</v>
      </c>
      <c r="D209" s="118"/>
      <c r="E209" s="118"/>
      <c r="F209" s="117"/>
      <c r="G209" s="118" t="s">
        <v>127</v>
      </c>
      <c r="H209" s="118"/>
      <c r="I209" s="118" t="s">
        <v>55</v>
      </c>
      <c r="J209" s="118" t="s">
        <v>229</v>
      </c>
      <c r="K209" s="117">
        <v>0</v>
      </c>
      <c r="L209" s="118" t="s">
        <v>0</v>
      </c>
      <c r="M209" s="82" t="s">
        <v>230</v>
      </c>
      <c r="N209" s="118"/>
      <c r="O209" s="118"/>
      <c r="P209" s="118"/>
      <c r="Q209" s="118"/>
      <c r="R209" s="128"/>
      <c r="S209" s="118"/>
      <c r="T209" s="118"/>
      <c r="U209" s="118"/>
      <c r="V209" s="118"/>
      <c r="W209" s="118"/>
      <c r="X209" s="118"/>
      <c r="Y209" s="118"/>
      <c r="Z209" s="118"/>
    </row>
    <row r="210" spans="1:26">
      <c r="A210" s="116" t="s">
        <v>549</v>
      </c>
      <c r="B210" s="117">
        <f>COUNTA($B$1:B209)</f>
        <v>201</v>
      </c>
      <c r="C210" s="118" t="s">
        <v>89</v>
      </c>
      <c r="D210" s="118"/>
      <c r="E210" s="118"/>
      <c r="F210" s="117"/>
      <c r="G210" s="118" t="s">
        <v>127</v>
      </c>
      <c r="H210" s="118"/>
      <c r="I210" s="118" t="s">
        <v>55</v>
      </c>
      <c r="J210" s="118" t="s">
        <v>231</v>
      </c>
      <c r="K210" s="117">
        <v>0</v>
      </c>
      <c r="L210" s="118" t="s">
        <v>0</v>
      </c>
      <c r="M210" s="82" t="s">
        <v>816</v>
      </c>
      <c r="N210" s="118"/>
      <c r="O210" s="118"/>
      <c r="P210" s="118"/>
      <c r="Q210" s="118"/>
      <c r="R210" s="128"/>
      <c r="S210" s="118"/>
      <c r="T210" s="118"/>
      <c r="U210" s="118"/>
      <c r="V210" s="118"/>
      <c r="W210" s="118"/>
      <c r="X210" s="118"/>
      <c r="Y210" s="118"/>
      <c r="Z210" s="118"/>
    </row>
    <row r="211" spans="1:26" s="183" customFormat="1" outlineLevel="1">
      <c r="A211" s="116" t="s">
        <v>549</v>
      </c>
      <c r="B211" s="117">
        <f>COUNTA($B$1:B210)</f>
        <v>202</v>
      </c>
      <c r="C211" s="118" t="s">
        <v>232</v>
      </c>
      <c r="D211" s="118"/>
      <c r="E211" s="118"/>
      <c r="F211" s="117"/>
      <c r="G211" s="118" t="s">
        <v>127</v>
      </c>
      <c r="H211" s="118"/>
      <c r="I211" s="118" t="s">
        <v>55</v>
      </c>
      <c r="J211" s="118" t="s">
        <v>233</v>
      </c>
      <c r="K211" s="117">
        <v>0</v>
      </c>
      <c r="L211" s="118" t="s">
        <v>0</v>
      </c>
      <c r="M211" s="82" t="s">
        <v>818</v>
      </c>
      <c r="N211" s="118"/>
      <c r="O211" s="118"/>
      <c r="P211" s="118"/>
      <c r="Q211" s="118"/>
      <c r="R211" s="128"/>
      <c r="S211" s="118"/>
      <c r="T211" s="118"/>
      <c r="U211" s="118"/>
      <c r="V211" s="118"/>
      <c r="W211" s="118"/>
      <c r="X211" s="118"/>
      <c r="Y211" s="118"/>
      <c r="Z211" s="118"/>
    </row>
    <row r="212" spans="1:26">
      <c r="A212" s="116" t="s">
        <v>549</v>
      </c>
      <c r="B212" s="117">
        <f>COUNTA($B$1:B211)</f>
        <v>203</v>
      </c>
      <c r="C212" s="118" t="s">
        <v>235</v>
      </c>
      <c r="D212" s="118"/>
      <c r="E212" s="118"/>
      <c r="F212" s="117"/>
      <c r="G212" s="118" t="s">
        <v>127</v>
      </c>
      <c r="H212" s="118"/>
      <c r="I212" s="118" t="s">
        <v>55</v>
      </c>
      <c r="J212" s="118" t="s">
        <v>236</v>
      </c>
      <c r="K212" s="117">
        <v>0</v>
      </c>
      <c r="L212" s="118" t="s">
        <v>0</v>
      </c>
      <c r="M212" s="82" t="s">
        <v>282</v>
      </c>
      <c r="N212" s="118"/>
      <c r="O212" s="118"/>
      <c r="P212" s="118"/>
      <c r="Q212" s="118"/>
      <c r="R212" s="128"/>
      <c r="S212" s="118"/>
      <c r="T212" s="118"/>
      <c r="U212" s="118"/>
      <c r="V212" s="118"/>
      <c r="W212" s="118"/>
      <c r="X212" s="118"/>
      <c r="Y212" s="118"/>
      <c r="Z212" s="118"/>
    </row>
    <row r="213" spans="1:26">
      <c r="A213" s="116" t="s">
        <v>549</v>
      </c>
      <c r="B213" s="117">
        <f>COUNTA($B$1:B212)</f>
        <v>204</v>
      </c>
      <c r="C213" s="118" t="s">
        <v>238</v>
      </c>
      <c r="D213" s="118"/>
      <c r="E213" s="118"/>
      <c r="F213" s="117"/>
      <c r="G213" s="118" t="s">
        <v>127</v>
      </c>
      <c r="H213" s="118"/>
      <c r="I213" s="118" t="s">
        <v>55</v>
      </c>
      <c r="J213" s="118" t="s">
        <v>90</v>
      </c>
      <c r="K213" s="117">
        <v>0</v>
      </c>
      <c r="L213" s="118" t="s">
        <v>0</v>
      </c>
      <c r="M213" s="82" t="s">
        <v>283</v>
      </c>
      <c r="N213" s="118"/>
      <c r="O213" s="118"/>
      <c r="P213" s="118"/>
      <c r="Q213" s="118"/>
      <c r="R213" s="128"/>
      <c r="S213" s="118"/>
      <c r="T213" s="118"/>
      <c r="U213" s="118"/>
      <c r="V213" s="118"/>
      <c r="W213" s="118"/>
      <c r="X213" s="118"/>
      <c r="Y213" s="118"/>
      <c r="Z213" s="118"/>
    </row>
    <row r="214" spans="1:26">
      <c r="A214" s="116" t="s">
        <v>549</v>
      </c>
      <c r="B214" s="117">
        <f>COUNTA($B$1:B213)</f>
        <v>205</v>
      </c>
      <c r="C214" s="118" t="s">
        <v>226</v>
      </c>
      <c r="D214" s="127"/>
      <c r="E214" s="128"/>
      <c r="F214" s="117"/>
      <c r="G214" s="118" t="s">
        <v>127</v>
      </c>
      <c r="H214" s="118"/>
      <c r="I214" s="118"/>
      <c r="J214" s="118"/>
      <c r="K214" s="117"/>
      <c r="L214" s="118" t="s">
        <v>227</v>
      </c>
      <c r="M214" s="119" t="s">
        <v>79</v>
      </c>
      <c r="N214" s="118"/>
      <c r="O214" s="118"/>
      <c r="P214" s="118"/>
      <c r="Q214" s="118"/>
      <c r="R214" s="118"/>
      <c r="S214" s="118"/>
      <c r="T214" s="118"/>
      <c r="U214" s="118"/>
      <c r="V214" s="118"/>
      <c r="W214" s="118"/>
      <c r="X214" s="118"/>
      <c r="Y214" s="118"/>
      <c r="Z214" s="118"/>
    </row>
    <row r="215" spans="1:26" s="184" customFormat="1">
      <c r="A215" s="116" t="s">
        <v>549</v>
      </c>
      <c r="B215" s="117">
        <f>COUNTA($B$1:B214)</f>
        <v>206</v>
      </c>
      <c r="C215" s="118" t="s">
        <v>190</v>
      </c>
      <c r="D215" s="118"/>
      <c r="E215" s="118"/>
      <c r="F215" s="117"/>
      <c r="G215" s="118" t="s">
        <v>127</v>
      </c>
      <c r="H215" s="118"/>
      <c r="I215" s="118" t="s">
        <v>55</v>
      </c>
      <c r="J215" s="118" t="s">
        <v>87</v>
      </c>
      <c r="K215" s="117">
        <v>0</v>
      </c>
      <c r="L215" s="118" t="s">
        <v>147</v>
      </c>
      <c r="M215" s="119"/>
      <c r="N215" s="118"/>
      <c r="O215" s="118"/>
      <c r="P215" s="118"/>
      <c r="Q215" s="118"/>
      <c r="R215" s="118"/>
      <c r="S215" s="118"/>
      <c r="T215" s="118"/>
      <c r="U215" s="118"/>
      <c r="V215" s="118"/>
      <c r="W215" s="118"/>
      <c r="X215" s="118"/>
      <c r="Y215" s="118"/>
      <c r="Z215" s="118"/>
    </row>
    <row r="216" spans="1:26" s="131" customFormat="1">
      <c r="A216" s="116" t="s">
        <v>549</v>
      </c>
      <c r="B216" s="117">
        <f>COUNTA($B$1:B215)</f>
        <v>207</v>
      </c>
      <c r="C216" s="118" t="s">
        <v>67</v>
      </c>
      <c r="D216" s="118"/>
      <c r="E216" s="118"/>
      <c r="F216" s="117"/>
      <c r="G216" s="118" t="s">
        <v>127</v>
      </c>
      <c r="H216" s="118"/>
      <c r="I216" s="118"/>
      <c r="J216" s="118"/>
      <c r="K216" s="117"/>
      <c r="L216" s="118" t="s">
        <v>67</v>
      </c>
      <c r="M216" s="119">
        <v>10</v>
      </c>
      <c r="N216" s="118"/>
      <c r="O216" s="118"/>
      <c r="P216" s="118"/>
      <c r="Q216" s="118"/>
      <c r="R216" s="118"/>
      <c r="S216" s="118"/>
      <c r="T216" s="118"/>
      <c r="U216" s="118"/>
      <c r="V216" s="118"/>
      <c r="W216" s="118"/>
      <c r="X216" s="118"/>
      <c r="Y216" s="118"/>
      <c r="Z216" s="118"/>
    </row>
    <row r="217" spans="1:26" s="131" customFormat="1">
      <c r="A217" s="116" t="s">
        <v>549</v>
      </c>
      <c r="B217" s="117">
        <f>COUNTA($B$1:B216)</f>
        <v>208</v>
      </c>
      <c r="C217" s="118" t="s">
        <v>810</v>
      </c>
      <c r="D217" s="127"/>
      <c r="E217" s="128"/>
      <c r="F217" s="117"/>
      <c r="G217" s="118" t="s">
        <v>127</v>
      </c>
      <c r="H217" s="118"/>
      <c r="I217" s="118" t="s">
        <v>55</v>
      </c>
      <c r="J217" s="118" t="s">
        <v>807</v>
      </c>
      <c r="K217" s="117"/>
      <c r="L217" s="118" t="s">
        <v>98</v>
      </c>
      <c r="M217" s="119"/>
      <c r="N217" s="118" t="s">
        <v>99</v>
      </c>
      <c r="O217" s="118"/>
      <c r="P217" s="118"/>
      <c r="Q217" s="118"/>
      <c r="R217" s="119" t="s">
        <v>808</v>
      </c>
      <c r="S217" s="118"/>
      <c r="T217" s="118" t="s">
        <v>2</v>
      </c>
      <c r="U217" s="118"/>
      <c r="V217" s="118"/>
      <c r="W217" s="118"/>
      <c r="X217" s="118"/>
      <c r="Y217" s="118"/>
      <c r="Z217" s="118"/>
    </row>
    <row r="218" spans="1:26" s="183" customFormat="1" outlineLevel="1">
      <c r="A218" s="116" t="s">
        <v>549</v>
      </c>
      <c r="B218" s="117">
        <f>COUNTA($B$1:B217)</f>
        <v>209</v>
      </c>
      <c r="C218" s="118" t="s">
        <v>811</v>
      </c>
      <c r="D218" s="118"/>
      <c r="E218" s="118"/>
      <c r="F218" s="117"/>
      <c r="G218" s="118" t="s">
        <v>127</v>
      </c>
      <c r="H218" s="118"/>
      <c r="I218" s="118" t="s">
        <v>55</v>
      </c>
      <c r="J218" s="118" t="s">
        <v>233</v>
      </c>
      <c r="K218" s="117">
        <v>0</v>
      </c>
      <c r="L218" s="118" t="s">
        <v>0</v>
      </c>
      <c r="M218" s="82" t="s">
        <v>281</v>
      </c>
      <c r="N218" s="118"/>
      <c r="O218" s="118"/>
      <c r="P218" s="118"/>
      <c r="Q218" s="118"/>
      <c r="R218" s="128"/>
      <c r="S218" s="118"/>
      <c r="T218" s="118"/>
      <c r="U218" s="118"/>
      <c r="V218" s="118"/>
      <c r="W218" s="118"/>
      <c r="X218" s="118"/>
      <c r="Y218" s="118"/>
      <c r="Z218" s="118"/>
    </row>
    <row r="219" spans="1:26">
      <c r="A219" s="116" t="s">
        <v>549</v>
      </c>
      <c r="B219" s="117">
        <f>COUNTA($B$1:B218)</f>
        <v>210</v>
      </c>
      <c r="C219" s="118" t="s">
        <v>226</v>
      </c>
      <c r="D219" s="127"/>
      <c r="E219" s="128"/>
      <c r="F219" s="117"/>
      <c r="G219" s="118" t="s">
        <v>127</v>
      </c>
      <c r="H219" s="118"/>
      <c r="I219" s="118"/>
      <c r="J219" s="118"/>
      <c r="K219" s="117"/>
      <c r="L219" s="118" t="s">
        <v>227</v>
      </c>
      <c r="M219" s="119" t="s">
        <v>79</v>
      </c>
      <c r="N219" s="118"/>
      <c r="O219" s="118"/>
      <c r="P219" s="118"/>
      <c r="Q219" s="118"/>
      <c r="R219" s="118"/>
      <c r="S219" s="118"/>
      <c r="T219" s="118"/>
      <c r="U219" s="118"/>
      <c r="V219" s="118"/>
      <c r="W219" s="118"/>
      <c r="X219" s="118"/>
      <c r="Y219" s="118"/>
      <c r="Z219" s="118"/>
    </row>
    <row r="220" spans="1:26" s="184" customFormat="1">
      <c r="A220" s="116" t="s">
        <v>549</v>
      </c>
      <c r="B220" s="117">
        <f>COUNTA($B$1:B219)</f>
        <v>211</v>
      </c>
      <c r="C220" s="118" t="s">
        <v>190</v>
      </c>
      <c r="D220" s="118"/>
      <c r="E220" s="118"/>
      <c r="F220" s="117"/>
      <c r="G220" s="118" t="s">
        <v>127</v>
      </c>
      <c r="H220" s="118"/>
      <c r="I220" s="118" t="s">
        <v>55</v>
      </c>
      <c r="J220" s="118" t="s">
        <v>87</v>
      </c>
      <c r="K220" s="117">
        <v>0</v>
      </c>
      <c r="L220" s="118" t="s">
        <v>147</v>
      </c>
      <c r="M220" s="119"/>
      <c r="N220" s="118"/>
      <c r="O220" s="118"/>
      <c r="P220" s="118"/>
      <c r="Q220" s="118"/>
      <c r="R220" s="118"/>
      <c r="S220" s="118"/>
      <c r="T220" s="118"/>
      <c r="U220" s="118"/>
      <c r="V220" s="118"/>
      <c r="W220" s="118"/>
      <c r="X220" s="118"/>
      <c r="Y220" s="118"/>
      <c r="Z220" s="118"/>
    </row>
    <row r="221" spans="1:26" s="131" customFormat="1">
      <c r="A221" s="116" t="s">
        <v>549</v>
      </c>
      <c r="B221" s="117">
        <f>COUNTA($B$1:B220)</f>
        <v>212</v>
      </c>
      <c r="C221" s="118" t="s">
        <v>67</v>
      </c>
      <c r="D221" s="118"/>
      <c r="E221" s="118"/>
      <c r="F221" s="117"/>
      <c r="G221" s="118" t="s">
        <v>127</v>
      </c>
      <c r="H221" s="118"/>
      <c r="I221" s="118"/>
      <c r="J221" s="118"/>
      <c r="K221" s="117"/>
      <c r="L221" s="118" t="s">
        <v>67</v>
      </c>
      <c r="M221" s="119">
        <v>10</v>
      </c>
      <c r="N221" s="118"/>
      <c r="O221" s="118"/>
      <c r="P221" s="118"/>
      <c r="Q221" s="118"/>
      <c r="R221" s="118"/>
      <c r="S221" s="118"/>
      <c r="T221" s="118"/>
      <c r="U221" s="118"/>
      <c r="V221" s="118"/>
      <c r="W221" s="118"/>
      <c r="X221" s="118"/>
      <c r="Y221" s="118"/>
      <c r="Z221" s="118"/>
    </row>
    <row r="222" spans="1:26">
      <c r="A222" s="30" t="s">
        <v>91</v>
      </c>
      <c r="B222" s="31"/>
      <c r="C222" s="31"/>
      <c r="D222" s="32"/>
      <c r="E222" s="32"/>
      <c r="F222" s="31"/>
      <c r="G222" s="32"/>
      <c r="H222" s="32"/>
      <c r="I222" s="32"/>
      <c r="J222" s="32"/>
      <c r="K222" s="31"/>
      <c r="L222" s="32"/>
      <c r="M222" s="32"/>
      <c r="N222" s="32"/>
      <c r="O222" s="32"/>
      <c r="P222" s="32"/>
      <c r="Q222" s="32"/>
      <c r="R222" s="32"/>
      <c r="S222" s="32"/>
      <c r="T222" s="32"/>
      <c r="U222" s="32"/>
      <c r="V222" s="32"/>
      <c r="W222" s="32"/>
      <c r="X222" s="32"/>
      <c r="Y222" s="32"/>
      <c r="Z222" s="32"/>
    </row>
    <row r="223" spans="1:26" s="213" customFormat="1">
      <c r="A223" s="208" t="s">
        <v>549</v>
      </c>
      <c r="B223" s="209">
        <f>COUNTA($B$1:B222)</f>
        <v>213</v>
      </c>
      <c r="C223" s="210" t="s">
        <v>295</v>
      </c>
      <c r="D223" s="215"/>
      <c r="E223" s="212"/>
      <c r="F223" s="209"/>
      <c r="G223" s="210" t="s">
        <v>127</v>
      </c>
      <c r="H223" s="210"/>
      <c r="I223" s="210" t="s">
        <v>55</v>
      </c>
      <c r="J223" s="210" t="s">
        <v>296</v>
      </c>
      <c r="K223" s="209">
        <v>0</v>
      </c>
      <c r="L223" s="210" t="s">
        <v>98</v>
      </c>
      <c r="M223" s="214"/>
      <c r="N223" s="210" t="s">
        <v>99</v>
      </c>
      <c r="O223" s="210"/>
      <c r="P223" s="210"/>
      <c r="Q223" s="210"/>
      <c r="R223" s="210" t="str">
        <f>TEXT(M120,"")</f>
        <v>Destination1</v>
      </c>
      <c r="S223" s="210"/>
      <c r="T223" s="210" t="s">
        <v>2</v>
      </c>
      <c r="U223" s="210"/>
      <c r="V223" s="210"/>
      <c r="W223" s="210"/>
      <c r="X223" s="210"/>
      <c r="Y223" s="210"/>
      <c r="Z223" s="210"/>
    </row>
    <row r="224" spans="1:26" s="213" customFormat="1">
      <c r="A224" s="208" t="str">
        <f>IF(Global!B2="QA","Y","N")</f>
        <v>N</v>
      </c>
      <c r="B224" s="209">
        <f>COUNTA($B$1:B223)</f>
        <v>214</v>
      </c>
      <c r="C224" s="210" t="s">
        <v>297</v>
      </c>
      <c r="D224" s="215"/>
      <c r="E224" s="212"/>
      <c r="F224" s="209"/>
      <c r="G224" s="210" t="s">
        <v>127</v>
      </c>
      <c r="H224" s="210"/>
      <c r="I224" s="210" t="s">
        <v>55</v>
      </c>
      <c r="J224" s="210" t="s">
        <v>298</v>
      </c>
      <c r="K224" s="209">
        <v>2</v>
      </c>
      <c r="L224" s="210" t="s">
        <v>98</v>
      </c>
      <c r="M224" s="214"/>
      <c r="N224" s="210" t="s">
        <v>99</v>
      </c>
      <c r="O224" s="210"/>
      <c r="P224" s="210"/>
      <c r="Q224" s="210"/>
      <c r="R224" s="210" t="str">
        <f>TEXT(M123,"mm/dd/yyyy")</f>
        <v>DepDate1</v>
      </c>
      <c r="S224" s="210"/>
      <c r="T224" s="210" t="s">
        <v>2</v>
      </c>
      <c r="U224" s="210"/>
      <c r="V224" s="210"/>
      <c r="W224" s="210"/>
      <c r="X224" s="210"/>
      <c r="Y224" s="210"/>
      <c r="Z224" s="210"/>
    </row>
    <row r="225" spans="1:26" s="213" customFormat="1">
      <c r="A225" s="208" t="str">
        <f>A224</f>
        <v>N</v>
      </c>
      <c r="B225" s="209">
        <f>COUNTA($B$1:B224)</f>
        <v>215</v>
      </c>
      <c r="C225" s="210" t="s">
        <v>299</v>
      </c>
      <c r="D225" s="215"/>
      <c r="E225" s="212"/>
      <c r="F225" s="209"/>
      <c r="G225" s="210" t="s">
        <v>127</v>
      </c>
      <c r="H225" s="210"/>
      <c r="I225" s="210" t="s">
        <v>55</v>
      </c>
      <c r="J225" s="210" t="s">
        <v>300</v>
      </c>
      <c r="K225" s="209">
        <v>2</v>
      </c>
      <c r="L225" s="210" t="s">
        <v>98</v>
      </c>
      <c r="M225" s="214"/>
      <c r="N225" s="210" t="s">
        <v>99</v>
      </c>
      <c r="O225" s="210"/>
      <c r="P225" s="210"/>
      <c r="Q225" s="210"/>
      <c r="R225" s="210" t="str">
        <f>TEXT(M124,"mm/dd/yyyy")</f>
        <v>RetDate1</v>
      </c>
      <c r="S225" s="210"/>
      <c r="T225" s="210" t="s">
        <v>2</v>
      </c>
      <c r="U225" s="210"/>
      <c r="V225" s="210"/>
      <c r="W225" s="210"/>
      <c r="X225" s="210"/>
      <c r="Y225" s="210"/>
      <c r="Z225" s="210"/>
    </row>
    <row r="226" spans="1:26" s="213" customFormat="1">
      <c r="A226" s="208" t="str">
        <f>A225</f>
        <v>N</v>
      </c>
      <c r="B226" s="209">
        <f>COUNTA($B$1:B225)</f>
        <v>216</v>
      </c>
      <c r="C226" s="210" t="s">
        <v>301</v>
      </c>
      <c r="D226" s="215"/>
      <c r="E226" s="212"/>
      <c r="F226" s="209"/>
      <c r="G226" s="210" t="s">
        <v>127</v>
      </c>
      <c r="H226" s="210"/>
      <c r="I226" s="210" t="s">
        <v>55</v>
      </c>
      <c r="J226" s="210" t="s">
        <v>107</v>
      </c>
      <c r="K226" s="209">
        <v>2</v>
      </c>
      <c r="L226" s="210" t="s">
        <v>98</v>
      </c>
      <c r="M226" s="214"/>
      <c r="N226" s="210" t="s">
        <v>99</v>
      </c>
      <c r="O226" s="210"/>
      <c r="P226" s="210"/>
      <c r="Q226" s="210"/>
      <c r="R226" s="210" t="s">
        <v>128</v>
      </c>
      <c r="S226" s="210"/>
      <c r="T226" s="210" t="s">
        <v>2</v>
      </c>
      <c r="U226" s="210"/>
      <c r="V226" s="210"/>
      <c r="W226" s="210"/>
      <c r="X226" s="210"/>
      <c r="Y226" s="210"/>
      <c r="Z226" s="210"/>
    </row>
    <row r="227" spans="1:26" s="213" customFormat="1">
      <c r="A227" s="208" t="str">
        <f>IF(OR(Global!B2="UAT",Global!B2="PROD"),"bln687809","N")</f>
        <v>bln687809</v>
      </c>
      <c r="B227" s="209">
        <f>COUNTA($B$1:B226)</f>
        <v>217</v>
      </c>
      <c r="C227" s="210" t="s">
        <v>297</v>
      </c>
      <c r="D227" s="215"/>
      <c r="E227" s="212"/>
      <c r="F227" s="209"/>
      <c r="G227" s="210" t="s">
        <v>127</v>
      </c>
      <c r="H227" s="210"/>
      <c r="I227" s="210" t="s">
        <v>55</v>
      </c>
      <c r="J227" s="210" t="s">
        <v>824</v>
      </c>
      <c r="K227" s="209">
        <v>0</v>
      </c>
      <c r="L227" s="210" t="s">
        <v>98</v>
      </c>
      <c r="M227" s="214"/>
      <c r="N227" s="210" t="s">
        <v>99</v>
      </c>
      <c r="O227" s="210"/>
      <c r="P227" s="210"/>
      <c r="Q227" s="210"/>
      <c r="R227" s="210" t="str">
        <f>TEXT(M123,"mm/dd/yyyy")</f>
        <v>DepDate1</v>
      </c>
      <c r="S227" s="210"/>
      <c r="T227" s="210" t="s">
        <v>2</v>
      </c>
      <c r="U227" s="210"/>
      <c r="V227" s="210"/>
      <c r="W227" s="210"/>
      <c r="X227" s="210"/>
      <c r="Y227" s="210"/>
      <c r="Z227" s="210"/>
    </row>
    <row r="228" spans="1:26" s="213" customFormat="1">
      <c r="A228" s="208" t="str">
        <f>A227</f>
        <v>bln687809</v>
      </c>
      <c r="B228" s="209">
        <f>COUNTA($B$1:B227)</f>
        <v>218</v>
      </c>
      <c r="C228" s="210" t="s">
        <v>299</v>
      </c>
      <c r="D228" s="215"/>
      <c r="E228" s="212"/>
      <c r="F228" s="209"/>
      <c r="G228" s="210" t="s">
        <v>127</v>
      </c>
      <c r="H228" s="210"/>
      <c r="I228" s="210" t="s">
        <v>55</v>
      </c>
      <c r="J228" s="210" t="s">
        <v>825</v>
      </c>
      <c r="K228" s="209">
        <v>0</v>
      </c>
      <c r="L228" s="210" t="s">
        <v>98</v>
      </c>
      <c r="M228" s="214"/>
      <c r="N228" s="210" t="s">
        <v>99</v>
      </c>
      <c r="O228" s="210"/>
      <c r="P228" s="210"/>
      <c r="Q228" s="210"/>
      <c r="R228" s="210" t="str">
        <f>TEXT(M124,"mm/dd/yyyy")</f>
        <v>RetDate1</v>
      </c>
      <c r="S228" s="210"/>
      <c r="T228" s="210" t="s">
        <v>2</v>
      </c>
      <c r="U228" s="210"/>
      <c r="V228" s="210"/>
      <c r="W228" s="210"/>
      <c r="X228" s="210"/>
      <c r="Y228" s="210"/>
      <c r="Z228" s="210"/>
    </row>
    <row r="229" spans="1:26" s="213" customFormat="1">
      <c r="A229" s="208" t="str">
        <f>A228</f>
        <v>bln687809</v>
      </c>
      <c r="B229" s="209">
        <f>COUNTA($B$1:B228)</f>
        <v>219</v>
      </c>
      <c r="C229" s="210" t="s">
        <v>301</v>
      </c>
      <c r="D229" s="215"/>
      <c r="E229" s="212"/>
      <c r="F229" s="209"/>
      <c r="G229" s="210" t="s">
        <v>127</v>
      </c>
      <c r="H229" s="210"/>
      <c r="I229" s="210" t="s">
        <v>55</v>
      </c>
      <c r="J229" s="210" t="s">
        <v>826</v>
      </c>
      <c r="K229" s="209">
        <v>0</v>
      </c>
      <c r="L229" s="210" t="s">
        <v>98</v>
      </c>
      <c r="M229" s="214"/>
      <c r="N229" s="210" t="s">
        <v>99</v>
      </c>
      <c r="O229" s="210"/>
      <c r="P229" s="210"/>
      <c r="Q229" s="210"/>
      <c r="R229" s="210" t="s">
        <v>128</v>
      </c>
      <c r="S229" s="210"/>
      <c r="T229" s="210" t="s">
        <v>2</v>
      </c>
      <c r="U229" s="210"/>
      <c r="V229" s="210"/>
      <c r="W229" s="210"/>
      <c r="X229" s="210"/>
      <c r="Y229" s="210"/>
      <c r="Z229" s="210"/>
    </row>
    <row r="230" spans="1:26" s="213" customFormat="1">
      <c r="A230" s="208" t="s">
        <v>549</v>
      </c>
      <c r="B230" s="209">
        <f>COUNTA($B$1:B229)</f>
        <v>220</v>
      </c>
      <c r="C230" s="210" t="s">
        <v>575</v>
      </c>
      <c r="D230" s="211"/>
      <c r="E230" s="212" t="s">
        <v>154</v>
      </c>
      <c r="F230" s="209"/>
      <c r="G230" s="210" t="s">
        <v>127</v>
      </c>
      <c r="H230" s="210"/>
      <c r="I230" s="210" t="s">
        <v>55</v>
      </c>
      <c r="J230" s="210" t="s">
        <v>304</v>
      </c>
      <c r="K230" s="209">
        <v>0</v>
      </c>
      <c r="L230" s="210" t="s">
        <v>98</v>
      </c>
      <c r="M230" s="214"/>
      <c r="N230" s="210" t="s">
        <v>99</v>
      </c>
      <c r="O230" s="210"/>
      <c r="P230" s="210"/>
      <c r="Q230" s="210"/>
      <c r="R230" s="216" t="s">
        <v>564</v>
      </c>
      <c r="S230" s="212"/>
      <c r="T230" s="210" t="s">
        <v>2</v>
      </c>
      <c r="U230" s="210"/>
      <c r="V230" s="210"/>
      <c r="W230" s="210"/>
      <c r="X230" s="210"/>
      <c r="Y230" s="210"/>
      <c r="Z230" s="210"/>
    </row>
    <row r="231" spans="1:26" s="213" customFormat="1">
      <c r="A231" s="208" t="s">
        <v>549</v>
      </c>
      <c r="B231" s="209">
        <f>COUNTA($B$1:B230)</f>
        <v>221</v>
      </c>
      <c r="C231" s="210" t="s">
        <v>576</v>
      </c>
      <c r="D231" s="211"/>
      <c r="E231" s="212" t="s">
        <v>154</v>
      </c>
      <c r="F231" s="209"/>
      <c r="G231" s="210" t="s">
        <v>127</v>
      </c>
      <c r="H231" s="210"/>
      <c r="I231" s="210" t="s">
        <v>55</v>
      </c>
      <c r="J231" s="210" t="s">
        <v>306</v>
      </c>
      <c r="K231" s="209">
        <v>0</v>
      </c>
      <c r="L231" s="210" t="s">
        <v>98</v>
      </c>
      <c r="M231" s="214"/>
      <c r="N231" s="210" t="s">
        <v>99</v>
      </c>
      <c r="O231" s="210"/>
      <c r="P231" s="210"/>
      <c r="Q231" s="210"/>
      <c r="R231" s="214" t="s">
        <v>568</v>
      </c>
      <c r="S231" s="212"/>
      <c r="T231" s="210" t="s">
        <v>2</v>
      </c>
      <c r="U231" s="210"/>
      <c r="V231" s="210"/>
      <c r="W231" s="210"/>
      <c r="X231" s="210"/>
      <c r="Y231" s="210"/>
      <c r="Z231" s="210"/>
    </row>
    <row r="232" spans="1:26" s="213" customFormat="1">
      <c r="A232" s="208" t="s">
        <v>549</v>
      </c>
      <c r="B232" s="209">
        <f>COUNTA($B$1:B231)</f>
        <v>222</v>
      </c>
      <c r="C232" s="210" t="s">
        <v>577</v>
      </c>
      <c r="D232" s="211"/>
      <c r="E232" s="212" t="s">
        <v>154</v>
      </c>
      <c r="F232" s="209"/>
      <c r="G232" s="210" t="s">
        <v>127</v>
      </c>
      <c r="H232" s="210"/>
      <c r="I232" s="210" t="s">
        <v>55</v>
      </c>
      <c r="J232" s="210" t="s">
        <v>308</v>
      </c>
      <c r="K232" s="209">
        <v>0</v>
      </c>
      <c r="L232" s="210" t="s">
        <v>98</v>
      </c>
      <c r="M232" s="214"/>
      <c r="N232" s="210" t="s">
        <v>99</v>
      </c>
      <c r="O232" s="210"/>
      <c r="P232" s="210"/>
      <c r="Q232" s="210"/>
      <c r="R232" s="214" t="s">
        <v>566</v>
      </c>
      <c r="S232" s="212"/>
      <c r="T232" s="210" t="s">
        <v>2</v>
      </c>
      <c r="U232" s="210"/>
      <c r="V232" s="210"/>
      <c r="W232" s="210"/>
      <c r="X232" s="210"/>
      <c r="Y232" s="210"/>
      <c r="Z232" s="210"/>
    </row>
    <row r="233" spans="1:26" s="213" customFormat="1">
      <c r="A233" s="208" t="s">
        <v>549</v>
      </c>
      <c r="B233" s="209">
        <f>COUNTA($B$1:B232)</f>
        <v>223</v>
      </c>
      <c r="C233" s="210" t="s">
        <v>303</v>
      </c>
      <c r="D233" s="211"/>
      <c r="E233" s="212" t="s">
        <v>154</v>
      </c>
      <c r="F233" s="209"/>
      <c r="G233" s="210" t="s">
        <v>127</v>
      </c>
      <c r="H233" s="210"/>
      <c r="I233" s="210" t="s">
        <v>55</v>
      </c>
      <c r="J233" s="210" t="s">
        <v>578</v>
      </c>
      <c r="K233" s="209">
        <v>0</v>
      </c>
      <c r="L233" s="210" t="s">
        <v>98</v>
      </c>
      <c r="M233" s="214"/>
      <c r="N233" s="210" t="s">
        <v>99</v>
      </c>
      <c r="O233" s="210"/>
      <c r="P233" s="210"/>
      <c r="Q233" s="210"/>
      <c r="R233" s="216" t="s">
        <v>197</v>
      </c>
      <c r="S233" s="212"/>
      <c r="T233" s="210" t="s">
        <v>2</v>
      </c>
      <c r="U233" s="210"/>
      <c r="V233" s="210"/>
      <c r="W233" s="210"/>
      <c r="X233" s="210"/>
      <c r="Y233" s="210"/>
      <c r="Z233" s="210"/>
    </row>
    <row r="234" spans="1:26" s="213" customFormat="1">
      <c r="A234" s="208" t="s">
        <v>549</v>
      </c>
      <c r="B234" s="209">
        <f>COUNTA($B$1:B233)</f>
        <v>224</v>
      </c>
      <c r="C234" s="210" t="s">
        <v>305</v>
      </c>
      <c r="D234" s="211"/>
      <c r="E234" s="212" t="s">
        <v>154</v>
      </c>
      <c r="F234" s="209"/>
      <c r="G234" s="210" t="s">
        <v>127</v>
      </c>
      <c r="H234" s="210"/>
      <c r="I234" s="210" t="s">
        <v>55</v>
      </c>
      <c r="J234" s="210" t="s">
        <v>579</v>
      </c>
      <c r="K234" s="209">
        <v>0</v>
      </c>
      <c r="L234" s="210" t="s">
        <v>98</v>
      </c>
      <c r="M234" s="214"/>
      <c r="N234" s="210" t="s">
        <v>99</v>
      </c>
      <c r="O234" s="210"/>
      <c r="P234" s="210"/>
      <c r="Q234" s="210"/>
      <c r="R234" s="214" t="s">
        <v>199</v>
      </c>
      <c r="S234" s="212"/>
      <c r="T234" s="210" t="s">
        <v>2</v>
      </c>
      <c r="U234" s="210"/>
      <c r="V234" s="210"/>
      <c r="W234" s="210"/>
      <c r="X234" s="210"/>
      <c r="Y234" s="210"/>
      <c r="Z234" s="210"/>
    </row>
    <row r="235" spans="1:26" s="213" customFormat="1">
      <c r="A235" s="208" t="s">
        <v>549</v>
      </c>
      <c r="B235" s="209">
        <f>COUNTA($B$1:B234)</f>
        <v>225</v>
      </c>
      <c r="C235" s="210" t="s">
        <v>580</v>
      </c>
      <c r="D235" s="211"/>
      <c r="E235" s="212" t="s">
        <v>154</v>
      </c>
      <c r="F235" s="209"/>
      <c r="G235" s="210" t="s">
        <v>127</v>
      </c>
      <c r="H235" s="210"/>
      <c r="I235" s="210" t="s">
        <v>55</v>
      </c>
      <c r="J235" s="210" t="s">
        <v>581</v>
      </c>
      <c r="K235" s="209">
        <v>0</v>
      </c>
      <c r="L235" s="210" t="s">
        <v>98</v>
      </c>
      <c r="M235" s="214"/>
      <c r="N235" s="210" t="s">
        <v>99</v>
      </c>
      <c r="O235" s="210"/>
      <c r="P235" s="210"/>
      <c r="Q235" s="210"/>
      <c r="R235" s="214" t="s">
        <v>570</v>
      </c>
      <c r="S235" s="212"/>
      <c r="T235" s="210" t="s">
        <v>2</v>
      </c>
      <c r="U235" s="210"/>
      <c r="V235" s="210"/>
      <c r="W235" s="210"/>
      <c r="X235" s="210"/>
      <c r="Y235" s="210"/>
      <c r="Z235" s="210"/>
    </row>
    <row r="236" spans="1:26" s="213" customFormat="1">
      <c r="A236" s="208" t="s">
        <v>549</v>
      </c>
      <c r="B236" s="209">
        <f>COUNTA($B$1:B235)</f>
        <v>226</v>
      </c>
      <c r="C236" s="210" t="s">
        <v>582</v>
      </c>
      <c r="D236" s="211"/>
      <c r="E236" s="212" t="s">
        <v>154</v>
      </c>
      <c r="F236" s="209"/>
      <c r="G236" s="210" t="s">
        <v>127</v>
      </c>
      <c r="H236" s="210"/>
      <c r="I236" s="210" t="s">
        <v>55</v>
      </c>
      <c r="J236" s="210" t="s">
        <v>583</v>
      </c>
      <c r="K236" s="209">
        <v>0</v>
      </c>
      <c r="L236" s="210" t="s">
        <v>98</v>
      </c>
      <c r="M236" s="214"/>
      <c r="N236" s="210" t="s">
        <v>99</v>
      </c>
      <c r="O236" s="210"/>
      <c r="P236" s="210"/>
      <c r="Q236" s="210"/>
      <c r="R236" s="214" t="s">
        <v>571</v>
      </c>
      <c r="S236" s="212"/>
      <c r="T236" s="210" t="s">
        <v>2</v>
      </c>
      <c r="U236" s="210"/>
      <c r="V236" s="210"/>
      <c r="W236" s="210"/>
      <c r="X236" s="210"/>
      <c r="Y236" s="210"/>
      <c r="Z236" s="210"/>
    </row>
    <row r="237" spans="1:26" s="213" customFormat="1">
      <c r="A237" s="208" t="s">
        <v>549</v>
      </c>
      <c r="B237" s="209">
        <f>COUNTA($B$1:B236)</f>
        <v>227</v>
      </c>
      <c r="C237" s="210" t="s">
        <v>310</v>
      </c>
      <c r="D237" s="211"/>
      <c r="E237" s="212"/>
      <c r="F237" s="209"/>
      <c r="G237" s="210" t="s">
        <v>127</v>
      </c>
      <c r="H237" s="210"/>
      <c r="I237" s="210" t="s">
        <v>55</v>
      </c>
      <c r="J237" s="210" t="s">
        <v>311</v>
      </c>
      <c r="K237" s="209">
        <v>0</v>
      </c>
      <c r="L237" s="210" t="s">
        <v>98</v>
      </c>
      <c r="M237" s="214"/>
      <c r="N237" s="210" t="s">
        <v>99</v>
      </c>
      <c r="O237" s="210"/>
      <c r="P237" s="210"/>
      <c r="Q237" s="210"/>
      <c r="R237" s="214">
        <f>S205</f>
        <v>0</v>
      </c>
      <c r="S237" s="210"/>
      <c r="T237" s="210"/>
      <c r="U237" s="210"/>
      <c r="V237" s="210"/>
      <c r="W237" s="210"/>
      <c r="X237" s="210"/>
      <c r="Y237" s="210"/>
      <c r="Z237" s="210"/>
    </row>
    <row r="238" spans="1:26">
      <c r="A238" s="116" t="s">
        <v>549</v>
      </c>
      <c r="B238" s="117">
        <f>COUNTA($B$1:B237)</f>
        <v>228</v>
      </c>
      <c r="C238" s="118" t="s">
        <v>67</v>
      </c>
      <c r="D238" s="118"/>
      <c r="E238" s="118"/>
      <c r="F238" s="117"/>
      <c r="G238" s="118" t="s">
        <v>127</v>
      </c>
      <c r="H238" s="118"/>
      <c r="I238" s="118"/>
      <c r="J238" s="118"/>
      <c r="K238" s="117"/>
      <c r="L238" s="118" t="s">
        <v>67</v>
      </c>
      <c r="M238" s="119">
        <v>2</v>
      </c>
      <c r="N238" s="118"/>
      <c r="O238" s="118"/>
      <c r="P238" s="118"/>
      <c r="Q238" s="118"/>
      <c r="R238" s="119"/>
      <c r="S238" s="118"/>
      <c r="T238" s="118"/>
      <c r="U238" s="118"/>
      <c r="V238" s="118"/>
      <c r="W238" s="118"/>
      <c r="X238" s="118"/>
      <c r="Y238" s="118"/>
      <c r="Z238" s="118"/>
    </row>
    <row r="239" spans="1:26">
      <c r="A239" s="116" t="s">
        <v>549</v>
      </c>
      <c r="B239" s="117">
        <f>COUNTA($B$1:B238)</f>
        <v>229</v>
      </c>
      <c r="C239" s="118" t="s">
        <v>93</v>
      </c>
      <c r="D239" s="118"/>
      <c r="E239" s="118"/>
      <c r="F239" s="117"/>
      <c r="G239" s="118" t="s">
        <v>127</v>
      </c>
      <c r="H239" s="118"/>
      <c r="I239" s="118" t="s">
        <v>55</v>
      </c>
      <c r="J239" s="118" t="s">
        <v>92</v>
      </c>
      <c r="K239" s="117">
        <v>0</v>
      </c>
      <c r="L239" s="118" t="s">
        <v>0</v>
      </c>
      <c r="M239" s="82" t="s">
        <v>261</v>
      </c>
      <c r="N239" s="118"/>
      <c r="O239" s="118"/>
      <c r="P239" s="118"/>
      <c r="Q239" s="118"/>
      <c r="R239" s="128"/>
      <c r="S239" s="118"/>
      <c r="T239" s="118"/>
      <c r="U239" s="118"/>
      <c r="V239" s="118"/>
      <c r="W239" s="118"/>
      <c r="X239" s="118"/>
      <c r="Y239" s="118"/>
      <c r="Z239" s="118"/>
    </row>
    <row r="240" spans="1:26">
      <c r="A240" s="116" t="s">
        <v>549</v>
      </c>
      <c r="B240" s="117">
        <f>COUNTA($B$1:B239)</f>
        <v>230</v>
      </c>
      <c r="C240" s="118" t="s">
        <v>262</v>
      </c>
      <c r="D240" s="118"/>
      <c r="E240" s="118"/>
      <c r="F240" s="117"/>
      <c r="G240" s="118" t="s">
        <v>127</v>
      </c>
      <c r="H240" s="118"/>
      <c r="I240" s="118"/>
      <c r="J240" s="118"/>
      <c r="K240" s="117">
        <v>0</v>
      </c>
      <c r="L240" s="118" t="s">
        <v>95</v>
      </c>
      <c r="M240" s="118"/>
      <c r="N240" s="118"/>
      <c r="O240" s="118"/>
      <c r="P240" s="118"/>
      <c r="Q240" s="118"/>
      <c r="R240" s="128"/>
      <c r="S240" s="118"/>
      <c r="T240" s="118"/>
      <c r="U240" s="118"/>
      <c r="V240" s="118"/>
      <c r="W240" s="118"/>
      <c r="X240" s="118"/>
      <c r="Y240" s="118"/>
      <c r="Z240" s="118"/>
    </row>
    <row r="241" spans="1:26">
      <c r="A241" s="116" t="s">
        <v>549</v>
      </c>
      <c r="B241" s="117">
        <f>COUNTA($B$1:B240)</f>
        <v>231</v>
      </c>
      <c r="C241" s="118" t="s">
        <v>94</v>
      </c>
      <c r="D241" s="118"/>
      <c r="E241" s="118"/>
      <c r="F241" s="117"/>
      <c r="G241" s="118" t="s">
        <v>127</v>
      </c>
      <c r="H241" s="118"/>
      <c r="I241" s="118" t="s">
        <v>55</v>
      </c>
      <c r="J241" s="118" t="s">
        <v>263</v>
      </c>
      <c r="K241" s="117">
        <v>0</v>
      </c>
      <c r="L241" s="118" t="s">
        <v>0</v>
      </c>
      <c r="M241" s="82" t="s">
        <v>264</v>
      </c>
      <c r="N241" s="118"/>
      <c r="O241" s="118"/>
      <c r="P241" s="118"/>
      <c r="Q241" s="118"/>
      <c r="R241" s="128"/>
      <c r="S241" s="118"/>
      <c r="T241" s="118"/>
      <c r="U241" s="118"/>
      <c r="V241" s="118"/>
      <c r="W241" s="118"/>
      <c r="X241" s="118"/>
      <c r="Y241" s="118"/>
      <c r="Z241" s="118"/>
    </row>
    <row r="242" spans="1:26">
      <c r="A242" s="116" t="s">
        <v>549</v>
      </c>
      <c r="B242" s="117">
        <f>COUNTA($B$1:B241)</f>
        <v>232</v>
      </c>
      <c r="C242" s="118" t="s">
        <v>262</v>
      </c>
      <c r="D242" s="118"/>
      <c r="E242" s="118"/>
      <c r="F242" s="117"/>
      <c r="G242" s="118" t="s">
        <v>127</v>
      </c>
      <c r="H242" s="118"/>
      <c r="I242" s="118"/>
      <c r="J242" s="118"/>
      <c r="K242" s="117">
        <v>0</v>
      </c>
      <c r="L242" s="118" t="s">
        <v>96</v>
      </c>
      <c r="M242" s="118"/>
      <c r="N242" s="118"/>
      <c r="O242" s="118"/>
      <c r="P242" s="118"/>
      <c r="Q242" s="118"/>
      <c r="R242" s="128"/>
      <c r="S242" s="118"/>
      <c r="T242" s="118"/>
      <c r="U242" s="118"/>
      <c r="V242" s="118"/>
      <c r="W242" s="118"/>
      <c r="X242" s="118"/>
      <c r="Y242" s="118"/>
      <c r="Z242" s="118"/>
    </row>
    <row r="243" spans="1:26">
      <c r="A243" s="116" t="s">
        <v>549</v>
      </c>
      <c r="B243" s="117">
        <f>COUNTA($B$1:B242)</f>
        <v>233</v>
      </c>
      <c r="C243" s="118" t="s">
        <v>262</v>
      </c>
      <c r="D243" s="118"/>
      <c r="E243" s="118"/>
      <c r="F243" s="117"/>
      <c r="G243" s="118" t="s">
        <v>127</v>
      </c>
      <c r="H243" s="118"/>
      <c r="I243" s="118"/>
      <c r="J243" s="118"/>
      <c r="K243" s="117">
        <v>0</v>
      </c>
      <c r="L243" s="118" t="s">
        <v>95</v>
      </c>
      <c r="M243" s="118"/>
      <c r="N243" s="118"/>
      <c r="O243" s="118"/>
      <c r="P243" s="118"/>
      <c r="Q243" s="118"/>
      <c r="R243" s="128"/>
      <c r="S243" s="118"/>
      <c r="T243" s="118"/>
      <c r="U243" s="118"/>
      <c r="V243" s="118"/>
      <c r="W243" s="118"/>
      <c r="X243" s="118"/>
      <c r="Y243" s="118"/>
      <c r="Z243" s="118"/>
    </row>
    <row r="244" spans="1:26">
      <c r="A244" s="228" t="s">
        <v>21</v>
      </c>
      <c r="B244" s="229">
        <f>COUNTA($B$1:B243)</f>
        <v>234</v>
      </c>
      <c r="C244" s="230" t="s">
        <v>226</v>
      </c>
      <c r="D244" s="127"/>
      <c r="E244" s="128"/>
      <c r="F244" s="117"/>
      <c r="G244" s="118" t="s">
        <v>127</v>
      </c>
      <c r="H244" s="118"/>
      <c r="I244" s="118"/>
      <c r="J244" s="118"/>
      <c r="K244" s="117"/>
      <c r="L244" s="118" t="s">
        <v>227</v>
      </c>
      <c r="M244" s="119" t="s">
        <v>79</v>
      </c>
      <c r="N244" s="118"/>
      <c r="O244" s="118"/>
      <c r="P244" s="118"/>
      <c r="Q244" s="118"/>
      <c r="R244" s="118"/>
      <c r="S244" s="118"/>
      <c r="T244" s="118"/>
      <c r="U244" s="118"/>
      <c r="V244" s="118"/>
      <c r="W244" s="118"/>
      <c r="X244" s="118"/>
      <c r="Y244" s="118"/>
      <c r="Z244" s="118"/>
    </row>
    <row r="245" spans="1:26">
      <c r="A245" s="228" t="s">
        <v>21</v>
      </c>
      <c r="B245" s="229">
        <f>COUNTA($B$1:B244)</f>
        <v>235</v>
      </c>
      <c r="C245" s="230" t="s">
        <v>265</v>
      </c>
      <c r="D245" s="118"/>
      <c r="E245" s="118"/>
      <c r="F245" s="117"/>
      <c r="G245" s="118" t="s">
        <v>127</v>
      </c>
      <c r="H245" s="118"/>
      <c r="I245" s="118"/>
      <c r="J245" s="118"/>
      <c r="K245" s="117"/>
      <c r="L245" s="118" t="s">
        <v>227</v>
      </c>
      <c r="M245" s="82" t="s">
        <v>266</v>
      </c>
      <c r="N245" s="118"/>
      <c r="O245" s="118"/>
      <c r="P245" s="118"/>
      <c r="Q245" s="118"/>
      <c r="R245" s="128"/>
      <c r="S245" s="118"/>
      <c r="T245" s="118"/>
      <c r="U245" s="118"/>
      <c r="V245" s="118"/>
      <c r="W245" s="118"/>
      <c r="X245" s="118"/>
      <c r="Y245" s="118"/>
      <c r="Z245" s="118"/>
    </row>
    <row r="246" spans="1:26">
      <c r="A246" s="228" t="s">
        <v>21</v>
      </c>
      <c r="B246" s="229">
        <f>COUNTA($B$1:B245)</f>
        <v>236</v>
      </c>
      <c r="C246" s="230" t="s">
        <v>267</v>
      </c>
      <c r="D246" s="118"/>
      <c r="E246" s="118"/>
      <c r="F246" s="117"/>
      <c r="G246" s="118" t="s">
        <v>127</v>
      </c>
      <c r="H246" s="118"/>
      <c r="I246" s="118"/>
      <c r="J246" s="118"/>
      <c r="K246" s="117"/>
      <c r="L246" s="118" t="s">
        <v>227</v>
      </c>
      <c r="M246" s="82" t="s">
        <v>268</v>
      </c>
      <c r="N246" s="118"/>
      <c r="O246" s="118"/>
      <c r="P246" s="118"/>
      <c r="Q246" s="118"/>
      <c r="R246" s="128"/>
      <c r="S246" s="118"/>
      <c r="T246" s="118"/>
      <c r="U246" s="118"/>
      <c r="V246" s="118"/>
      <c r="W246" s="118"/>
      <c r="X246" s="118"/>
      <c r="Y246" s="118"/>
      <c r="Z246" s="118"/>
    </row>
    <row r="247" spans="1:26">
      <c r="A247" s="228" t="s">
        <v>21</v>
      </c>
      <c r="B247" s="229">
        <f>COUNTA($B$1:B246)</f>
        <v>237</v>
      </c>
      <c r="C247" s="230" t="s">
        <v>226</v>
      </c>
      <c r="D247" s="127"/>
      <c r="E247" s="128"/>
      <c r="F247" s="117"/>
      <c r="G247" s="118" t="s">
        <v>127</v>
      </c>
      <c r="H247" s="118"/>
      <c r="I247" s="118"/>
      <c r="J247" s="118"/>
      <c r="K247" s="117"/>
      <c r="L247" s="118" t="s">
        <v>227</v>
      </c>
      <c r="M247" s="119" t="s">
        <v>79</v>
      </c>
      <c r="N247" s="118"/>
      <c r="O247" s="118"/>
      <c r="P247" s="118"/>
      <c r="Q247" s="118"/>
      <c r="R247" s="118"/>
      <c r="S247" s="118"/>
      <c r="T247" s="118"/>
      <c r="U247" s="118"/>
      <c r="V247" s="118"/>
      <c r="W247" s="118"/>
      <c r="X247" s="118"/>
      <c r="Y247" s="118"/>
      <c r="Z247" s="118"/>
    </row>
    <row r="248" spans="1:26" s="19" customFormat="1" outlineLevel="1">
      <c r="A248" s="33" t="s">
        <v>549</v>
      </c>
      <c r="B248" s="34">
        <f>COUNTA($B$1:B247)</f>
        <v>238</v>
      </c>
      <c r="C248" s="35" t="s">
        <v>948</v>
      </c>
      <c r="D248" s="35"/>
      <c r="E248" s="35"/>
      <c r="F248" s="34"/>
      <c r="G248" s="35" t="s">
        <v>127</v>
      </c>
      <c r="H248" s="35"/>
      <c r="I248" s="35" t="s">
        <v>55</v>
      </c>
      <c r="J248" s="35" t="s">
        <v>949</v>
      </c>
      <c r="K248" s="34">
        <v>0</v>
      </c>
      <c r="L248" s="35" t="s">
        <v>34</v>
      </c>
      <c r="M248" s="35"/>
      <c r="N248" s="35"/>
      <c r="O248" s="35"/>
      <c r="P248" s="35"/>
      <c r="Q248" s="35"/>
      <c r="R248" s="35"/>
      <c r="S248" s="35"/>
      <c r="T248" s="35"/>
      <c r="U248" s="35"/>
      <c r="V248" s="35"/>
      <c r="W248" s="35"/>
      <c r="X248" s="35"/>
      <c r="Y248" s="35"/>
      <c r="Z248" s="35"/>
    </row>
    <row r="249" spans="1:26" s="19" customFormat="1" outlineLevel="1">
      <c r="A249" s="33" t="s">
        <v>549</v>
      </c>
      <c r="B249" s="34">
        <f>COUNTA($B$1:B248)</f>
        <v>239</v>
      </c>
      <c r="C249" s="35" t="s">
        <v>67</v>
      </c>
      <c r="D249" s="35"/>
      <c r="E249" s="35"/>
      <c r="F249" s="34"/>
      <c r="G249" s="35" t="s">
        <v>127</v>
      </c>
      <c r="H249" s="35"/>
      <c r="I249" s="35"/>
      <c r="J249" s="35"/>
      <c r="K249" s="34"/>
      <c r="L249" s="35" t="s">
        <v>67</v>
      </c>
      <c r="M249" s="36">
        <v>2</v>
      </c>
      <c r="N249" s="35"/>
      <c r="O249" s="35"/>
      <c r="P249" s="35"/>
      <c r="Q249" s="35"/>
      <c r="R249" s="35"/>
      <c r="S249" s="35"/>
      <c r="T249" s="35"/>
      <c r="U249" s="35"/>
      <c r="V249" s="35"/>
      <c r="W249" s="35"/>
      <c r="X249" s="35"/>
      <c r="Y249" s="35"/>
      <c r="Z249" s="35"/>
    </row>
    <row r="250" spans="1:26" s="19" customFormat="1" outlineLevel="1">
      <c r="A250" s="33" t="s">
        <v>549</v>
      </c>
      <c r="B250" s="34">
        <f>COUNTA($B$1:B249)</f>
        <v>240</v>
      </c>
      <c r="C250" s="35" t="s">
        <v>952</v>
      </c>
      <c r="D250" s="35"/>
      <c r="E250" s="35"/>
      <c r="F250" s="34"/>
      <c r="G250" s="35" t="s">
        <v>127</v>
      </c>
      <c r="H250" s="35"/>
      <c r="I250" s="35" t="s">
        <v>55</v>
      </c>
      <c r="J250" s="35" t="s">
        <v>949</v>
      </c>
      <c r="K250" s="34">
        <v>0</v>
      </c>
      <c r="L250" s="35" t="s">
        <v>951</v>
      </c>
      <c r="M250" s="50" t="s">
        <v>266</v>
      </c>
      <c r="N250" s="35"/>
      <c r="O250" s="35"/>
      <c r="P250" s="35"/>
      <c r="Q250" s="35"/>
      <c r="R250" s="35"/>
      <c r="S250" s="35"/>
      <c r="T250" s="35"/>
      <c r="U250" s="35"/>
      <c r="V250" s="35"/>
      <c r="W250" s="35"/>
      <c r="X250" s="35"/>
      <c r="Y250" s="35"/>
      <c r="Z250" s="35"/>
    </row>
    <row r="251" spans="1:26" s="19" customFormat="1" outlineLevel="1">
      <c r="A251" s="33" t="s">
        <v>549</v>
      </c>
      <c r="B251" s="34">
        <f>COUNTA($B$1:B250)</f>
        <v>241</v>
      </c>
      <c r="C251" s="35" t="s">
        <v>953</v>
      </c>
      <c r="D251" s="35"/>
      <c r="E251" s="35"/>
      <c r="F251" s="34"/>
      <c r="G251" s="35" t="s">
        <v>127</v>
      </c>
      <c r="H251" s="35"/>
      <c r="I251" s="35" t="s">
        <v>55</v>
      </c>
      <c r="J251" s="35" t="s">
        <v>949</v>
      </c>
      <c r="K251" s="34">
        <v>0</v>
      </c>
      <c r="L251" s="35" t="s">
        <v>951</v>
      </c>
      <c r="M251" s="50" t="s">
        <v>268</v>
      </c>
      <c r="N251" s="35"/>
      <c r="O251" s="35"/>
      <c r="P251" s="35"/>
      <c r="Q251" s="35"/>
      <c r="R251" s="35"/>
      <c r="S251" s="35"/>
      <c r="T251" s="35"/>
      <c r="U251" s="35"/>
      <c r="V251" s="35"/>
      <c r="W251" s="35"/>
      <c r="X251" s="35"/>
      <c r="Y251" s="35"/>
      <c r="Z251" s="35"/>
    </row>
    <row r="252" spans="1:26">
      <c r="A252" s="33" t="s">
        <v>549</v>
      </c>
      <c r="B252" s="34">
        <f>COUNTA($B$1:B251)</f>
        <v>242</v>
      </c>
      <c r="C252" s="250" t="s">
        <v>226</v>
      </c>
      <c r="D252" s="127"/>
      <c r="E252" s="128"/>
      <c r="F252" s="117"/>
      <c r="G252" s="118" t="s">
        <v>127</v>
      </c>
      <c r="H252" s="118"/>
      <c r="I252" s="118"/>
      <c r="J252" s="118"/>
      <c r="K252" s="117"/>
      <c r="L252" s="118" t="s">
        <v>227</v>
      </c>
      <c r="M252" s="119" t="s">
        <v>79</v>
      </c>
      <c r="N252" s="118"/>
      <c r="O252" s="118"/>
      <c r="P252" s="118"/>
      <c r="Q252" s="118"/>
      <c r="R252" s="118"/>
      <c r="S252" s="118"/>
      <c r="T252" s="118"/>
      <c r="U252" s="118"/>
      <c r="V252" s="118"/>
      <c r="W252" s="118"/>
      <c r="X252" s="118"/>
      <c r="Y252" s="118"/>
      <c r="Z252" s="118"/>
    </row>
    <row r="253" spans="1:26" s="19" customFormat="1" outlineLevel="1">
      <c r="A253" s="33" t="s">
        <v>549</v>
      </c>
      <c r="B253" s="34">
        <f>COUNTA($B$1:B252)</f>
        <v>243</v>
      </c>
      <c r="C253" s="35" t="s">
        <v>67</v>
      </c>
      <c r="D253" s="35"/>
      <c r="E253" s="35"/>
      <c r="F253" s="34"/>
      <c r="G253" s="35" t="s">
        <v>127</v>
      </c>
      <c r="H253" s="35"/>
      <c r="I253" s="35"/>
      <c r="J253" s="35"/>
      <c r="K253" s="34"/>
      <c r="L253" s="35" t="s">
        <v>67</v>
      </c>
      <c r="M253" s="36">
        <v>2</v>
      </c>
      <c r="N253" s="35"/>
      <c r="O253" s="35"/>
      <c r="P253" s="35"/>
      <c r="Q253" s="35"/>
      <c r="R253" s="35"/>
      <c r="S253" s="35"/>
      <c r="T253" s="35"/>
      <c r="U253" s="35"/>
      <c r="V253" s="35"/>
      <c r="W253" s="35"/>
      <c r="X253" s="35"/>
      <c r="Y253" s="35"/>
      <c r="Z253" s="35"/>
    </row>
    <row r="254" spans="1:26">
      <c r="A254" s="116" t="s">
        <v>549</v>
      </c>
      <c r="B254" s="34">
        <f>COUNTA($B$1:B253)</f>
        <v>244</v>
      </c>
      <c r="C254" s="118" t="s">
        <v>262</v>
      </c>
      <c r="D254" s="118"/>
      <c r="E254" s="118"/>
      <c r="F254" s="117"/>
      <c r="G254" s="118" t="s">
        <v>127</v>
      </c>
      <c r="H254" s="118"/>
      <c r="I254" s="118"/>
      <c r="J254" s="118"/>
      <c r="K254" s="117">
        <v>0</v>
      </c>
      <c r="L254" s="118" t="s">
        <v>96</v>
      </c>
      <c r="M254" s="118"/>
      <c r="N254" s="118"/>
      <c r="O254" s="118"/>
      <c r="P254" s="118"/>
      <c r="Q254" s="118"/>
      <c r="R254" s="128"/>
      <c r="S254" s="118"/>
      <c r="T254" s="118"/>
      <c r="U254" s="118"/>
      <c r="V254" s="118"/>
      <c r="W254" s="118"/>
      <c r="X254" s="118"/>
      <c r="Y254" s="118"/>
      <c r="Z254" s="118"/>
    </row>
    <row r="255" spans="1:26">
      <c r="A255" s="116" t="s">
        <v>549</v>
      </c>
      <c r="B255" s="117">
        <f>COUNTA($B$1:B254)</f>
        <v>245</v>
      </c>
      <c r="C255" s="118" t="s">
        <v>67</v>
      </c>
      <c r="D255" s="118"/>
      <c r="E255" s="118"/>
      <c r="F255" s="117"/>
      <c r="G255" s="118" t="s">
        <v>127</v>
      </c>
      <c r="H255" s="118"/>
      <c r="I255" s="118"/>
      <c r="J255" s="118"/>
      <c r="K255" s="117"/>
      <c r="L255" s="118" t="s">
        <v>67</v>
      </c>
      <c r="M255" s="119">
        <v>5</v>
      </c>
      <c r="N255" s="118"/>
      <c r="O255" s="118"/>
      <c r="P255" s="118"/>
      <c r="Q255" s="118"/>
      <c r="R255" s="119"/>
      <c r="S255" s="118"/>
      <c r="T255" s="118"/>
      <c r="U255" s="118"/>
      <c r="V255" s="118"/>
      <c r="W255" s="118"/>
      <c r="X255" s="118"/>
      <c r="Y255" s="118"/>
      <c r="Z255" s="118"/>
    </row>
    <row r="256" spans="1:26">
      <c r="A256" s="116" t="s">
        <v>549</v>
      </c>
      <c r="B256" s="117">
        <f>COUNTA($B$1:B255)</f>
        <v>246</v>
      </c>
      <c r="C256" s="118" t="s">
        <v>312</v>
      </c>
      <c r="D256" s="127"/>
      <c r="E256" s="128" t="s">
        <v>154</v>
      </c>
      <c r="F256" s="117"/>
      <c r="G256" s="118" t="s">
        <v>127</v>
      </c>
      <c r="H256" s="118"/>
      <c r="I256" s="118" t="s">
        <v>55</v>
      </c>
      <c r="J256" s="118" t="s">
        <v>313</v>
      </c>
      <c r="K256" s="117">
        <v>0</v>
      </c>
      <c r="L256" s="118" t="s">
        <v>147</v>
      </c>
      <c r="M256" s="119"/>
      <c r="N256" s="118"/>
      <c r="O256" s="118"/>
      <c r="P256" s="118"/>
      <c r="Q256" s="118"/>
      <c r="R256" s="118"/>
      <c r="S256" s="118"/>
      <c r="T256" s="118"/>
      <c r="U256" s="118"/>
      <c r="V256" s="118"/>
      <c r="W256" s="118"/>
      <c r="X256" s="118"/>
      <c r="Y256" s="118"/>
      <c r="Z256" s="118"/>
    </row>
    <row r="257" spans="1:26">
      <c r="A257" s="116" t="s">
        <v>549</v>
      </c>
      <c r="B257" s="117">
        <f>COUNTA($B$1:B256)</f>
        <v>247</v>
      </c>
      <c r="C257" s="118" t="s">
        <v>67</v>
      </c>
      <c r="D257" s="118"/>
      <c r="E257" s="118"/>
      <c r="F257" s="117"/>
      <c r="G257" s="118" t="s">
        <v>127</v>
      </c>
      <c r="H257" s="118"/>
      <c r="I257" s="118"/>
      <c r="J257" s="118"/>
      <c r="K257" s="117"/>
      <c r="L257" s="118" t="s">
        <v>67</v>
      </c>
      <c r="M257" s="119">
        <v>3</v>
      </c>
      <c r="N257" s="118"/>
      <c r="O257" s="118"/>
      <c r="P257" s="118"/>
      <c r="Q257" s="118"/>
      <c r="R257" s="119"/>
      <c r="S257" s="118"/>
      <c r="T257" s="118"/>
      <c r="U257" s="118"/>
      <c r="V257" s="118"/>
      <c r="W257" s="118"/>
      <c r="X257" s="118"/>
      <c r="Y257" s="118"/>
      <c r="Z257" s="118"/>
    </row>
    <row r="258" spans="1:26">
      <c r="A258" s="116" t="str" cm="1">
        <f t="array" ref="A258">_xlfn.IFS(Global!B2="QA","bln687809",Global!B2="UAT","bln687809",Global!B2="PROD","N")</f>
        <v>bln687809</v>
      </c>
      <c r="B258" s="117">
        <f>COUNTA($B$1:B257)</f>
        <v>248</v>
      </c>
      <c r="C258" s="118" t="s">
        <v>190</v>
      </c>
      <c r="D258" s="118"/>
      <c r="E258" s="118"/>
      <c r="F258" s="117"/>
      <c r="G258" s="118" t="s">
        <v>127</v>
      </c>
      <c r="H258" s="118"/>
      <c r="I258" s="118" t="s">
        <v>55</v>
      </c>
      <c r="J258" s="118" t="s">
        <v>87</v>
      </c>
      <c r="K258" s="117">
        <v>0</v>
      </c>
      <c r="L258" s="118" t="s">
        <v>147</v>
      </c>
      <c r="M258" s="119"/>
      <c r="N258" s="118"/>
      <c r="O258" s="118"/>
      <c r="P258" s="118"/>
      <c r="Q258" s="118"/>
      <c r="R258" s="118"/>
      <c r="S258" s="118"/>
      <c r="T258" s="118"/>
      <c r="U258" s="118"/>
      <c r="V258" s="118"/>
      <c r="W258" s="118"/>
      <c r="X258" s="118"/>
      <c r="Y258" s="118"/>
      <c r="Z258" s="118"/>
    </row>
    <row r="259" spans="1:26">
      <c r="A259" s="116" t="str">
        <f>A258</f>
        <v>bln687809</v>
      </c>
      <c r="B259" s="117">
        <f>COUNTA($B$1:B258)</f>
        <v>249</v>
      </c>
      <c r="C259" s="118" t="s">
        <v>67</v>
      </c>
      <c r="D259" s="118"/>
      <c r="E259" s="118"/>
      <c r="F259" s="117"/>
      <c r="G259" s="118" t="s">
        <v>127</v>
      </c>
      <c r="H259" s="118"/>
      <c r="I259" s="118"/>
      <c r="J259" s="118"/>
      <c r="K259" s="117"/>
      <c r="L259" s="118" t="s">
        <v>67</v>
      </c>
      <c r="M259" s="119">
        <v>10</v>
      </c>
      <c r="N259" s="118"/>
      <c r="O259" s="118"/>
      <c r="P259" s="118"/>
      <c r="Q259" s="118"/>
      <c r="R259" s="119"/>
      <c r="S259" s="118"/>
      <c r="T259" s="118"/>
      <c r="U259" s="118"/>
      <c r="V259" s="118"/>
      <c r="W259" s="118"/>
      <c r="X259" s="118"/>
      <c r="Y259" s="118"/>
      <c r="Z259" s="118"/>
    </row>
    <row r="260" spans="1:26">
      <c r="A260" s="30" t="s">
        <v>100</v>
      </c>
      <c r="B260" s="31"/>
      <c r="C260" s="31"/>
      <c r="D260" s="32"/>
      <c r="E260" s="32"/>
      <c r="F260" s="31"/>
      <c r="G260" s="32"/>
      <c r="H260" s="32"/>
      <c r="I260" s="32"/>
      <c r="J260" s="32"/>
      <c r="K260" s="31"/>
      <c r="L260" s="32"/>
      <c r="M260" s="32"/>
      <c r="N260" s="32"/>
      <c r="O260" s="32"/>
      <c r="P260" s="32"/>
      <c r="Q260" s="32"/>
      <c r="R260" s="32"/>
      <c r="S260" s="32"/>
      <c r="T260" s="32"/>
      <c r="U260" s="32"/>
      <c r="V260" s="32"/>
      <c r="W260" s="32"/>
      <c r="X260" s="32"/>
      <c r="Y260" s="32"/>
      <c r="Z260" s="32"/>
    </row>
    <row r="261" spans="1:26">
      <c r="A261" s="116" t="str">
        <f>A259</f>
        <v>bln687809</v>
      </c>
      <c r="B261" s="117">
        <f>COUNTA($B$1:B260)</f>
        <v>250</v>
      </c>
      <c r="C261" s="118" t="s">
        <v>67</v>
      </c>
      <c r="D261" s="118"/>
      <c r="E261" s="118"/>
      <c r="F261" s="117"/>
      <c r="G261" s="118" t="s">
        <v>127</v>
      </c>
      <c r="H261" s="118"/>
      <c r="I261" s="118"/>
      <c r="J261" s="118"/>
      <c r="K261" s="117"/>
      <c r="L261" s="118" t="s">
        <v>67</v>
      </c>
      <c r="M261" s="119">
        <v>3</v>
      </c>
      <c r="N261" s="118"/>
      <c r="O261" s="118"/>
      <c r="P261" s="118"/>
      <c r="Q261" s="118"/>
      <c r="R261" s="119"/>
      <c r="S261" s="118"/>
      <c r="T261" s="118"/>
      <c r="U261" s="118"/>
      <c r="V261" s="118"/>
      <c r="W261" s="118"/>
      <c r="X261" s="118"/>
      <c r="Y261" s="118"/>
      <c r="Z261" s="118"/>
    </row>
    <row r="262" spans="1:26">
      <c r="A262" s="116" t="str">
        <f>A261</f>
        <v>bln687809</v>
      </c>
      <c r="B262" s="117">
        <f>COUNTA($B$1:B261)</f>
        <v>251</v>
      </c>
      <c r="C262" s="118" t="s">
        <v>314</v>
      </c>
      <c r="D262" s="118"/>
      <c r="E262" s="118"/>
      <c r="F262" s="117"/>
      <c r="G262" s="118" t="s">
        <v>127</v>
      </c>
      <c r="H262" s="118"/>
      <c r="I262" s="118" t="s">
        <v>55</v>
      </c>
      <c r="J262" s="118" t="s">
        <v>533</v>
      </c>
      <c r="K262" s="117">
        <v>0</v>
      </c>
      <c r="L262" s="118" t="s">
        <v>98</v>
      </c>
      <c r="M262" s="118"/>
      <c r="N262" s="118" t="s">
        <v>99</v>
      </c>
      <c r="O262" s="118"/>
      <c r="P262" s="118"/>
      <c r="Q262" s="118"/>
      <c r="R262" s="135" t="s">
        <v>584</v>
      </c>
      <c r="S262" s="118"/>
      <c r="T262" s="118" t="s">
        <v>2</v>
      </c>
      <c r="U262" s="118"/>
      <c r="V262" s="118"/>
      <c r="W262" s="118"/>
      <c r="X262" s="118"/>
      <c r="Y262" s="118"/>
      <c r="Z262" s="118"/>
    </row>
    <row r="263" spans="1:26">
      <c r="A263" s="116" t="str">
        <f t="shared" ref="A263:A284" si="2">A262</f>
        <v>bln687809</v>
      </c>
      <c r="B263" s="117">
        <f>COUNTA($B$1:B262)</f>
        <v>252</v>
      </c>
      <c r="C263" s="136" t="s">
        <v>317</v>
      </c>
      <c r="D263" s="137"/>
      <c r="E263" s="138" t="s">
        <v>154</v>
      </c>
      <c r="F263" s="139"/>
      <c r="G263" s="136" t="s">
        <v>127</v>
      </c>
      <c r="H263" s="136"/>
      <c r="I263" s="136" t="s">
        <v>55</v>
      </c>
      <c r="J263" s="136" t="s">
        <v>456</v>
      </c>
      <c r="K263" s="117">
        <v>0</v>
      </c>
      <c r="L263" s="136" t="s">
        <v>98</v>
      </c>
      <c r="M263" s="136"/>
      <c r="N263" s="136" t="s">
        <v>99</v>
      </c>
      <c r="O263" s="136"/>
      <c r="P263" s="136"/>
      <c r="Q263" s="136"/>
      <c r="R263" s="138" t="s">
        <v>319</v>
      </c>
      <c r="S263" s="138" t="s">
        <v>319</v>
      </c>
      <c r="T263" s="136" t="s">
        <v>2</v>
      </c>
      <c r="U263" s="136"/>
      <c r="V263" s="136"/>
      <c r="W263" s="118"/>
      <c r="X263" s="118"/>
      <c r="Y263" s="118"/>
      <c r="Z263" s="118"/>
    </row>
    <row r="264" spans="1:26">
      <c r="A264" s="116" t="str">
        <f t="shared" si="2"/>
        <v>bln687809</v>
      </c>
      <c r="B264" s="117">
        <f>COUNTA($B$1:B263)</f>
        <v>253</v>
      </c>
      <c r="C264" s="136" t="s">
        <v>320</v>
      </c>
      <c r="D264" s="137"/>
      <c r="E264" s="138" t="s">
        <v>154</v>
      </c>
      <c r="F264" s="139"/>
      <c r="G264" s="136" t="s">
        <v>127</v>
      </c>
      <c r="H264" s="136"/>
      <c r="I264" s="136" t="s">
        <v>55</v>
      </c>
      <c r="J264" s="136" t="s">
        <v>458</v>
      </c>
      <c r="K264" s="117">
        <v>0</v>
      </c>
      <c r="L264" s="136" t="s">
        <v>98</v>
      </c>
      <c r="M264" s="136"/>
      <c r="N264" s="136" t="s">
        <v>99</v>
      </c>
      <c r="O264" s="136"/>
      <c r="P264" s="136"/>
      <c r="Q264" s="136"/>
      <c r="R264" s="138" t="s">
        <v>322</v>
      </c>
      <c r="S264" s="138" t="s">
        <v>322</v>
      </c>
      <c r="T264" s="136" t="s">
        <v>2</v>
      </c>
      <c r="U264" s="136"/>
      <c r="V264" s="136"/>
      <c r="W264" s="118"/>
      <c r="X264" s="118"/>
      <c r="Y264" s="118"/>
      <c r="Z264" s="118"/>
    </row>
    <row r="265" spans="1:26">
      <c r="A265" s="116" t="str">
        <f t="shared" si="2"/>
        <v>bln687809</v>
      </c>
      <c r="B265" s="117">
        <f>COUNTA($B$1:B264)</f>
        <v>254</v>
      </c>
      <c r="C265" s="136" t="s">
        <v>323</v>
      </c>
      <c r="D265" s="137"/>
      <c r="E265" s="138"/>
      <c r="F265" s="139"/>
      <c r="G265" s="136" t="s">
        <v>127</v>
      </c>
      <c r="H265" s="136"/>
      <c r="I265" s="136" t="s">
        <v>55</v>
      </c>
      <c r="J265" s="136" t="s">
        <v>534</v>
      </c>
      <c r="K265" s="117">
        <v>0</v>
      </c>
      <c r="L265" s="136" t="s">
        <v>98</v>
      </c>
      <c r="M265" s="136"/>
      <c r="N265" s="136" t="s">
        <v>99</v>
      </c>
      <c r="O265" s="136"/>
      <c r="P265" s="136"/>
      <c r="Q265" s="136"/>
      <c r="R265" s="138" t="s">
        <v>101</v>
      </c>
      <c r="S265" s="136"/>
      <c r="T265" s="136" t="s">
        <v>2</v>
      </c>
      <c r="U265" s="136"/>
      <c r="V265" s="136"/>
      <c r="W265" s="118"/>
      <c r="X265" s="118"/>
      <c r="Y265" s="118"/>
      <c r="Z265" s="118"/>
    </row>
    <row r="266" spans="1:26">
      <c r="A266" s="116" t="str">
        <f t="shared" si="2"/>
        <v>bln687809</v>
      </c>
      <c r="B266" s="117">
        <f>COUNTA($B$1:B265)</f>
        <v>255</v>
      </c>
      <c r="C266" s="136" t="s">
        <v>325</v>
      </c>
      <c r="D266" s="137"/>
      <c r="E266" s="138"/>
      <c r="F266" s="139"/>
      <c r="G266" s="136" t="s">
        <v>127</v>
      </c>
      <c r="H266" s="136"/>
      <c r="I266" s="136" t="s">
        <v>55</v>
      </c>
      <c r="J266" s="136" t="s">
        <v>326</v>
      </c>
      <c r="K266" s="117">
        <v>0</v>
      </c>
      <c r="L266" s="136" t="s">
        <v>98</v>
      </c>
      <c r="M266" s="136"/>
      <c r="N266" s="136" t="s">
        <v>99</v>
      </c>
      <c r="O266" s="136"/>
      <c r="P266" s="136"/>
      <c r="Q266" s="136"/>
      <c r="R266" s="138" t="s">
        <v>322</v>
      </c>
      <c r="S266" s="136"/>
      <c r="T266" s="136" t="s">
        <v>2</v>
      </c>
      <c r="U266" s="136"/>
      <c r="V266" s="136"/>
      <c r="W266" s="118"/>
      <c r="X266" s="128"/>
      <c r="Y266" s="128"/>
      <c r="Z266" s="128"/>
    </row>
    <row r="267" spans="1:26">
      <c r="A267" s="116" t="str">
        <f t="shared" si="2"/>
        <v>bln687809</v>
      </c>
      <c r="B267" s="117">
        <f>COUNTA($B$1:B266)</f>
        <v>256</v>
      </c>
      <c r="C267" s="118" t="s">
        <v>327</v>
      </c>
      <c r="D267" s="127"/>
      <c r="E267" s="128"/>
      <c r="F267" s="117"/>
      <c r="G267" s="118" t="s">
        <v>127</v>
      </c>
      <c r="H267" s="118"/>
      <c r="I267" s="118" t="s">
        <v>55</v>
      </c>
      <c r="J267" s="118" t="s">
        <v>328</v>
      </c>
      <c r="K267" s="117">
        <v>0</v>
      </c>
      <c r="L267" s="118" t="s">
        <v>98</v>
      </c>
      <c r="M267" s="118"/>
      <c r="N267" s="118" t="s">
        <v>99</v>
      </c>
      <c r="O267" s="118"/>
      <c r="P267" s="118"/>
      <c r="Q267" s="118"/>
      <c r="R267" s="118"/>
      <c r="S267" s="118" t="s">
        <v>329</v>
      </c>
      <c r="T267" s="118"/>
      <c r="U267" s="118"/>
      <c r="V267" s="118"/>
      <c r="W267" s="118"/>
      <c r="X267" s="118"/>
      <c r="Y267" s="118"/>
      <c r="Z267" s="118"/>
    </row>
    <row r="268" spans="1:26">
      <c r="A268" s="116" t="str">
        <f t="shared" si="2"/>
        <v>bln687809</v>
      </c>
      <c r="B268" s="117">
        <f>COUNTA($B$1:B267)</f>
        <v>257</v>
      </c>
      <c r="C268" s="118" t="s">
        <v>330</v>
      </c>
      <c r="D268" s="118"/>
      <c r="E268" s="118"/>
      <c r="F268" s="117"/>
      <c r="G268" s="118" t="s">
        <v>127</v>
      </c>
      <c r="H268" s="118"/>
      <c r="I268" s="118" t="s">
        <v>55</v>
      </c>
      <c r="J268" s="118" t="s">
        <v>430</v>
      </c>
      <c r="K268" s="117">
        <v>0</v>
      </c>
      <c r="L268" s="118" t="s">
        <v>98</v>
      </c>
      <c r="M268" s="119"/>
      <c r="N268" s="118" t="s">
        <v>99</v>
      </c>
      <c r="O268" s="118"/>
      <c r="P268" s="118"/>
      <c r="Q268" s="118"/>
      <c r="R268" s="135" t="s">
        <v>128</v>
      </c>
      <c r="S268" s="118"/>
      <c r="T268" s="118" t="s">
        <v>2</v>
      </c>
      <c r="U268" s="118"/>
      <c r="V268" s="118"/>
      <c r="W268" s="118"/>
      <c r="X268" s="128"/>
      <c r="Y268" s="128"/>
      <c r="Z268" s="128"/>
    </row>
    <row r="269" spans="1:26">
      <c r="A269" s="116" t="str">
        <f t="shared" si="2"/>
        <v>bln687809</v>
      </c>
      <c r="B269" s="117">
        <f>COUNTA($B$1:B268)</f>
        <v>258</v>
      </c>
      <c r="C269" s="118" t="s">
        <v>331</v>
      </c>
      <c r="D269" s="118"/>
      <c r="E269" s="118"/>
      <c r="F269" s="117"/>
      <c r="G269" s="118" t="s">
        <v>127</v>
      </c>
      <c r="H269" s="118"/>
      <c r="I269" s="118" t="s">
        <v>55</v>
      </c>
      <c r="J269" s="118" t="s">
        <v>460</v>
      </c>
      <c r="K269" s="117">
        <v>0</v>
      </c>
      <c r="L269" s="118" t="s">
        <v>98</v>
      </c>
      <c r="M269" s="119"/>
      <c r="N269" s="118" t="s">
        <v>99</v>
      </c>
      <c r="O269" s="118"/>
      <c r="P269" s="118"/>
      <c r="Q269" s="118"/>
      <c r="R269" s="128" t="s">
        <v>585</v>
      </c>
      <c r="S269" s="118"/>
      <c r="T269" s="118" t="s">
        <v>2</v>
      </c>
      <c r="U269" s="118"/>
      <c r="V269" s="118"/>
      <c r="W269" s="118"/>
      <c r="X269" s="118"/>
      <c r="Y269" s="118"/>
      <c r="Z269" s="118"/>
    </row>
    <row r="270" spans="1:26">
      <c r="A270" s="116" t="str">
        <f t="shared" si="2"/>
        <v>bln687809</v>
      </c>
      <c r="B270" s="117">
        <f>COUNTA($B$1:B269)</f>
        <v>259</v>
      </c>
      <c r="C270" s="118" t="s">
        <v>334</v>
      </c>
      <c r="D270" s="118"/>
      <c r="E270" s="118"/>
      <c r="F270" s="117"/>
      <c r="G270" s="118" t="s">
        <v>127</v>
      </c>
      <c r="H270" s="118"/>
      <c r="I270" s="118" t="s">
        <v>55</v>
      </c>
      <c r="J270" s="118" t="s">
        <v>463</v>
      </c>
      <c r="K270" s="117">
        <v>0</v>
      </c>
      <c r="L270" s="118" t="s">
        <v>98</v>
      </c>
      <c r="M270" s="119"/>
      <c r="N270" s="118" t="s">
        <v>99</v>
      </c>
      <c r="O270" s="118"/>
      <c r="P270" s="118"/>
      <c r="Q270" s="118"/>
      <c r="R270" s="128" t="s">
        <v>586</v>
      </c>
      <c r="S270" s="118"/>
      <c r="T270" s="118" t="s">
        <v>2</v>
      </c>
      <c r="U270" s="118"/>
      <c r="V270" s="118"/>
      <c r="W270" s="118"/>
      <c r="X270" s="128"/>
      <c r="Y270" s="128"/>
      <c r="Z270" s="128"/>
    </row>
    <row r="271" spans="1:26">
      <c r="A271" s="116" t="str">
        <f t="shared" si="2"/>
        <v>bln687809</v>
      </c>
      <c r="B271" s="117">
        <f>COUNTA($B$1:B270)</f>
        <v>260</v>
      </c>
      <c r="C271" s="118" t="s">
        <v>337</v>
      </c>
      <c r="D271" s="118"/>
      <c r="E271" s="118"/>
      <c r="F271" s="117"/>
      <c r="G271" s="118" t="s">
        <v>127</v>
      </c>
      <c r="H271" s="118"/>
      <c r="I271" s="118" t="s">
        <v>55</v>
      </c>
      <c r="J271" s="118" t="s">
        <v>466</v>
      </c>
      <c r="K271" s="117">
        <v>0</v>
      </c>
      <c r="L271" s="118" t="s">
        <v>98</v>
      </c>
      <c r="M271" s="119"/>
      <c r="N271" s="118" t="s">
        <v>99</v>
      </c>
      <c r="O271" s="118"/>
      <c r="P271" s="118"/>
      <c r="Q271" s="118"/>
      <c r="R271" s="128" t="s">
        <v>587</v>
      </c>
      <c r="S271" s="118"/>
      <c r="T271" s="118" t="s">
        <v>2</v>
      </c>
      <c r="U271" s="118"/>
      <c r="V271" s="118"/>
      <c r="W271" s="118"/>
      <c r="X271" s="118"/>
      <c r="Y271" s="118"/>
      <c r="Z271" s="118"/>
    </row>
    <row r="272" spans="1:26">
      <c r="A272" s="116" t="str">
        <f t="shared" si="2"/>
        <v>bln687809</v>
      </c>
      <c r="B272" s="117">
        <f>COUNTA($B$1:B271)</f>
        <v>261</v>
      </c>
      <c r="C272" s="118" t="s">
        <v>340</v>
      </c>
      <c r="D272" s="118"/>
      <c r="E272" s="118"/>
      <c r="F272" s="117"/>
      <c r="G272" s="118" t="s">
        <v>127</v>
      </c>
      <c r="H272" s="118"/>
      <c r="I272" s="118" t="s">
        <v>55</v>
      </c>
      <c r="J272" s="118" t="s">
        <v>469</v>
      </c>
      <c r="K272" s="117">
        <v>0</v>
      </c>
      <c r="L272" s="118" t="s">
        <v>98</v>
      </c>
      <c r="M272" s="119"/>
      <c r="N272" s="118" t="s">
        <v>99</v>
      </c>
      <c r="O272" s="118"/>
      <c r="P272" s="118"/>
      <c r="Q272" s="118"/>
      <c r="R272" s="128" t="s">
        <v>588</v>
      </c>
      <c r="S272" s="118"/>
      <c r="T272" s="118" t="s">
        <v>2</v>
      </c>
      <c r="U272" s="118"/>
      <c r="V272" s="118"/>
      <c r="W272" s="118"/>
      <c r="X272" s="128"/>
      <c r="Y272" s="128"/>
      <c r="Z272" s="128"/>
    </row>
    <row r="273" spans="1:26">
      <c r="A273" s="116" t="str">
        <f t="shared" si="2"/>
        <v>bln687809</v>
      </c>
      <c r="B273" s="117">
        <f>COUNTA($B$1:B272)</f>
        <v>262</v>
      </c>
      <c r="C273" s="118" t="s">
        <v>343</v>
      </c>
      <c r="D273" s="118"/>
      <c r="E273" s="118"/>
      <c r="F273" s="117"/>
      <c r="G273" s="118" t="s">
        <v>127</v>
      </c>
      <c r="H273" s="118"/>
      <c r="I273" s="118" t="s">
        <v>55</v>
      </c>
      <c r="J273" s="118" t="s">
        <v>472</v>
      </c>
      <c r="K273" s="117">
        <v>0</v>
      </c>
      <c r="L273" s="118" t="s">
        <v>98</v>
      </c>
      <c r="M273" s="119"/>
      <c r="N273" s="118" t="s">
        <v>99</v>
      </c>
      <c r="O273" s="118"/>
      <c r="P273" s="118"/>
      <c r="Q273" s="118"/>
      <c r="R273" s="128" t="s">
        <v>589</v>
      </c>
      <c r="S273" s="118"/>
      <c r="T273" s="118" t="s">
        <v>2</v>
      </c>
      <c r="U273" s="118"/>
      <c r="V273" s="118"/>
      <c r="W273" s="118"/>
      <c r="X273" s="118"/>
      <c r="Y273" s="118"/>
      <c r="Z273" s="118"/>
    </row>
    <row r="274" spans="1:26">
      <c r="A274" s="116" t="str">
        <f t="shared" si="2"/>
        <v>bln687809</v>
      </c>
      <c r="B274" s="117">
        <f>COUNTA($B$1:B273)</f>
        <v>263</v>
      </c>
      <c r="C274" s="118" t="s">
        <v>346</v>
      </c>
      <c r="D274" s="118"/>
      <c r="E274" s="118"/>
      <c r="F274" s="117"/>
      <c r="G274" s="118" t="s">
        <v>127</v>
      </c>
      <c r="H274" s="118"/>
      <c r="I274" s="118" t="s">
        <v>55</v>
      </c>
      <c r="J274" s="118" t="s">
        <v>475</v>
      </c>
      <c r="K274" s="117">
        <v>0</v>
      </c>
      <c r="L274" s="118" t="s">
        <v>98</v>
      </c>
      <c r="M274" s="119"/>
      <c r="N274" s="118" t="s">
        <v>99</v>
      </c>
      <c r="O274" s="118"/>
      <c r="P274" s="118"/>
      <c r="Q274" s="118"/>
      <c r="R274" s="128" t="s">
        <v>590</v>
      </c>
      <c r="S274" s="118"/>
      <c r="T274" s="118" t="s">
        <v>2</v>
      </c>
      <c r="U274" s="118"/>
      <c r="V274" s="118"/>
      <c r="W274" s="118"/>
      <c r="X274" s="128"/>
      <c r="Y274" s="128"/>
      <c r="Z274" s="128"/>
    </row>
    <row r="275" spans="1:26">
      <c r="A275" s="116" t="str">
        <f t="shared" si="2"/>
        <v>bln687809</v>
      </c>
      <c r="B275" s="117">
        <f>COUNTA($B$1:B274)</f>
        <v>264</v>
      </c>
      <c r="C275" s="118" t="s">
        <v>349</v>
      </c>
      <c r="D275" s="118"/>
      <c r="E275" s="118"/>
      <c r="F275" s="117"/>
      <c r="G275" s="118" t="s">
        <v>127</v>
      </c>
      <c r="H275" s="118"/>
      <c r="I275" s="118" t="s">
        <v>55</v>
      </c>
      <c r="J275" s="118" t="s">
        <v>478</v>
      </c>
      <c r="K275" s="117">
        <v>0</v>
      </c>
      <c r="L275" s="118" t="s">
        <v>98</v>
      </c>
      <c r="M275" s="119"/>
      <c r="N275" s="118" t="s">
        <v>99</v>
      </c>
      <c r="O275" s="118"/>
      <c r="P275" s="118"/>
      <c r="Q275" s="118"/>
      <c r="R275" s="128" t="s">
        <v>591</v>
      </c>
      <c r="S275" s="118"/>
      <c r="T275" s="118" t="s">
        <v>2</v>
      </c>
      <c r="U275" s="118"/>
      <c r="V275" s="118"/>
      <c r="W275" s="118"/>
      <c r="X275" s="118"/>
      <c r="Y275" s="118"/>
      <c r="Z275" s="118"/>
    </row>
    <row r="276" spans="1:26">
      <c r="A276" s="116" t="str">
        <f t="shared" si="2"/>
        <v>bln687809</v>
      </c>
      <c r="B276" s="117">
        <f>COUNTA($B$1:B275)</f>
        <v>265</v>
      </c>
      <c r="C276" s="118" t="s">
        <v>352</v>
      </c>
      <c r="D276" s="118"/>
      <c r="E276" s="118"/>
      <c r="F276" s="117"/>
      <c r="G276" s="118" t="s">
        <v>127</v>
      </c>
      <c r="H276" s="118"/>
      <c r="I276" s="118" t="s">
        <v>55</v>
      </c>
      <c r="J276" s="118" t="s">
        <v>423</v>
      </c>
      <c r="K276" s="117">
        <v>0</v>
      </c>
      <c r="L276" s="118" t="s">
        <v>98</v>
      </c>
      <c r="M276" s="119"/>
      <c r="N276" s="118" t="s">
        <v>99</v>
      </c>
      <c r="O276" s="118"/>
      <c r="P276" s="118"/>
      <c r="Q276" s="118"/>
      <c r="R276" s="119" t="str">
        <f>TEXT(M120,"0")</f>
        <v>Destination1</v>
      </c>
      <c r="S276" s="118"/>
      <c r="T276" s="118" t="s">
        <v>2</v>
      </c>
      <c r="U276" s="118"/>
      <c r="V276" s="118"/>
      <c r="W276" s="118"/>
      <c r="X276" s="118"/>
      <c r="Y276" s="118"/>
      <c r="Z276" s="118"/>
    </row>
    <row r="277" spans="1:26">
      <c r="A277" s="116" t="str">
        <f t="shared" si="2"/>
        <v>bln687809</v>
      </c>
      <c r="B277" s="117">
        <f>COUNTA($B$1:B276)</f>
        <v>266</v>
      </c>
      <c r="C277" s="118" t="s">
        <v>354</v>
      </c>
      <c r="D277" s="118"/>
      <c r="E277" s="118"/>
      <c r="F277" s="117"/>
      <c r="G277" s="118" t="s">
        <v>127</v>
      </c>
      <c r="H277" s="118"/>
      <c r="I277" s="118" t="s">
        <v>55</v>
      </c>
      <c r="J277" s="118" t="s">
        <v>355</v>
      </c>
      <c r="K277" s="117">
        <v>0</v>
      </c>
      <c r="L277" s="118" t="s">
        <v>98</v>
      </c>
      <c r="M277" s="119"/>
      <c r="N277" s="118" t="s">
        <v>99</v>
      </c>
      <c r="O277" s="118"/>
      <c r="P277" s="118"/>
      <c r="Q277" s="118"/>
      <c r="R277" s="119" t="str">
        <f>TEXT(M123,"mm/dd/yyyy")</f>
        <v>DepDate1</v>
      </c>
      <c r="S277" s="118"/>
      <c r="T277" s="118" t="s">
        <v>2</v>
      </c>
      <c r="U277" s="118"/>
      <c r="V277" s="118"/>
      <c r="W277" s="118"/>
      <c r="X277" s="118"/>
      <c r="Y277" s="118"/>
      <c r="Z277" s="118"/>
    </row>
    <row r="278" spans="1:26">
      <c r="A278" s="116" t="str">
        <f t="shared" si="2"/>
        <v>bln687809</v>
      </c>
      <c r="B278" s="117">
        <f>COUNTA($B$1:B277)</f>
        <v>267</v>
      </c>
      <c r="C278" s="118" t="s">
        <v>356</v>
      </c>
      <c r="D278" s="118"/>
      <c r="E278" s="118"/>
      <c r="F278" s="117"/>
      <c r="G278" s="118" t="s">
        <v>127</v>
      </c>
      <c r="H278" s="118"/>
      <c r="I278" s="118" t="s">
        <v>55</v>
      </c>
      <c r="J278" s="118" t="s">
        <v>357</v>
      </c>
      <c r="K278" s="117">
        <v>0</v>
      </c>
      <c r="L278" s="118" t="s">
        <v>98</v>
      </c>
      <c r="M278" s="119"/>
      <c r="N278" s="118" t="s">
        <v>99</v>
      </c>
      <c r="O278" s="118"/>
      <c r="P278" s="118"/>
      <c r="Q278" s="118"/>
      <c r="R278" s="119" t="str">
        <f>TEXT(M124,"mm/dd/yyyy")</f>
        <v>RetDate1</v>
      </c>
      <c r="S278" s="118"/>
      <c r="T278" s="118" t="s">
        <v>2</v>
      </c>
      <c r="U278" s="118"/>
      <c r="V278" s="118"/>
      <c r="W278" s="118"/>
      <c r="X278" s="118"/>
      <c r="Y278" s="118"/>
      <c r="Z278" s="118"/>
    </row>
    <row r="279" spans="1:26">
      <c r="A279" s="116" t="str">
        <f t="shared" si="2"/>
        <v>bln687809</v>
      </c>
      <c r="B279" s="117">
        <f>COUNTA($B$1:B278)</f>
        <v>268</v>
      </c>
      <c r="C279" s="118" t="s">
        <v>539</v>
      </c>
      <c r="D279" s="118"/>
      <c r="E279" s="118"/>
      <c r="F279" s="117"/>
      <c r="G279" s="118" t="s">
        <v>127</v>
      </c>
      <c r="H279" s="118"/>
      <c r="I279" s="118" t="s">
        <v>55</v>
      </c>
      <c r="J279" s="118" t="s">
        <v>480</v>
      </c>
      <c r="K279" s="117">
        <v>0</v>
      </c>
      <c r="L279" s="118" t="s">
        <v>98</v>
      </c>
      <c r="M279" s="119"/>
      <c r="N279" s="118" t="s">
        <v>99</v>
      </c>
      <c r="O279" s="118"/>
      <c r="P279" s="118"/>
      <c r="Q279" s="118"/>
      <c r="R279" s="119" t="s">
        <v>128</v>
      </c>
      <c r="S279" s="128"/>
      <c r="T279" s="118" t="s">
        <v>2</v>
      </c>
      <c r="U279" s="118"/>
      <c r="V279" s="118"/>
      <c r="W279" s="118"/>
      <c r="X279" s="118"/>
      <c r="Y279" s="118"/>
      <c r="Z279" s="118"/>
    </row>
    <row r="280" spans="1:26">
      <c r="A280" s="116" t="str">
        <f t="shared" si="2"/>
        <v>bln687809</v>
      </c>
      <c r="B280" s="117">
        <f>COUNTA($B$1:B279)</f>
        <v>269</v>
      </c>
      <c r="C280" s="118" t="s">
        <v>360</v>
      </c>
      <c r="D280" s="118"/>
      <c r="E280" s="118"/>
      <c r="F280" s="117"/>
      <c r="G280" s="118" t="s">
        <v>127</v>
      </c>
      <c r="H280" s="118"/>
      <c r="I280" s="118" t="s">
        <v>55</v>
      </c>
      <c r="J280" s="118" t="s">
        <v>481</v>
      </c>
      <c r="K280" s="117">
        <v>0</v>
      </c>
      <c r="L280" s="118" t="s">
        <v>98</v>
      </c>
      <c r="M280" s="119"/>
      <c r="N280" s="118" t="s">
        <v>99</v>
      </c>
      <c r="O280" s="118"/>
      <c r="P280" s="118"/>
      <c r="Q280" s="118"/>
      <c r="R280" s="119"/>
      <c r="S280" s="118"/>
      <c r="T280" s="118"/>
      <c r="U280" s="118"/>
      <c r="V280" s="118"/>
      <c r="W280" s="118"/>
      <c r="X280" s="118"/>
      <c r="Y280" s="118"/>
      <c r="Z280" s="118"/>
    </row>
    <row r="281" spans="1:26">
      <c r="A281" s="116" t="str">
        <f t="shared" si="2"/>
        <v>bln687809</v>
      </c>
      <c r="B281" s="117">
        <f>COUNTA($B$1:B280)</f>
        <v>270</v>
      </c>
      <c r="C281" s="118" t="s">
        <v>362</v>
      </c>
      <c r="D281" s="118"/>
      <c r="E281" s="118"/>
      <c r="F281" s="117"/>
      <c r="G281" s="118" t="s">
        <v>127</v>
      </c>
      <c r="H281" s="118"/>
      <c r="I281" s="118" t="s">
        <v>55</v>
      </c>
      <c r="J281" s="118" t="s">
        <v>482</v>
      </c>
      <c r="K281" s="117">
        <v>0</v>
      </c>
      <c r="L281" s="118" t="s">
        <v>98</v>
      </c>
      <c r="M281" s="119"/>
      <c r="N281" s="118" t="s">
        <v>99</v>
      </c>
      <c r="O281" s="118"/>
      <c r="P281" s="118"/>
      <c r="Q281" s="118"/>
      <c r="R281" s="119"/>
      <c r="S281" s="118"/>
      <c r="T281" s="118"/>
      <c r="U281" s="118"/>
      <c r="V281" s="118"/>
      <c r="W281" s="118"/>
      <c r="X281" s="118"/>
      <c r="Y281" s="118"/>
      <c r="Z281" s="118"/>
    </row>
    <row r="282" spans="1:26">
      <c r="A282" s="116" t="str">
        <f t="shared" si="2"/>
        <v>bln687809</v>
      </c>
      <c r="B282" s="117">
        <f>COUNTA($B$1:B281)</f>
        <v>271</v>
      </c>
      <c r="C282" s="118" t="s">
        <v>364</v>
      </c>
      <c r="D282" s="118"/>
      <c r="E282" s="118"/>
      <c r="F282" s="117"/>
      <c r="G282" s="118" t="s">
        <v>127</v>
      </c>
      <c r="H282" s="118"/>
      <c r="I282" s="118" t="s">
        <v>55</v>
      </c>
      <c r="J282" s="118" t="s">
        <v>365</v>
      </c>
      <c r="K282" s="117">
        <v>0</v>
      </c>
      <c r="L282" s="118" t="s">
        <v>98</v>
      </c>
      <c r="M282" s="119"/>
      <c r="N282" s="118" t="s">
        <v>99</v>
      </c>
      <c r="O282" s="118"/>
      <c r="P282" s="118"/>
      <c r="Q282" s="118"/>
      <c r="R282" s="135" t="str">
        <f>TEXT(M200,"mm/dd/yyyy")</f>
        <v>BirthDate2</v>
      </c>
      <c r="S282" s="118"/>
      <c r="T282" s="118" t="s">
        <v>2</v>
      </c>
      <c r="U282" s="118"/>
      <c r="V282" s="118"/>
      <c r="W282" s="118"/>
      <c r="X282" s="118"/>
      <c r="Y282" s="118"/>
      <c r="Z282" s="118"/>
    </row>
    <row r="283" spans="1:26">
      <c r="A283" s="116" t="str">
        <f t="shared" si="2"/>
        <v>bln687809</v>
      </c>
      <c r="B283" s="117">
        <f>COUNTA($B$1:B282)</f>
        <v>272</v>
      </c>
      <c r="C283" s="118" t="s">
        <v>366</v>
      </c>
      <c r="D283" s="118"/>
      <c r="E283" s="118"/>
      <c r="F283" s="117"/>
      <c r="G283" s="118" t="s">
        <v>127</v>
      </c>
      <c r="H283" s="118"/>
      <c r="I283" s="118" t="s">
        <v>55</v>
      </c>
      <c r="J283" s="118" t="s">
        <v>367</v>
      </c>
      <c r="K283" s="117">
        <v>0</v>
      </c>
      <c r="L283" s="118" t="s">
        <v>98</v>
      </c>
      <c r="M283" s="119"/>
      <c r="N283" s="118" t="s">
        <v>99</v>
      </c>
      <c r="O283" s="118"/>
      <c r="P283" s="118"/>
      <c r="Q283" s="118"/>
      <c r="R283" s="135" t="str">
        <f>TEXT(M212,"0")</f>
        <v>Phone1</v>
      </c>
      <c r="S283" s="118"/>
      <c r="T283" s="118" t="s">
        <v>2</v>
      </c>
      <c r="U283" s="118"/>
      <c r="V283" s="118"/>
      <c r="W283" s="118"/>
      <c r="X283" s="118"/>
      <c r="Y283" s="118"/>
      <c r="Z283" s="118"/>
    </row>
    <row r="284" spans="1:26">
      <c r="A284" s="116" t="str">
        <f t="shared" si="2"/>
        <v>bln687809</v>
      </c>
      <c r="B284" s="117">
        <f>COUNTA($B$1:B283)</f>
        <v>273</v>
      </c>
      <c r="C284" s="118" t="s">
        <v>592</v>
      </c>
      <c r="D284" s="118"/>
      <c r="E284" s="118"/>
      <c r="F284" s="117"/>
      <c r="G284" s="118" t="s">
        <v>127</v>
      </c>
      <c r="H284" s="118"/>
      <c r="I284" s="118" t="s">
        <v>55</v>
      </c>
      <c r="J284" s="118" t="s">
        <v>485</v>
      </c>
      <c r="K284" s="117">
        <v>0</v>
      </c>
      <c r="L284" s="118" t="s">
        <v>98</v>
      </c>
      <c r="M284" s="119"/>
      <c r="N284" s="118" t="s">
        <v>99</v>
      </c>
      <c r="O284" s="118"/>
      <c r="P284" s="118"/>
      <c r="Q284" s="118"/>
      <c r="R284" s="119" t="s">
        <v>128</v>
      </c>
      <c r="S284" s="118"/>
      <c r="T284" s="118" t="s">
        <v>2</v>
      </c>
      <c r="U284" s="118"/>
      <c r="V284" s="118"/>
      <c r="W284" s="118"/>
      <c r="X284" s="118"/>
      <c r="Y284" s="118"/>
      <c r="Z284" s="118"/>
    </row>
    <row r="285" spans="1:26">
      <c r="A285" s="116" t="str">
        <f>IF(Global!B2="QA","Y","N")</f>
        <v>N</v>
      </c>
      <c r="B285" s="117">
        <f>COUNTA($B$1:B284)</f>
        <v>274</v>
      </c>
      <c r="C285" s="118" t="s">
        <v>593</v>
      </c>
      <c r="D285" s="118"/>
      <c r="E285" s="118"/>
      <c r="F285" s="117"/>
      <c r="G285" s="118" t="s">
        <v>127</v>
      </c>
      <c r="H285" s="118"/>
      <c r="I285" s="118" t="s">
        <v>55</v>
      </c>
      <c r="J285" s="118" t="s">
        <v>487</v>
      </c>
      <c r="K285" s="117">
        <v>0</v>
      </c>
      <c r="L285" s="118" t="s">
        <v>98</v>
      </c>
      <c r="M285" s="119"/>
      <c r="N285" s="118" t="s">
        <v>99</v>
      </c>
      <c r="O285" s="118"/>
      <c r="P285" s="118"/>
      <c r="Q285" s="118"/>
      <c r="R285" s="128" t="s">
        <v>564</v>
      </c>
      <c r="S285" s="118"/>
      <c r="T285" s="118" t="s">
        <v>2</v>
      </c>
      <c r="U285" s="118"/>
      <c r="V285" s="118"/>
      <c r="W285" s="118"/>
      <c r="X285" s="128"/>
      <c r="Y285" s="128"/>
      <c r="Z285" s="128"/>
    </row>
    <row r="286" spans="1:26">
      <c r="A286" s="116" t="str">
        <f>A285</f>
        <v>N</v>
      </c>
      <c r="B286" s="117">
        <f>COUNTA($B$1:B285)</f>
        <v>275</v>
      </c>
      <c r="C286" s="118" t="s">
        <v>594</v>
      </c>
      <c r="D286" s="118"/>
      <c r="E286" s="118"/>
      <c r="F286" s="117"/>
      <c r="G286" s="118" t="s">
        <v>127</v>
      </c>
      <c r="H286" s="118"/>
      <c r="I286" s="118" t="s">
        <v>55</v>
      </c>
      <c r="J286" s="118" t="s">
        <v>544</v>
      </c>
      <c r="K286" s="117">
        <v>0</v>
      </c>
      <c r="L286" s="118" t="s">
        <v>98</v>
      </c>
      <c r="M286" s="119"/>
      <c r="N286" s="118" t="s">
        <v>99</v>
      </c>
      <c r="O286" s="118"/>
      <c r="P286" s="118"/>
      <c r="Q286" s="118"/>
      <c r="R286" s="128" t="s">
        <v>568</v>
      </c>
      <c r="S286" s="118"/>
      <c r="T286" s="118" t="s">
        <v>2</v>
      </c>
      <c r="U286" s="118"/>
      <c r="V286" s="118"/>
      <c r="W286" s="118"/>
      <c r="X286" s="128"/>
      <c r="Y286" s="128"/>
      <c r="Z286" s="128"/>
    </row>
    <row r="287" spans="1:26">
      <c r="A287" s="116" t="str">
        <f t="shared" ref="A287:A291" si="3">A286</f>
        <v>N</v>
      </c>
      <c r="B287" s="117">
        <f>COUNTA($B$1:B286)</f>
        <v>276</v>
      </c>
      <c r="C287" s="118" t="s">
        <v>595</v>
      </c>
      <c r="D287" s="118"/>
      <c r="E287" s="118"/>
      <c r="F287" s="117"/>
      <c r="G287" s="118" t="s">
        <v>127</v>
      </c>
      <c r="H287" s="118"/>
      <c r="I287" s="118" t="s">
        <v>55</v>
      </c>
      <c r="J287" s="118" t="s">
        <v>375</v>
      </c>
      <c r="K287" s="117">
        <v>0</v>
      </c>
      <c r="L287" s="118" t="s">
        <v>98</v>
      </c>
      <c r="M287" s="119"/>
      <c r="N287" s="118" t="s">
        <v>99</v>
      </c>
      <c r="O287" s="118"/>
      <c r="P287" s="118"/>
      <c r="Q287" s="118"/>
      <c r="R287" s="128" t="s">
        <v>566</v>
      </c>
      <c r="S287" s="118"/>
      <c r="T287" s="118" t="s">
        <v>2</v>
      </c>
      <c r="U287" s="118"/>
      <c r="V287" s="118"/>
      <c r="W287" s="118"/>
      <c r="X287" s="128"/>
      <c r="Y287" s="128"/>
      <c r="Z287" s="128"/>
    </row>
    <row r="288" spans="1:26">
      <c r="A288" s="116" t="str">
        <f t="shared" si="3"/>
        <v>N</v>
      </c>
      <c r="B288" s="117">
        <f>COUNTA($B$1:B287)</f>
        <v>277</v>
      </c>
      <c r="C288" s="118" t="s">
        <v>596</v>
      </c>
      <c r="D288" s="118"/>
      <c r="E288" s="118"/>
      <c r="F288" s="117"/>
      <c r="G288" s="118" t="s">
        <v>127</v>
      </c>
      <c r="H288" s="118"/>
      <c r="I288" s="118" t="s">
        <v>55</v>
      </c>
      <c r="J288" s="118" t="s">
        <v>379</v>
      </c>
      <c r="K288" s="117">
        <v>0</v>
      </c>
      <c r="L288" s="118" t="s">
        <v>98</v>
      </c>
      <c r="M288" s="119"/>
      <c r="N288" s="118" t="s">
        <v>99</v>
      </c>
      <c r="O288" s="118"/>
      <c r="P288" s="118"/>
      <c r="Q288" s="118"/>
      <c r="R288" s="128" t="s">
        <v>197</v>
      </c>
      <c r="S288" s="118"/>
      <c r="T288" s="118" t="s">
        <v>2</v>
      </c>
      <c r="U288" s="118"/>
      <c r="V288" s="118"/>
      <c r="W288" s="118"/>
      <c r="X288" s="128"/>
      <c r="Y288" s="128"/>
      <c r="Z288" s="128"/>
    </row>
    <row r="289" spans="1:26">
      <c r="A289" s="116" t="str">
        <f t="shared" si="3"/>
        <v>N</v>
      </c>
      <c r="B289" s="117">
        <f>COUNTA($B$1:B288)</f>
        <v>278</v>
      </c>
      <c r="C289" s="118" t="s">
        <v>597</v>
      </c>
      <c r="D289" s="118"/>
      <c r="E289" s="118"/>
      <c r="F289" s="117"/>
      <c r="G289" s="118" t="s">
        <v>127</v>
      </c>
      <c r="H289" s="118"/>
      <c r="I289" s="118" t="s">
        <v>55</v>
      </c>
      <c r="J289" s="118" t="s">
        <v>382</v>
      </c>
      <c r="K289" s="117">
        <v>0</v>
      </c>
      <c r="L289" s="118" t="s">
        <v>98</v>
      </c>
      <c r="M289" s="119"/>
      <c r="N289" s="118" t="s">
        <v>99</v>
      </c>
      <c r="O289" s="118"/>
      <c r="P289" s="118"/>
      <c r="Q289" s="118"/>
      <c r="R289" s="128" t="s">
        <v>199</v>
      </c>
      <c r="S289" s="118"/>
      <c r="T289" s="118" t="s">
        <v>2</v>
      </c>
      <c r="U289" s="118"/>
      <c r="V289" s="118"/>
      <c r="W289" s="118"/>
      <c r="X289" s="128"/>
      <c r="Y289" s="128"/>
      <c r="Z289" s="128"/>
    </row>
    <row r="290" spans="1:26">
      <c r="A290" s="116" t="str">
        <f t="shared" si="3"/>
        <v>N</v>
      </c>
      <c r="B290" s="117">
        <f>COUNTA($B$1:B289)</f>
        <v>279</v>
      </c>
      <c r="C290" s="118" t="s">
        <v>599</v>
      </c>
      <c r="D290" s="118"/>
      <c r="E290" s="118"/>
      <c r="F290" s="117"/>
      <c r="G290" s="118" t="s">
        <v>127</v>
      </c>
      <c r="H290" s="118"/>
      <c r="I290" s="118" t="s">
        <v>55</v>
      </c>
      <c r="J290" s="118" t="s">
        <v>598</v>
      </c>
      <c r="K290" s="117">
        <v>0</v>
      </c>
      <c r="L290" s="118" t="s">
        <v>98</v>
      </c>
      <c r="M290" s="119"/>
      <c r="N290" s="118" t="s">
        <v>99</v>
      </c>
      <c r="O290" s="118"/>
      <c r="P290" s="118"/>
      <c r="Q290" s="118"/>
      <c r="R290" s="128" t="s">
        <v>570</v>
      </c>
      <c r="S290" s="118"/>
      <c r="T290" s="118" t="s">
        <v>2</v>
      </c>
      <c r="U290" s="118"/>
      <c r="V290" s="118"/>
      <c r="W290" s="118"/>
      <c r="X290" s="128"/>
      <c r="Y290" s="128"/>
      <c r="Z290" s="128"/>
    </row>
    <row r="291" spans="1:26">
      <c r="A291" s="116" t="str">
        <f t="shared" si="3"/>
        <v>N</v>
      </c>
      <c r="B291" s="117">
        <f>COUNTA($B$1:B290)</f>
        <v>280</v>
      </c>
      <c r="C291" s="118" t="s">
        <v>599</v>
      </c>
      <c r="D291" s="118"/>
      <c r="E291" s="118"/>
      <c r="F291" s="117"/>
      <c r="G291" s="118" t="s">
        <v>127</v>
      </c>
      <c r="H291" s="118"/>
      <c r="I291" s="118" t="s">
        <v>55</v>
      </c>
      <c r="J291" s="118" t="s">
        <v>600</v>
      </c>
      <c r="K291" s="117">
        <v>0</v>
      </c>
      <c r="L291" s="118" t="s">
        <v>98</v>
      </c>
      <c r="M291" s="119"/>
      <c r="N291" s="118" t="s">
        <v>99</v>
      </c>
      <c r="O291" s="118"/>
      <c r="P291" s="118"/>
      <c r="Q291" s="118"/>
      <c r="R291" s="128" t="s">
        <v>571</v>
      </c>
      <c r="S291" s="118"/>
      <c r="T291" s="118" t="s">
        <v>2</v>
      </c>
      <c r="U291" s="118"/>
      <c r="V291" s="118"/>
      <c r="W291" s="118"/>
      <c r="X291" s="128"/>
      <c r="Y291" s="128"/>
      <c r="Z291" s="128"/>
    </row>
    <row r="292" spans="1:26">
      <c r="A292" s="116" t="str">
        <f>IF(Global!B2="UAT","Y","N")</f>
        <v>Y</v>
      </c>
      <c r="B292" s="117">
        <f>COUNTA($B$1:B291)</f>
        <v>281</v>
      </c>
      <c r="C292" s="118" t="s">
        <v>593</v>
      </c>
      <c r="D292" s="118"/>
      <c r="E292" s="118"/>
      <c r="F292" s="117"/>
      <c r="G292" s="118" t="s">
        <v>127</v>
      </c>
      <c r="H292" s="118"/>
      <c r="I292" s="118" t="s">
        <v>55</v>
      </c>
      <c r="J292" s="118" t="s">
        <v>487</v>
      </c>
      <c r="K292" s="117">
        <v>0</v>
      </c>
      <c r="L292" s="118" t="s">
        <v>98</v>
      </c>
      <c r="M292" s="119"/>
      <c r="N292" s="118" t="s">
        <v>99</v>
      </c>
      <c r="O292" s="118"/>
      <c r="P292" s="118"/>
      <c r="Q292" s="118"/>
      <c r="R292" s="128" t="s">
        <v>564</v>
      </c>
      <c r="S292" s="118"/>
      <c r="T292" s="118" t="s">
        <v>2</v>
      </c>
      <c r="U292" s="118"/>
      <c r="V292" s="118"/>
      <c r="W292" s="118"/>
      <c r="X292" s="128"/>
      <c r="Y292" s="128"/>
      <c r="Z292" s="128"/>
    </row>
    <row r="293" spans="1:26">
      <c r="A293" s="116" t="str">
        <f>A292</f>
        <v>Y</v>
      </c>
      <c r="B293" s="117">
        <f>COUNTA($B$1:B292)</f>
        <v>282</v>
      </c>
      <c r="C293" s="118" t="s">
        <v>594</v>
      </c>
      <c r="D293" s="118"/>
      <c r="E293" s="118"/>
      <c r="F293" s="117"/>
      <c r="G293" s="118" t="s">
        <v>127</v>
      </c>
      <c r="H293" s="118"/>
      <c r="I293" s="118" t="s">
        <v>55</v>
      </c>
      <c r="J293" s="118" t="s">
        <v>544</v>
      </c>
      <c r="K293" s="117">
        <v>0</v>
      </c>
      <c r="L293" s="118" t="s">
        <v>98</v>
      </c>
      <c r="M293" s="119"/>
      <c r="N293" s="118" t="s">
        <v>99</v>
      </c>
      <c r="O293" s="118"/>
      <c r="P293" s="118"/>
      <c r="Q293" s="118"/>
      <c r="R293" s="128" t="s">
        <v>568</v>
      </c>
      <c r="S293" s="118"/>
      <c r="T293" s="118" t="s">
        <v>2</v>
      </c>
      <c r="U293" s="118"/>
      <c r="V293" s="118"/>
      <c r="W293" s="118"/>
      <c r="X293" s="128"/>
      <c r="Y293" s="128"/>
      <c r="Z293" s="128"/>
    </row>
    <row r="294" spans="1:26">
      <c r="A294" s="116" t="str">
        <f t="shared" ref="A294:A298" si="4">A293</f>
        <v>Y</v>
      </c>
      <c r="B294" s="117">
        <f>COUNTA($B$1:B293)</f>
        <v>283</v>
      </c>
      <c r="C294" s="118" t="s">
        <v>595</v>
      </c>
      <c r="D294" s="118"/>
      <c r="E294" s="118"/>
      <c r="F294" s="117"/>
      <c r="G294" s="118" t="s">
        <v>127</v>
      </c>
      <c r="H294" s="118"/>
      <c r="I294" s="118" t="s">
        <v>55</v>
      </c>
      <c r="J294" s="118" t="s">
        <v>375</v>
      </c>
      <c r="K294" s="117">
        <v>0</v>
      </c>
      <c r="L294" s="118" t="s">
        <v>98</v>
      </c>
      <c r="M294" s="119"/>
      <c r="N294" s="118" t="s">
        <v>99</v>
      </c>
      <c r="O294" s="118"/>
      <c r="P294" s="118"/>
      <c r="Q294" s="118"/>
      <c r="R294" s="128" t="s">
        <v>566</v>
      </c>
      <c r="S294" s="118"/>
      <c r="T294" s="118" t="s">
        <v>2</v>
      </c>
      <c r="U294" s="118"/>
      <c r="V294" s="118"/>
      <c r="W294" s="118"/>
      <c r="X294" s="128"/>
      <c r="Y294" s="128"/>
      <c r="Z294" s="128"/>
    </row>
    <row r="295" spans="1:26">
      <c r="A295" s="116" t="str">
        <f t="shared" si="4"/>
        <v>Y</v>
      </c>
      <c r="B295" s="117">
        <f>COUNTA($B$1:B294)</f>
        <v>284</v>
      </c>
      <c r="C295" s="118" t="s">
        <v>596</v>
      </c>
      <c r="D295" s="118"/>
      <c r="E295" s="118"/>
      <c r="F295" s="117"/>
      <c r="G295" s="118" t="s">
        <v>127</v>
      </c>
      <c r="H295" s="118"/>
      <c r="I295" s="118" t="s">
        <v>55</v>
      </c>
      <c r="J295" s="118" t="s">
        <v>379</v>
      </c>
      <c r="K295" s="117">
        <v>0</v>
      </c>
      <c r="L295" s="118" t="s">
        <v>98</v>
      </c>
      <c r="M295" s="119"/>
      <c r="N295" s="118" t="s">
        <v>99</v>
      </c>
      <c r="O295" s="118"/>
      <c r="P295" s="118"/>
      <c r="Q295" s="118"/>
      <c r="R295" s="128" t="s">
        <v>197</v>
      </c>
      <c r="S295" s="118"/>
      <c r="T295" s="118" t="s">
        <v>2</v>
      </c>
      <c r="U295" s="118"/>
      <c r="V295" s="118"/>
      <c r="W295" s="118"/>
      <c r="X295" s="128"/>
      <c r="Y295" s="128"/>
      <c r="Z295" s="128"/>
    </row>
    <row r="296" spans="1:26">
      <c r="A296" s="116" t="str">
        <f t="shared" si="4"/>
        <v>Y</v>
      </c>
      <c r="B296" s="117">
        <f>COUNTA($B$1:B295)</f>
        <v>285</v>
      </c>
      <c r="C296" s="118" t="s">
        <v>597</v>
      </c>
      <c r="D296" s="118"/>
      <c r="E296" s="118"/>
      <c r="F296" s="117"/>
      <c r="G296" s="118" t="s">
        <v>127</v>
      </c>
      <c r="H296" s="118"/>
      <c r="I296" s="118" t="s">
        <v>55</v>
      </c>
      <c r="J296" s="118" t="s">
        <v>382</v>
      </c>
      <c r="K296" s="117">
        <v>0</v>
      </c>
      <c r="L296" s="118" t="s">
        <v>98</v>
      </c>
      <c r="M296" s="119"/>
      <c r="N296" s="118" t="s">
        <v>99</v>
      </c>
      <c r="O296" s="118"/>
      <c r="P296" s="118"/>
      <c r="Q296" s="118"/>
      <c r="R296" s="128" t="s">
        <v>199</v>
      </c>
      <c r="S296" s="118"/>
      <c r="T296" s="118" t="s">
        <v>2</v>
      </c>
      <c r="U296" s="118"/>
      <c r="V296" s="118"/>
      <c r="W296" s="118"/>
      <c r="X296" s="128"/>
      <c r="Y296" s="128"/>
      <c r="Z296" s="128"/>
    </row>
    <row r="297" spans="1:26">
      <c r="A297" s="116" t="str">
        <f t="shared" si="4"/>
        <v>Y</v>
      </c>
      <c r="B297" s="117">
        <f>COUNTA($B$1:B296)</f>
        <v>286</v>
      </c>
      <c r="C297" s="118" t="s">
        <v>599</v>
      </c>
      <c r="D297" s="118"/>
      <c r="E297" s="118"/>
      <c r="F297" s="117"/>
      <c r="G297" s="118" t="s">
        <v>127</v>
      </c>
      <c r="H297" s="118"/>
      <c r="I297" s="118" t="s">
        <v>55</v>
      </c>
      <c r="J297" s="118" t="s">
        <v>598</v>
      </c>
      <c r="K297" s="117">
        <v>0</v>
      </c>
      <c r="L297" s="118" t="s">
        <v>98</v>
      </c>
      <c r="M297" s="119"/>
      <c r="N297" s="118" t="s">
        <v>99</v>
      </c>
      <c r="O297" s="118"/>
      <c r="P297" s="118"/>
      <c r="Q297" s="118"/>
      <c r="R297" s="128" t="s">
        <v>570</v>
      </c>
      <c r="S297" s="118"/>
      <c r="T297" s="118" t="s">
        <v>2</v>
      </c>
      <c r="U297" s="118"/>
      <c r="V297" s="118"/>
      <c r="W297" s="118"/>
      <c r="X297" s="128"/>
      <c r="Y297" s="128"/>
      <c r="Z297" s="128"/>
    </row>
    <row r="298" spans="1:26">
      <c r="A298" s="116" t="str">
        <f t="shared" si="4"/>
        <v>Y</v>
      </c>
      <c r="B298" s="117">
        <f>COUNTA($B$1:B297)</f>
        <v>287</v>
      </c>
      <c r="C298" s="118" t="s">
        <v>599</v>
      </c>
      <c r="D298" s="118"/>
      <c r="E298" s="118"/>
      <c r="F298" s="117"/>
      <c r="G298" s="118" t="s">
        <v>127</v>
      </c>
      <c r="H298" s="118"/>
      <c r="I298" s="118" t="s">
        <v>55</v>
      </c>
      <c r="J298" s="118" t="s">
        <v>600</v>
      </c>
      <c r="K298" s="117">
        <v>0</v>
      </c>
      <c r="L298" s="118" t="s">
        <v>98</v>
      </c>
      <c r="M298" s="119"/>
      <c r="N298" s="118" t="s">
        <v>99</v>
      </c>
      <c r="O298" s="118"/>
      <c r="P298" s="118"/>
      <c r="Q298" s="118"/>
      <c r="R298" s="128" t="s">
        <v>571</v>
      </c>
      <c r="S298" s="118"/>
      <c r="T298" s="118" t="s">
        <v>2</v>
      </c>
      <c r="U298" s="118"/>
      <c r="V298" s="118"/>
      <c r="W298" s="118"/>
      <c r="X298" s="128"/>
      <c r="Y298" s="128"/>
      <c r="Z298" s="128"/>
    </row>
    <row r="299" spans="1:26">
      <c r="A299" s="116" t="str">
        <f>A284</f>
        <v>bln687809</v>
      </c>
      <c r="B299" s="117">
        <f>COUNTA($B$1:B298)</f>
        <v>288</v>
      </c>
      <c r="C299" s="118" t="s">
        <v>383</v>
      </c>
      <c r="D299" s="118"/>
      <c r="E299" s="118"/>
      <c r="F299" s="117"/>
      <c r="G299" s="118" t="s">
        <v>127</v>
      </c>
      <c r="H299" s="118"/>
      <c r="I299" s="118" t="s">
        <v>55</v>
      </c>
      <c r="J299" s="118" t="s">
        <v>601</v>
      </c>
      <c r="K299" s="117">
        <v>0</v>
      </c>
      <c r="L299" s="118" t="s">
        <v>98</v>
      </c>
      <c r="M299" s="119"/>
      <c r="N299" s="118" t="s">
        <v>99</v>
      </c>
      <c r="O299" s="118"/>
      <c r="P299" s="118"/>
      <c r="Q299" s="118"/>
      <c r="R299" s="119">
        <f>S237</f>
        <v>0</v>
      </c>
      <c r="S299" s="118"/>
      <c r="T299" s="118" t="s">
        <v>2</v>
      </c>
      <c r="U299" s="118"/>
      <c r="V299" s="118"/>
      <c r="W299" s="118"/>
      <c r="X299" s="118"/>
      <c r="Y299" s="118"/>
      <c r="Z299" s="118"/>
    </row>
    <row r="300" spans="1:26">
      <c r="A300" s="116" t="str">
        <f>A299</f>
        <v>bln687809</v>
      </c>
      <c r="B300" s="117">
        <f>COUNTA($B$1:B299)</f>
        <v>289</v>
      </c>
      <c r="C300" s="136" t="s">
        <v>67</v>
      </c>
      <c r="D300" s="137"/>
      <c r="E300" s="138" t="s">
        <v>154</v>
      </c>
      <c r="F300" s="139"/>
      <c r="G300" s="136" t="s">
        <v>127</v>
      </c>
      <c r="H300" s="136"/>
      <c r="I300" s="136"/>
      <c r="J300" s="136"/>
      <c r="K300" s="139"/>
      <c r="L300" s="136" t="s">
        <v>67</v>
      </c>
      <c r="M300" s="140">
        <v>4</v>
      </c>
      <c r="N300" s="118"/>
      <c r="O300" s="118"/>
      <c r="P300" s="118"/>
      <c r="Q300" s="118"/>
      <c r="R300" s="119"/>
      <c r="S300" s="128"/>
      <c r="T300" s="118"/>
      <c r="U300" s="118"/>
      <c r="V300" s="118"/>
      <c r="W300" s="118"/>
      <c r="X300" s="128"/>
      <c r="Y300" s="128"/>
      <c r="Z300" s="128"/>
    </row>
    <row r="301" spans="1:26">
      <c r="A301" s="116" t="str">
        <f t="shared" ref="A301:A304" si="5">A300</f>
        <v>bln687809</v>
      </c>
      <c r="B301" s="117">
        <f>COUNTA($B$1:B300)</f>
        <v>290</v>
      </c>
      <c r="C301" s="136" t="s">
        <v>602</v>
      </c>
      <c r="D301" s="137"/>
      <c r="E301" s="138" t="s">
        <v>154</v>
      </c>
      <c r="F301" s="139"/>
      <c r="G301" s="136" t="s">
        <v>127</v>
      </c>
      <c r="H301" s="136"/>
      <c r="I301" s="118" t="s">
        <v>55</v>
      </c>
      <c r="J301" s="118" t="s">
        <v>603</v>
      </c>
      <c r="K301" s="117">
        <v>0</v>
      </c>
      <c r="L301" s="118" t="s">
        <v>147</v>
      </c>
      <c r="M301" s="140"/>
      <c r="N301" s="118"/>
      <c r="O301" s="118"/>
      <c r="P301" s="118"/>
      <c r="Q301" s="118"/>
      <c r="R301" s="119"/>
      <c r="S301" s="128"/>
      <c r="T301" s="118"/>
      <c r="U301" s="118"/>
      <c r="V301" s="118"/>
      <c r="W301" s="118"/>
      <c r="X301" s="128"/>
      <c r="Y301" s="128"/>
      <c r="Z301" s="128"/>
    </row>
    <row r="302" spans="1:26">
      <c r="A302" s="116" t="str">
        <f t="shared" si="5"/>
        <v>bln687809</v>
      </c>
      <c r="B302" s="117">
        <f>COUNTA($B$1:B301)</f>
        <v>291</v>
      </c>
      <c r="C302" s="118" t="s">
        <v>67</v>
      </c>
      <c r="D302" s="118"/>
      <c r="E302" s="118"/>
      <c r="F302" s="117"/>
      <c r="G302" s="118" t="s">
        <v>127</v>
      </c>
      <c r="H302" s="118"/>
      <c r="I302" s="118"/>
      <c r="J302" s="118"/>
      <c r="K302" s="117"/>
      <c r="L302" s="118" t="s">
        <v>67</v>
      </c>
      <c r="M302" s="119">
        <v>5</v>
      </c>
      <c r="N302" s="118"/>
      <c r="O302" s="118"/>
      <c r="P302" s="118"/>
      <c r="Q302" s="118"/>
      <c r="R302" s="128"/>
      <c r="S302" s="118"/>
      <c r="T302" s="118"/>
      <c r="U302" s="118"/>
      <c r="V302" s="118"/>
      <c r="W302" s="118"/>
      <c r="X302" s="128"/>
      <c r="Y302" s="128"/>
      <c r="Z302" s="128"/>
    </row>
    <row r="303" spans="1:26">
      <c r="A303" s="116" t="str">
        <f t="shared" si="5"/>
        <v>bln687809</v>
      </c>
      <c r="B303" s="117">
        <f>COUNTA($B$1:B302)</f>
        <v>292</v>
      </c>
      <c r="C303" s="130" t="s">
        <v>489</v>
      </c>
      <c r="D303" s="130"/>
      <c r="E303" s="130"/>
      <c r="F303" s="130"/>
      <c r="G303" s="118" t="s">
        <v>127</v>
      </c>
      <c r="H303" s="130"/>
      <c r="I303" s="130"/>
      <c r="J303" s="130"/>
      <c r="K303" s="125">
        <v>0</v>
      </c>
      <c r="L303" s="130" t="s">
        <v>388</v>
      </c>
      <c r="M303" s="130" t="s">
        <v>389</v>
      </c>
      <c r="N303" s="118"/>
      <c r="O303" s="118"/>
      <c r="P303" s="118"/>
      <c r="Q303" s="118"/>
      <c r="R303" s="128"/>
      <c r="S303" s="118"/>
      <c r="T303" s="118"/>
      <c r="U303" s="118"/>
      <c r="V303" s="118"/>
      <c r="W303" s="118"/>
      <c r="X303" s="128"/>
      <c r="Y303" s="128"/>
      <c r="Z303" s="128"/>
    </row>
    <row r="304" spans="1:26">
      <c r="A304" s="116" t="str">
        <f t="shared" si="5"/>
        <v>bln687809</v>
      </c>
      <c r="B304" s="117">
        <f>COUNTA($B$1:B303)</f>
        <v>293</v>
      </c>
      <c r="C304" s="130" t="s">
        <v>490</v>
      </c>
      <c r="D304" s="130"/>
      <c r="E304" s="130"/>
      <c r="F304" s="130"/>
      <c r="G304" s="118" t="s">
        <v>127</v>
      </c>
      <c r="H304" s="130"/>
      <c r="I304" s="130"/>
      <c r="J304" s="130"/>
      <c r="K304" s="125"/>
      <c r="L304" s="118" t="s">
        <v>398</v>
      </c>
      <c r="M304" s="118" t="s">
        <v>491</v>
      </c>
      <c r="N304" s="118"/>
      <c r="O304" s="118"/>
      <c r="P304" s="118"/>
      <c r="Q304" s="118"/>
      <c r="R304" s="128"/>
      <c r="S304" s="118"/>
      <c r="T304" s="118"/>
      <c r="U304" s="118"/>
      <c r="V304" s="118"/>
      <c r="W304" s="118"/>
      <c r="X304" s="128"/>
      <c r="Y304" s="128"/>
      <c r="Z304" s="128"/>
    </row>
    <row r="305" spans="1:26">
      <c r="A305" s="116" t="s">
        <v>21</v>
      </c>
      <c r="B305" s="117">
        <f>COUNTA($B$1:B304)</f>
        <v>294</v>
      </c>
      <c r="C305" s="118" t="s">
        <v>492</v>
      </c>
      <c r="D305" s="130"/>
      <c r="E305" s="130"/>
      <c r="F305" s="130"/>
      <c r="G305" s="118" t="s">
        <v>127</v>
      </c>
      <c r="H305" s="130"/>
      <c r="I305" s="130"/>
      <c r="J305" s="130"/>
      <c r="K305" s="125"/>
      <c r="L305" s="118" t="s">
        <v>393</v>
      </c>
      <c r="M305" s="130" t="str">
        <f ca="1">Global!B3 &amp; "PolicyDetails.png"</f>
        <v>L:\Regression\Test Results\Temp_Results\AEM Regression\Travelex\UAT\Travel EX Migration_AEM Regression_UAT01Sep26101238\PolicyDetails.png</v>
      </c>
      <c r="N305" s="118"/>
      <c r="O305" s="118"/>
      <c r="P305" s="118"/>
      <c r="Q305" s="118"/>
      <c r="R305" s="128"/>
      <c r="S305" s="118"/>
      <c r="T305" s="118"/>
      <c r="U305" s="118"/>
      <c r="V305" s="118"/>
      <c r="W305" s="118"/>
      <c r="X305" s="128"/>
      <c r="Y305" s="128"/>
      <c r="Z305" s="128"/>
    </row>
    <row r="306" spans="1:26">
      <c r="A306" s="116" t="str">
        <f>A304</f>
        <v>bln687809</v>
      </c>
      <c r="B306" s="117">
        <f>COUNTA($B$1:B305)</f>
        <v>295</v>
      </c>
      <c r="C306" s="130" t="s">
        <v>67</v>
      </c>
      <c r="D306" s="130"/>
      <c r="E306" s="130"/>
      <c r="F306" s="130"/>
      <c r="G306" s="118" t="s">
        <v>127</v>
      </c>
      <c r="H306" s="130"/>
      <c r="I306" s="130"/>
      <c r="J306" s="130"/>
      <c r="K306" s="125"/>
      <c r="L306" s="130" t="s">
        <v>67</v>
      </c>
      <c r="M306" s="130">
        <v>8</v>
      </c>
      <c r="N306" s="118"/>
      <c r="O306" s="118"/>
      <c r="P306" s="118"/>
      <c r="Q306" s="118"/>
      <c r="R306" s="128"/>
      <c r="S306" s="118"/>
      <c r="T306" s="118"/>
      <c r="U306" s="118"/>
      <c r="V306" s="118"/>
      <c r="W306" s="118"/>
      <c r="X306" s="128"/>
      <c r="Y306" s="128"/>
      <c r="Z306" s="128"/>
    </row>
    <row r="307" spans="1:26">
      <c r="A307" s="116" t="str">
        <f>A306</f>
        <v>bln687809</v>
      </c>
      <c r="B307" s="117">
        <f>COUNTA($B$1:B306)</f>
        <v>296</v>
      </c>
      <c r="C307" s="130" t="s">
        <v>493</v>
      </c>
      <c r="D307" s="130"/>
      <c r="E307" s="130"/>
      <c r="F307" s="130"/>
      <c r="G307" s="118" t="s">
        <v>127</v>
      </c>
      <c r="H307" s="130"/>
      <c r="I307" s="130"/>
      <c r="J307" s="130"/>
      <c r="K307" s="125">
        <v>0</v>
      </c>
      <c r="L307" s="130" t="s">
        <v>395</v>
      </c>
      <c r="M307" s="130"/>
      <c r="N307" s="130"/>
      <c r="O307" s="130"/>
      <c r="P307" s="118"/>
      <c r="Q307" s="118"/>
      <c r="R307" s="128"/>
      <c r="S307" s="118"/>
      <c r="T307" s="118"/>
      <c r="U307" s="118"/>
      <c r="V307" s="118"/>
      <c r="W307" s="118"/>
      <c r="X307" s="128"/>
      <c r="Y307" s="128"/>
      <c r="Z307" s="128"/>
    </row>
    <row r="308" spans="1:26">
      <c r="A308" s="116" t="str">
        <f t="shared" ref="A308:A309" si="6">A307</f>
        <v>bln687809</v>
      </c>
      <c r="B308" s="117">
        <f>COUNTA($B$1:B307)</f>
        <v>297</v>
      </c>
      <c r="C308" s="130" t="s">
        <v>494</v>
      </c>
      <c r="D308" s="130"/>
      <c r="E308" s="130"/>
      <c r="F308" s="130"/>
      <c r="G308" s="118" t="s">
        <v>127</v>
      </c>
      <c r="H308" s="130"/>
      <c r="I308" s="130"/>
      <c r="J308" s="130"/>
      <c r="K308" s="125">
        <v>0</v>
      </c>
      <c r="L308" s="130" t="s">
        <v>95</v>
      </c>
      <c r="M308" s="130" t="s">
        <v>138</v>
      </c>
      <c r="N308" s="130"/>
      <c r="O308" s="130"/>
      <c r="P308" s="118"/>
      <c r="Q308" s="118"/>
      <c r="R308" s="128"/>
      <c r="S308" s="118"/>
      <c r="T308" s="118"/>
      <c r="U308" s="118"/>
      <c r="V308" s="118"/>
      <c r="W308" s="118"/>
      <c r="X308" s="128"/>
      <c r="Y308" s="128"/>
      <c r="Z308" s="128"/>
    </row>
    <row r="309" spans="1:26">
      <c r="A309" s="116" t="str">
        <f t="shared" si="6"/>
        <v>bln687809</v>
      </c>
      <c r="B309" s="117">
        <f>COUNTA($B$1:B308)</f>
        <v>298</v>
      </c>
      <c r="C309" s="130" t="s">
        <v>67</v>
      </c>
      <c r="D309" s="130"/>
      <c r="E309" s="130"/>
      <c r="F309" s="130"/>
      <c r="G309" s="118" t="s">
        <v>127</v>
      </c>
      <c r="H309" s="130"/>
      <c r="I309" s="130"/>
      <c r="J309" s="130"/>
      <c r="K309" s="125"/>
      <c r="L309" s="130" t="s">
        <v>67</v>
      </c>
      <c r="M309" s="130">
        <v>10</v>
      </c>
      <c r="N309" s="130"/>
      <c r="O309" s="118"/>
      <c r="P309" s="118"/>
      <c r="Q309" s="118"/>
      <c r="R309" s="119"/>
      <c r="S309" s="128"/>
      <c r="T309" s="118"/>
      <c r="U309" s="118"/>
      <c r="V309" s="118"/>
      <c r="W309" s="118"/>
      <c r="X309" s="128"/>
      <c r="Y309" s="128"/>
      <c r="Z309" s="128"/>
    </row>
    <row r="310" spans="1:26">
      <c r="A310" s="116" t="s">
        <v>21</v>
      </c>
      <c r="B310" s="117">
        <f>COUNTA($B$1:B309)</f>
        <v>299</v>
      </c>
      <c r="C310" s="136" t="s">
        <v>327</v>
      </c>
      <c r="D310" s="137"/>
      <c r="E310" s="138" t="s">
        <v>154</v>
      </c>
      <c r="F310" s="139"/>
      <c r="G310" s="136" t="s">
        <v>127</v>
      </c>
      <c r="H310" s="136"/>
      <c r="I310" s="136"/>
      <c r="J310" s="136"/>
      <c r="K310" s="139"/>
      <c r="L310" s="136" t="s">
        <v>396</v>
      </c>
      <c r="M310" s="136" t="s">
        <v>397</v>
      </c>
      <c r="N310" s="136"/>
      <c r="O310" s="136"/>
      <c r="P310" s="136"/>
      <c r="Q310" s="136"/>
      <c r="R310" s="136"/>
      <c r="S310" s="138"/>
      <c r="T310" s="136"/>
      <c r="U310" s="136"/>
      <c r="V310" s="136"/>
      <c r="W310" s="118"/>
      <c r="X310" s="128"/>
      <c r="Y310" s="128"/>
      <c r="Z310" s="128"/>
    </row>
    <row r="311" spans="1:26">
      <c r="A311" s="116" t="s">
        <v>21</v>
      </c>
      <c r="B311" s="117">
        <f>COUNTA($B$1:B310)</f>
        <v>300</v>
      </c>
      <c r="C311" s="136" t="s">
        <v>327</v>
      </c>
      <c r="D311" s="137"/>
      <c r="E311" s="138" t="s">
        <v>154</v>
      </c>
      <c r="F311" s="139"/>
      <c r="G311" s="136" t="s">
        <v>127</v>
      </c>
      <c r="H311" s="136"/>
      <c r="I311" s="136"/>
      <c r="J311" s="136"/>
      <c r="K311" s="139"/>
      <c r="L311" s="136" t="s">
        <v>398</v>
      </c>
      <c r="M311" s="136" t="s">
        <v>399</v>
      </c>
      <c r="N311" s="136"/>
      <c r="O311" s="136"/>
      <c r="P311" s="136"/>
      <c r="Q311" s="136"/>
      <c r="R311" s="136"/>
      <c r="S311" s="138"/>
      <c r="T311" s="136"/>
      <c r="U311" s="136"/>
      <c r="V311" s="136"/>
      <c r="W311" s="118"/>
      <c r="X311" s="128"/>
      <c r="Y311" s="128"/>
      <c r="Z311" s="128"/>
    </row>
    <row r="312" spans="1:26">
      <c r="A312" s="116" t="s">
        <v>21</v>
      </c>
      <c r="B312" s="117">
        <f>COUNTA($B$1:B311)</f>
        <v>301</v>
      </c>
      <c r="C312" s="136" t="s">
        <v>327</v>
      </c>
      <c r="D312" s="137"/>
      <c r="E312" s="138" t="s">
        <v>154</v>
      </c>
      <c r="F312" s="139"/>
      <c r="G312" s="136" t="s">
        <v>127</v>
      </c>
      <c r="H312" s="136"/>
      <c r="I312" s="136"/>
      <c r="J312" s="136"/>
      <c r="K312" s="139"/>
      <c r="L312" s="136" t="s">
        <v>393</v>
      </c>
      <c r="M312" s="136" t="str">
        <f ca="1">Global!B3 &amp; "ConfirmationPage.png"</f>
        <v>L:\Regression\Test Results\Temp_Results\AEM Regression\Travelex\UAT\Travel EX Migration_AEM Regression_UAT01Sep26101238\ConfirmationPage.png</v>
      </c>
      <c r="N312" s="136"/>
      <c r="O312" s="136"/>
      <c r="P312" s="136"/>
      <c r="Q312" s="136"/>
      <c r="R312" s="136"/>
      <c r="S312" s="138"/>
      <c r="T312" s="136"/>
      <c r="U312" s="136"/>
      <c r="V312" s="136"/>
      <c r="W312" s="118"/>
      <c r="X312" s="128"/>
      <c r="Y312" s="128"/>
      <c r="Z312" s="128"/>
    </row>
    <row r="313" spans="1:26">
      <c r="A313" s="116" t="s">
        <v>21</v>
      </c>
      <c r="B313" s="117">
        <f>COUNTA($B$1:B312)</f>
        <v>302</v>
      </c>
      <c r="C313" s="136" t="s">
        <v>67</v>
      </c>
      <c r="D313" s="137"/>
      <c r="E313" s="138" t="s">
        <v>154</v>
      </c>
      <c r="F313" s="139"/>
      <c r="G313" s="136" t="s">
        <v>127</v>
      </c>
      <c r="H313" s="136"/>
      <c r="I313" s="136"/>
      <c r="J313" s="136"/>
      <c r="K313" s="139"/>
      <c r="L313" s="136" t="s">
        <v>67</v>
      </c>
      <c r="M313" s="140">
        <v>4</v>
      </c>
      <c r="N313" s="118"/>
      <c r="O313" s="118"/>
      <c r="P313" s="118"/>
      <c r="Q313" s="118"/>
      <c r="R313" s="119"/>
      <c r="S313" s="128"/>
      <c r="T313" s="118"/>
      <c r="U313" s="118"/>
      <c r="V313" s="118"/>
      <c r="W313" s="118"/>
      <c r="X313" s="128"/>
      <c r="Y313" s="128"/>
      <c r="Z313" s="128"/>
    </row>
    <row r="314" spans="1:26">
      <c r="A314" s="116" t="s">
        <v>21</v>
      </c>
      <c r="B314" s="117">
        <f>COUNTA($B$1:B313)</f>
        <v>303</v>
      </c>
      <c r="C314" s="136" t="s">
        <v>402</v>
      </c>
      <c r="D314" s="137"/>
      <c r="E314" s="138" t="s">
        <v>154</v>
      </c>
      <c r="F314" s="139"/>
      <c r="G314" s="136" t="s">
        <v>127</v>
      </c>
      <c r="H314" s="136"/>
      <c r="I314" s="136"/>
      <c r="J314" s="136"/>
      <c r="K314" s="139"/>
      <c r="L314" s="136" t="s">
        <v>398</v>
      </c>
      <c r="M314" s="136" t="s">
        <v>403</v>
      </c>
      <c r="N314" s="136"/>
      <c r="O314" s="136"/>
      <c r="P314" s="136"/>
      <c r="Q314" s="136"/>
      <c r="R314" s="136"/>
      <c r="S314" s="138"/>
      <c r="T314" s="136"/>
      <c r="U314" s="136"/>
      <c r="V314" s="136"/>
      <c r="W314" s="118"/>
      <c r="X314" s="118"/>
      <c r="Y314" s="118"/>
      <c r="Z314" s="118"/>
    </row>
    <row r="315" spans="1:26">
      <c r="A315" s="116" t="s">
        <v>21</v>
      </c>
      <c r="B315" s="117">
        <f>COUNTA($B$1:B314)</f>
        <v>304</v>
      </c>
      <c r="C315" s="136" t="s">
        <v>404</v>
      </c>
      <c r="D315" s="137"/>
      <c r="E315" s="138" t="s">
        <v>154</v>
      </c>
      <c r="F315" s="139"/>
      <c r="G315" s="136" t="s">
        <v>127</v>
      </c>
      <c r="H315" s="136"/>
      <c r="I315" s="136"/>
      <c r="J315" s="136"/>
      <c r="K315" s="139"/>
      <c r="L315" s="136" t="s">
        <v>393</v>
      </c>
      <c r="M315" s="136" t="str">
        <f ca="1">Global!B3 &amp; "ConfirmationMessage1.png"</f>
        <v>L:\Regression\Test Results\Temp_Results\AEM Regression\Travelex\UAT\Travel EX Migration_AEM Regression_UAT01Sep26101238\ConfirmationMessage1.png</v>
      </c>
      <c r="N315" s="136"/>
      <c r="O315" s="136"/>
      <c r="P315" s="136"/>
      <c r="Q315" s="136"/>
      <c r="R315" s="136"/>
      <c r="S315" s="138"/>
      <c r="T315" s="136"/>
      <c r="U315" s="136"/>
      <c r="V315" s="136"/>
      <c r="W315" s="118"/>
      <c r="X315" s="118"/>
      <c r="Y315" s="118"/>
      <c r="Z315" s="118"/>
    </row>
    <row r="316" spans="1:26">
      <c r="A316" s="116" t="s">
        <v>21</v>
      </c>
      <c r="B316" s="117">
        <f>COUNTA($B$1:B315)</f>
        <v>305</v>
      </c>
      <c r="C316" s="136" t="s">
        <v>67</v>
      </c>
      <c r="D316" s="137"/>
      <c r="E316" s="138" t="s">
        <v>154</v>
      </c>
      <c r="F316" s="139"/>
      <c r="G316" s="136" t="s">
        <v>127</v>
      </c>
      <c r="H316" s="136"/>
      <c r="I316" s="136"/>
      <c r="J316" s="136"/>
      <c r="K316" s="139"/>
      <c r="L316" s="136" t="s">
        <v>67</v>
      </c>
      <c r="M316" s="140">
        <v>5</v>
      </c>
      <c r="N316" s="136"/>
      <c r="O316" s="136"/>
      <c r="P316" s="136"/>
      <c r="Q316" s="136"/>
      <c r="R316" s="140"/>
      <c r="S316" s="138"/>
      <c r="T316" s="136"/>
      <c r="U316" s="136"/>
      <c r="V316" s="136"/>
      <c r="W316" s="118"/>
      <c r="X316" s="128"/>
      <c r="Y316" s="128"/>
      <c r="Z316" s="128"/>
    </row>
    <row r="317" spans="1:26">
      <c r="A317" s="116" t="s">
        <v>21</v>
      </c>
      <c r="B317" s="117">
        <f>COUNTA($B$1:B316)</f>
        <v>306</v>
      </c>
      <c r="C317" s="136" t="s">
        <v>405</v>
      </c>
      <c r="D317" s="137"/>
      <c r="E317" s="138" t="s">
        <v>154</v>
      </c>
      <c r="F317" s="139"/>
      <c r="G317" s="136" t="s">
        <v>127</v>
      </c>
      <c r="H317" s="136"/>
      <c r="I317" s="136"/>
      <c r="J317" s="136"/>
      <c r="K317" s="139"/>
      <c r="L317" s="136" t="s">
        <v>398</v>
      </c>
      <c r="M317" s="136" t="s">
        <v>406</v>
      </c>
      <c r="N317" s="136"/>
      <c r="O317" s="136"/>
      <c r="P317" s="136"/>
      <c r="Q317" s="136"/>
      <c r="R317" s="136"/>
      <c r="S317" s="138"/>
      <c r="T317" s="136"/>
      <c r="U317" s="136"/>
      <c r="V317" s="136"/>
      <c r="W317" s="118"/>
      <c r="X317" s="118"/>
      <c r="Y317" s="118"/>
      <c r="Z317" s="118"/>
    </row>
    <row r="318" spans="1:26">
      <c r="A318" s="116" t="s">
        <v>21</v>
      </c>
      <c r="B318" s="117">
        <f>COUNTA($B$1:B317)</f>
        <v>307</v>
      </c>
      <c r="C318" s="136" t="s">
        <v>407</v>
      </c>
      <c r="D318" s="137"/>
      <c r="E318" s="138" t="s">
        <v>154</v>
      </c>
      <c r="F318" s="139"/>
      <c r="G318" s="136" t="s">
        <v>127</v>
      </c>
      <c r="H318" s="136"/>
      <c r="I318" s="136"/>
      <c r="J318" s="136"/>
      <c r="K318" s="139"/>
      <c r="L318" s="136" t="s">
        <v>393</v>
      </c>
      <c r="M318" s="136" t="str">
        <f ca="1">Global!B3 &amp; "ConfirmationMessage2.png"</f>
        <v>L:\Regression\Test Results\Temp_Results\AEM Regression\Travelex\UAT\Travel EX Migration_AEM Regression_UAT01Sep26101238\ConfirmationMessage2.png</v>
      </c>
      <c r="N318" s="136"/>
      <c r="O318" s="136"/>
      <c r="P318" s="136"/>
      <c r="Q318" s="136"/>
      <c r="R318" s="136"/>
      <c r="S318" s="138"/>
      <c r="T318" s="136"/>
      <c r="U318" s="136"/>
      <c r="V318" s="136"/>
      <c r="W318" s="118"/>
      <c r="X318" s="118"/>
      <c r="Y318" s="118"/>
      <c r="Z318" s="118"/>
    </row>
    <row r="319" spans="1:26">
      <c r="A319" s="116" t="s">
        <v>21</v>
      </c>
      <c r="B319" s="117">
        <f>COUNTA($B$1:B318)</f>
        <v>308</v>
      </c>
      <c r="C319" s="136" t="s">
        <v>67</v>
      </c>
      <c r="D319" s="137"/>
      <c r="E319" s="138" t="s">
        <v>154</v>
      </c>
      <c r="F319" s="139"/>
      <c r="G319" s="136" t="s">
        <v>127</v>
      </c>
      <c r="H319" s="136"/>
      <c r="I319" s="136"/>
      <c r="J319" s="136"/>
      <c r="K319" s="139"/>
      <c r="L319" s="136" t="s">
        <v>67</v>
      </c>
      <c r="M319" s="140">
        <v>5</v>
      </c>
      <c r="N319" s="136"/>
      <c r="O319" s="136"/>
      <c r="P319" s="136"/>
      <c r="Q319" s="136"/>
      <c r="R319" s="140"/>
      <c r="S319" s="138"/>
      <c r="T319" s="136"/>
      <c r="U319" s="136"/>
      <c r="V319" s="136"/>
      <c r="W319" s="118"/>
      <c r="X319" s="118"/>
      <c r="Y319" s="118"/>
      <c r="Z319" s="118"/>
    </row>
    <row r="320" spans="1:26">
      <c r="A320" s="116" t="s">
        <v>21</v>
      </c>
      <c r="B320" s="117">
        <f>COUNTA($B$1:B319)</f>
        <v>309</v>
      </c>
      <c r="C320" s="136" t="s">
        <v>405</v>
      </c>
      <c r="D320" s="137"/>
      <c r="E320" s="138" t="s">
        <v>154</v>
      </c>
      <c r="F320" s="139"/>
      <c r="G320" s="136" t="s">
        <v>127</v>
      </c>
      <c r="H320" s="136"/>
      <c r="I320" s="136"/>
      <c r="J320" s="136"/>
      <c r="K320" s="139"/>
      <c r="L320" s="136" t="s">
        <v>398</v>
      </c>
      <c r="M320" s="136" t="s">
        <v>406</v>
      </c>
      <c r="N320" s="136"/>
      <c r="O320" s="136"/>
      <c r="P320" s="136"/>
      <c r="Q320" s="136"/>
      <c r="R320" s="136"/>
      <c r="S320" s="138"/>
      <c r="T320" s="136"/>
      <c r="U320" s="136"/>
      <c r="V320" s="136"/>
      <c r="W320" s="118"/>
      <c r="X320" s="118"/>
      <c r="Y320" s="118"/>
      <c r="Z320" s="118"/>
    </row>
    <row r="321" spans="1:26">
      <c r="A321" s="116" t="s">
        <v>21</v>
      </c>
      <c r="B321" s="117">
        <f>COUNTA($B$1:B320)</f>
        <v>310</v>
      </c>
      <c r="C321" s="136" t="s">
        <v>408</v>
      </c>
      <c r="D321" s="137"/>
      <c r="E321" s="138" t="s">
        <v>154</v>
      </c>
      <c r="F321" s="139"/>
      <c r="G321" s="136" t="s">
        <v>127</v>
      </c>
      <c r="H321" s="136"/>
      <c r="I321" s="136"/>
      <c r="J321" s="136"/>
      <c r="K321" s="139"/>
      <c r="L321" s="136" t="s">
        <v>393</v>
      </c>
      <c r="M321" s="136" t="str">
        <f ca="1">Global!B3 &amp; "ConfirmationMessage3.png"</f>
        <v>L:\Regression\Test Results\Temp_Results\AEM Regression\Travelex\UAT\Travel EX Migration_AEM Regression_UAT01Sep26101238\ConfirmationMessage3.png</v>
      </c>
      <c r="N321" s="136"/>
      <c r="O321" s="136"/>
      <c r="P321" s="136"/>
      <c r="Q321" s="136"/>
      <c r="R321" s="136"/>
      <c r="S321" s="138"/>
      <c r="T321" s="136"/>
      <c r="U321" s="136"/>
      <c r="V321" s="136"/>
      <c r="W321" s="118"/>
      <c r="X321" s="118"/>
      <c r="Y321" s="118"/>
      <c r="Z321" s="118"/>
    </row>
    <row r="322" spans="1:26">
      <c r="A322" s="116" t="s">
        <v>21</v>
      </c>
      <c r="B322" s="117">
        <f>COUNTA($B$1:B321)</f>
        <v>311</v>
      </c>
      <c r="C322" s="136" t="s">
        <v>67</v>
      </c>
      <c r="D322" s="137"/>
      <c r="E322" s="138" t="s">
        <v>154</v>
      </c>
      <c r="F322" s="139"/>
      <c r="G322" s="136" t="s">
        <v>127</v>
      </c>
      <c r="H322" s="136"/>
      <c r="I322" s="136"/>
      <c r="J322" s="136"/>
      <c r="K322" s="139"/>
      <c r="L322" s="136" t="s">
        <v>67</v>
      </c>
      <c r="M322" s="140">
        <v>5</v>
      </c>
      <c r="N322" s="136"/>
      <c r="O322" s="136"/>
      <c r="P322" s="136"/>
      <c r="Q322" s="136"/>
      <c r="R322" s="140"/>
      <c r="S322" s="138"/>
      <c r="T322" s="136"/>
      <c r="U322" s="136"/>
      <c r="V322" s="136"/>
      <c r="W322" s="118"/>
      <c r="X322" s="128"/>
      <c r="Y322" s="128"/>
      <c r="Z322" s="128"/>
    </row>
    <row r="323" spans="1:26">
      <c r="A323" s="116" t="s">
        <v>21</v>
      </c>
      <c r="B323" s="117">
        <f>COUNTA($B$1:B322)</f>
        <v>312</v>
      </c>
      <c r="C323" s="136" t="s">
        <v>405</v>
      </c>
      <c r="D323" s="137"/>
      <c r="E323" s="138" t="s">
        <v>154</v>
      </c>
      <c r="F323" s="139"/>
      <c r="G323" s="136" t="s">
        <v>127</v>
      </c>
      <c r="H323" s="136"/>
      <c r="I323" s="136"/>
      <c r="J323" s="136"/>
      <c r="K323" s="139"/>
      <c r="L323" s="136" t="s">
        <v>398</v>
      </c>
      <c r="M323" s="136" t="s">
        <v>409</v>
      </c>
      <c r="N323" s="136"/>
      <c r="O323" s="136"/>
      <c r="P323" s="136"/>
      <c r="Q323" s="136"/>
      <c r="R323" s="136"/>
      <c r="S323" s="138"/>
      <c r="T323" s="136"/>
      <c r="U323" s="136"/>
      <c r="V323" s="136"/>
      <c r="W323" s="118"/>
      <c r="X323" s="118"/>
      <c r="Y323" s="118"/>
      <c r="Z323" s="118"/>
    </row>
    <row r="324" spans="1:26">
      <c r="A324" s="116" t="s">
        <v>21</v>
      </c>
      <c r="B324" s="117">
        <f>COUNTA($B$1:B323)</f>
        <v>313</v>
      </c>
      <c r="C324" s="136" t="s">
        <v>410</v>
      </c>
      <c r="D324" s="137"/>
      <c r="E324" s="138" t="s">
        <v>154</v>
      </c>
      <c r="F324" s="139"/>
      <c r="G324" s="136" t="s">
        <v>127</v>
      </c>
      <c r="H324" s="136"/>
      <c r="I324" s="136"/>
      <c r="J324" s="136"/>
      <c r="K324" s="139"/>
      <c r="L324" s="136" t="s">
        <v>393</v>
      </c>
      <c r="M324" s="136" t="str">
        <f ca="1">Global!B3 &amp; "ConfirmationMessage4.png"</f>
        <v>L:\Regression\Test Results\Temp_Results\AEM Regression\Travelex\UAT\Travel EX Migration_AEM Regression_UAT01Sep26101238\ConfirmationMessage4.png</v>
      </c>
      <c r="N324" s="136"/>
      <c r="O324" s="136"/>
      <c r="P324" s="136"/>
      <c r="Q324" s="136"/>
      <c r="R324" s="136"/>
      <c r="S324" s="138"/>
      <c r="T324" s="136"/>
      <c r="U324" s="136"/>
      <c r="V324" s="136"/>
      <c r="W324" s="118"/>
      <c r="X324" s="118"/>
      <c r="Y324" s="118"/>
      <c r="Z324" s="118"/>
    </row>
    <row r="325" spans="1:26">
      <c r="A325" s="30" t="s">
        <v>411</v>
      </c>
      <c r="B325" s="31"/>
      <c r="C325" s="31"/>
      <c r="D325" s="32"/>
      <c r="E325" s="32"/>
      <c r="F325" s="31"/>
      <c r="G325" s="32"/>
      <c r="H325" s="32"/>
      <c r="I325" s="32"/>
      <c r="J325" s="32"/>
      <c r="K325" s="31"/>
      <c r="L325" s="32"/>
      <c r="M325" s="32"/>
      <c r="N325" s="32"/>
      <c r="O325" s="32"/>
      <c r="P325" s="32"/>
      <c r="Q325" s="32"/>
      <c r="R325" s="32"/>
      <c r="S325" s="32"/>
      <c r="T325" s="32"/>
      <c r="U325" s="32"/>
      <c r="V325" s="32"/>
      <c r="W325" s="32"/>
      <c r="X325" s="32"/>
      <c r="Y325" s="32"/>
      <c r="Z325" s="32"/>
    </row>
    <row r="326" spans="1:26">
      <c r="A326" s="116" t="s">
        <v>549</v>
      </c>
      <c r="B326" s="117">
        <f>COUNTA($B$1:B325)</f>
        <v>314</v>
      </c>
      <c r="C326" s="118" t="s">
        <v>97</v>
      </c>
      <c r="D326" s="118"/>
      <c r="E326" s="118"/>
      <c r="F326" s="117"/>
      <c r="G326" s="118" t="s">
        <v>127</v>
      </c>
      <c r="H326" s="118"/>
      <c r="I326" s="118"/>
      <c r="J326" s="118"/>
      <c r="K326" s="117"/>
      <c r="L326" s="118" t="s">
        <v>97</v>
      </c>
      <c r="M326" s="119"/>
      <c r="N326" s="118"/>
      <c r="O326" s="118"/>
      <c r="P326" s="118"/>
      <c r="Q326" s="118"/>
      <c r="R326" s="118"/>
      <c r="S326" s="118"/>
      <c r="T326" s="118"/>
      <c r="U326" s="118"/>
      <c r="V326" s="118"/>
      <c r="W326" s="118"/>
      <c r="X326" s="118"/>
      <c r="Y326" s="118"/>
      <c r="Z326" s="118"/>
    </row>
  </sheetData>
  <pageMargins left="0.7" right="0.7" top="0.75" bottom="0.75" header="0.3" footer="0.3"/>
  <pageSetup orientation="portrait" r:id="rId1"/>
  <headerFooter>
    <oddFooter>&amp;L_x000D_&amp;1#&amp;"Aptos"&amp;10&amp;K000000 INTERNAL USE ONLY</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C48D3-217D-4D23-8F88-3CE1DB1F6F43}">
  <sheetPr>
    <tabColor theme="9"/>
  </sheetPr>
  <dimension ref="A1:IO2"/>
  <sheetViews>
    <sheetView showGridLines="0" zoomScale="92" zoomScaleNormal="92" workbookViewId="0">
      <pane xSplit="2" ySplit="1" topLeftCell="C2" activePane="bottomRight" state="frozen"/>
      <selection pane="topRight" activeCell="C1" sqref="C1"/>
      <selection pane="bottomLeft" activeCell="A2" sqref="A2"/>
      <selection pane="bottomRight" activeCell="H2" sqref="H2"/>
    </sheetView>
  </sheetViews>
  <sheetFormatPr defaultColWidth="9.140625" defaultRowHeight="12.75"/>
  <cols>
    <col min="1" max="1" width="23.42578125" style="15" bestFit="1" customWidth="1"/>
    <col min="2" max="2" width="12" style="15" bestFit="1" customWidth="1"/>
    <col min="3" max="3" width="11.140625" style="15" customWidth="1"/>
    <col min="4" max="4" width="8.140625" style="15" bestFit="1" customWidth="1"/>
    <col min="5" max="5" width="15.140625" style="15" bestFit="1" customWidth="1"/>
    <col min="6" max="6" width="12.42578125" style="15" bestFit="1" customWidth="1"/>
    <col min="7" max="7" width="14.42578125" style="15" bestFit="1" customWidth="1"/>
    <col min="8" max="8" width="36.7109375" style="15" bestFit="1" customWidth="1"/>
    <col min="9" max="9" width="13.85546875" style="15" bestFit="1" customWidth="1"/>
    <col min="10" max="10" width="15.140625" style="15" bestFit="1" customWidth="1"/>
    <col min="11" max="11" width="41.42578125" style="15" bestFit="1" customWidth="1"/>
    <col min="12" max="12" width="18.85546875" style="15" customWidth="1"/>
    <col min="13" max="13" width="12.42578125" style="15" bestFit="1" customWidth="1"/>
    <col min="14" max="14" width="11.140625" style="15" bestFit="1" customWidth="1"/>
    <col min="15" max="15" width="14.5703125" style="15" bestFit="1" customWidth="1"/>
    <col min="16" max="16" width="14" style="15" bestFit="1" customWidth="1"/>
    <col min="17" max="17" width="12.28515625" style="15" bestFit="1" customWidth="1"/>
    <col min="18" max="19" width="9.5703125" style="15" bestFit="1" customWidth="1"/>
    <col min="20" max="20" width="22.42578125" style="15" bestFit="1" customWidth="1"/>
    <col min="21" max="22" width="11.7109375" style="15" customWidth="1"/>
    <col min="23" max="24" width="11.140625" style="15" bestFit="1" customWidth="1"/>
    <col min="25" max="26" width="22.85546875" style="15" bestFit="1" customWidth="1"/>
    <col min="27" max="28" width="18.42578125" style="15" bestFit="1" customWidth="1"/>
    <col min="29" max="29" width="28.5703125" style="15" bestFit="1" customWidth="1"/>
    <col min="30" max="30" width="27.28515625" style="15" bestFit="1" customWidth="1"/>
    <col min="31" max="33" width="18.42578125" style="15" customWidth="1"/>
    <col min="34" max="34" width="18.42578125" style="15" bestFit="1" customWidth="1"/>
    <col min="35" max="35" width="16.140625" style="15" bestFit="1" customWidth="1"/>
    <col min="36" max="36" width="11.140625" style="15" bestFit="1" customWidth="1"/>
    <col min="37" max="40" width="9.140625" style="15"/>
    <col min="41" max="41" width="27.28515625" style="15" bestFit="1" customWidth="1"/>
    <col min="42" max="45" width="9.140625" style="15"/>
    <col min="46" max="46" width="16.140625" style="15" bestFit="1" customWidth="1"/>
    <col min="47" max="162" width="9.140625" style="15"/>
    <col min="163" max="164" width="11" style="15" bestFit="1" customWidth="1"/>
    <col min="165" max="165" width="12.42578125" style="15" bestFit="1" customWidth="1"/>
    <col min="166" max="16384" width="9.140625" style="15"/>
  </cols>
  <sheetData>
    <row r="1" spans="1:249" s="146" customFormat="1" ht="12.95" customHeight="1">
      <c r="A1" s="141" t="s">
        <v>78</v>
      </c>
      <c r="B1" s="142" t="s">
        <v>5</v>
      </c>
      <c r="C1" s="143" t="s">
        <v>84</v>
      </c>
      <c r="D1" s="143" t="s">
        <v>76</v>
      </c>
      <c r="E1" s="142" t="s">
        <v>549</v>
      </c>
      <c r="F1" s="142" t="s">
        <v>134</v>
      </c>
      <c r="G1" s="142" t="s">
        <v>11</v>
      </c>
      <c r="H1" s="142" t="s">
        <v>57</v>
      </c>
      <c r="I1" s="142" t="s">
        <v>604</v>
      </c>
      <c r="J1" s="142" t="s">
        <v>329</v>
      </c>
      <c r="K1" s="142" t="s">
        <v>139</v>
      </c>
      <c r="L1" s="142" t="s">
        <v>605</v>
      </c>
      <c r="M1" s="142" t="s">
        <v>152</v>
      </c>
      <c r="N1" s="142" t="s">
        <v>606</v>
      </c>
      <c r="O1" s="142" t="s">
        <v>274</v>
      </c>
      <c r="P1" s="142" t="s">
        <v>607</v>
      </c>
      <c r="Q1" s="142" t="s">
        <v>608</v>
      </c>
      <c r="R1" s="142" t="s">
        <v>609</v>
      </c>
      <c r="S1" s="142" t="s">
        <v>610</v>
      </c>
      <c r="T1" s="142" t="s">
        <v>611</v>
      </c>
      <c r="U1" s="142" t="s">
        <v>612</v>
      </c>
      <c r="V1" s="142" t="s">
        <v>613</v>
      </c>
      <c r="W1" s="142" t="s">
        <v>614</v>
      </c>
      <c r="X1" s="142" t="s">
        <v>615</v>
      </c>
      <c r="Y1" s="142" t="s">
        <v>616</v>
      </c>
      <c r="Z1" s="142" t="s">
        <v>617</v>
      </c>
      <c r="AA1" s="142" t="s">
        <v>618</v>
      </c>
      <c r="AB1" s="142" t="s">
        <v>619</v>
      </c>
      <c r="AC1" s="142" t="s">
        <v>620</v>
      </c>
      <c r="AD1" s="142" t="s">
        <v>621</v>
      </c>
      <c r="AE1" s="142" t="s">
        <v>622</v>
      </c>
      <c r="AF1" s="142" t="s">
        <v>623</v>
      </c>
      <c r="AG1" s="142" t="s">
        <v>624</v>
      </c>
      <c r="AH1" s="142" t="s">
        <v>625</v>
      </c>
      <c r="AI1" s="142" t="s">
        <v>626</v>
      </c>
      <c r="AJ1" s="142" t="s">
        <v>627</v>
      </c>
      <c r="AK1" s="142" t="s">
        <v>628</v>
      </c>
      <c r="AL1" s="142" t="s">
        <v>629</v>
      </c>
      <c r="AM1" s="142" t="s">
        <v>630</v>
      </c>
      <c r="AN1" s="142" t="s">
        <v>631</v>
      </c>
      <c r="AO1" s="142" t="s">
        <v>632</v>
      </c>
      <c r="AP1" s="142" t="s">
        <v>633</v>
      </c>
      <c r="AQ1" s="142" t="s">
        <v>634</v>
      </c>
      <c r="AR1" s="142" t="s">
        <v>635</v>
      </c>
      <c r="AS1" s="142" t="s">
        <v>636</v>
      </c>
      <c r="AT1" s="142" t="s">
        <v>637</v>
      </c>
      <c r="AU1" s="142" t="s">
        <v>638</v>
      </c>
      <c r="AV1" s="142" t="s">
        <v>155</v>
      </c>
      <c r="AW1" s="142" t="s">
        <v>440</v>
      </c>
      <c r="AX1" s="142" t="s">
        <v>275</v>
      </c>
      <c r="AY1" s="142" t="s">
        <v>157</v>
      </c>
      <c r="AZ1" s="142" t="s">
        <v>441</v>
      </c>
      <c r="BA1" s="142" t="s">
        <v>276</v>
      </c>
      <c r="BB1" s="142" t="s">
        <v>160</v>
      </c>
      <c r="BC1" s="142" t="s">
        <v>639</v>
      </c>
      <c r="BD1" s="142" t="s">
        <v>640</v>
      </c>
      <c r="BE1" s="142" t="s">
        <v>641</v>
      </c>
      <c r="BF1" s="142" t="s">
        <v>642</v>
      </c>
      <c r="BG1" s="142" t="s">
        <v>643</v>
      </c>
      <c r="BH1" s="142" t="s">
        <v>644</v>
      </c>
      <c r="BI1" s="142" t="s">
        <v>164</v>
      </c>
      <c r="BJ1" s="142" t="s">
        <v>278</v>
      </c>
      <c r="BK1" s="142" t="s">
        <v>645</v>
      </c>
      <c r="BL1" s="142" t="s">
        <v>646</v>
      </c>
      <c r="BM1" s="142" t="s">
        <v>647</v>
      </c>
      <c r="BN1" s="142" t="s">
        <v>648</v>
      </c>
      <c r="BO1" s="142" t="s">
        <v>649</v>
      </c>
      <c r="BP1" s="142" t="s">
        <v>650</v>
      </c>
      <c r="BQ1" s="142" t="s">
        <v>651</v>
      </c>
      <c r="BR1" s="142" t="s">
        <v>652</v>
      </c>
      <c r="BS1" s="142" t="s">
        <v>653</v>
      </c>
      <c r="BT1" s="142" t="s">
        <v>654</v>
      </c>
      <c r="BU1" s="142" t="s">
        <v>655</v>
      </c>
      <c r="BV1" s="142" t="s">
        <v>656</v>
      </c>
      <c r="BW1" s="142" t="s">
        <v>657</v>
      </c>
      <c r="BX1" s="142" t="s">
        <v>658</v>
      </c>
      <c r="BY1" s="142" t="s">
        <v>659</v>
      </c>
      <c r="BZ1" s="142" t="s">
        <v>660</v>
      </c>
      <c r="CA1" s="142" t="s">
        <v>661</v>
      </c>
      <c r="CB1" s="142" t="s">
        <v>662</v>
      </c>
      <c r="CC1" s="142" t="s">
        <v>663</v>
      </c>
      <c r="CD1" s="142" t="s">
        <v>664</v>
      </c>
      <c r="CE1" s="142" t="s">
        <v>665</v>
      </c>
      <c r="CF1" s="142" t="s">
        <v>666</v>
      </c>
      <c r="CG1" s="142" t="s">
        <v>667</v>
      </c>
      <c r="CH1" s="142" t="s">
        <v>668</v>
      </c>
      <c r="CI1" s="142" t="s">
        <v>669</v>
      </c>
      <c r="CJ1" s="142" t="s">
        <v>670</v>
      </c>
      <c r="CK1" s="142" t="s">
        <v>671</v>
      </c>
      <c r="CL1" s="142" t="s">
        <v>672</v>
      </c>
      <c r="CM1" s="142" t="s">
        <v>673</v>
      </c>
      <c r="CN1" s="142" t="s">
        <v>674</v>
      </c>
      <c r="CO1" s="142" t="s">
        <v>675</v>
      </c>
      <c r="CP1" s="142" t="s">
        <v>676</v>
      </c>
      <c r="CQ1" s="142" t="s">
        <v>677</v>
      </c>
      <c r="CR1" s="142" t="s">
        <v>678</v>
      </c>
      <c r="CS1" s="142" t="s">
        <v>679</v>
      </c>
      <c r="CT1" s="142" t="s">
        <v>680</v>
      </c>
      <c r="CU1" s="142" t="s">
        <v>681</v>
      </c>
      <c r="CV1" s="142" t="s">
        <v>682</v>
      </c>
      <c r="CW1" s="142" t="s">
        <v>683</v>
      </c>
      <c r="CX1" s="142" t="s">
        <v>684</v>
      </c>
      <c r="CY1" s="142" t="s">
        <v>685</v>
      </c>
      <c r="CZ1" s="142" t="s">
        <v>686</v>
      </c>
      <c r="DA1" s="142" t="s">
        <v>687</v>
      </c>
      <c r="DB1" s="142" t="s">
        <v>688</v>
      </c>
      <c r="DC1" s="142" t="s">
        <v>689</v>
      </c>
      <c r="DD1" s="142" t="s">
        <v>690</v>
      </c>
      <c r="DE1" s="142" t="s">
        <v>691</v>
      </c>
      <c r="DF1" s="142" t="s">
        <v>692</v>
      </c>
      <c r="DG1" s="142" t="s">
        <v>693</v>
      </c>
      <c r="DH1" s="142" t="s">
        <v>694</v>
      </c>
      <c r="DI1" s="142" t="s">
        <v>695</v>
      </c>
      <c r="DJ1" s="142" t="s">
        <v>696</v>
      </c>
      <c r="DK1" s="142" t="s">
        <v>167</v>
      </c>
      <c r="DL1" s="142" t="s">
        <v>170</v>
      </c>
      <c r="DM1" s="142" t="s">
        <v>697</v>
      </c>
      <c r="DN1" s="142" t="s">
        <v>174</v>
      </c>
      <c r="DO1" s="142" t="s">
        <v>177</v>
      </c>
      <c r="DP1" s="142" t="s">
        <v>288</v>
      </c>
      <c r="DQ1" s="142" t="s">
        <v>291</v>
      </c>
      <c r="DR1" s="142" t="s">
        <v>698</v>
      </c>
      <c r="DS1" s="142" t="s">
        <v>180</v>
      </c>
      <c r="DT1" s="142" t="s">
        <v>183</v>
      </c>
      <c r="DU1" s="142" t="s">
        <v>245</v>
      </c>
      <c r="DV1" s="142" t="s">
        <v>248</v>
      </c>
      <c r="DW1" s="142" t="s">
        <v>251</v>
      </c>
      <c r="DX1" s="142" t="s">
        <v>186</v>
      </c>
      <c r="DY1" s="142" t="s">
        <v>189</v>
      </c>
      <c r="DZ1" s="142" t="s">
        <v>254</v>
      </c>
      <c r="EA1" s="142" t="s">
        <v>257</v>
      </c>
      <c r="EB1" s="142" t="s">
        <v>260</v>
      </c>
      <c r="EC1" s="142" t="s">
        <v>699</v>
      </c>
      <c r="ED1" s="142" t="s">
        <v>700</v>
      </c>
      <c r="EE1" s="142" t="s">
        <v>701</v>
      </c>
      <c r="EF1" s="142" t="s">
        <v>702</v>
      </c>
      <c r="EG1" s="142" t="s">
        <v>703</v>
      </c>
      <c r="EH1" s="142" t="s">
        <v>704</v>
      </c>
      <c r="EI1" s="142" t="s">
        <v>705</v>
      </c>
      <c r="EJ1" s="142" t="s">
        <v>706</v>
      </c>
      <c r="EK1" s="142" t="s">
        <v>707</v>
      </c>
      <c r="EL1" s="142" t="s">
        <v>708</v>
      </c>
      <c r="EM1" s="142" t="s">
        <v>709</v>
      </c>
      <c r="EN1" s="142" t="s">
        <v>710</v>
      </c>
      <c r="EO1" s="142" t="s">
        <v>711</v>
      </c>
      <c r="EP1" s="142" t="s">
        <v>712</v>
      </c>
      <c r="EQ1" s="142" t="s">
        <v>713</v>
      </c>
      <c r="ER1" s="142" t="s">
        <v>714</v>
      </c>
      <c r="ES1" s="142" t="s">
        <v>715</v>
      </c>
      <c r="ET1" s="142" t="s">
        <v>716</v>
      </c>
      <c r="EU1" s="142" t="s">
        <v>717</v>
      </c>
      <c r="EV1" s="142" t="s">
        <v>718</v>
      </c>
      <c r="EW1" s="142" t="s">
        <v>719</v>
      </c>
      <c r="EX1" s="142" t="s">
        <v>720</v>
      </c>
      <c r="EY1" s="142" t="s">
        <v>721</v>
      </c>
      <c r="EZ1" s="142" t="s">
        <v>722</v>
      </c>
      <c r="FA1" s="142" t="s">
        <v>723</v>
      </c>
      <c r="FB1" s="142" t="s">
        <v>724</v>
      </c>
      <c r="FC1" s="142" t="s">
        <v>725</v>
      </c>
      <c r="FD1" s="142" t="s">
        <v>726</v>
      </c>
      <c r="FE1" s="142" t="s">
        <v>727</v>
      </c>
      <c r="FF1" s="142" t="s">
        <v>728</v>
      </c>
      <c r="FG1" s="142" t="s">
        <v>848</v>
      </c>
      <c r="FH1" s="142" t="s">
        <v>849</v>
      </c>
      <c r="FI1" s="142" t="s">
        <v>850</v>
      </c>
      <c r="FJ1" s="142" t="s">
        <v>203</v>
      </c>
      <c r="FK1" s="142" t="s">
        <v>206</v>
      </c>
      <c r="FL1" s="142" t="s">
        <v>211</v>
      </c>
      <c r="FM1" s="142" t="s">
        <v>212</v>
      </c>
      <c r="FN1" s="142" t="s">
        <v>214</v>
      </c>
      <c r="FO1" s="142" t="s">
        <v>215</v>
      </c>
      <c r="FP1" s="142" t="s">
        <v>527</v>
      </c>
      <c r="FQ1" s="142" t="s">
        <v>528</v>
      </c>
      <c r="FR1" s="142" t="s">
        <v>529</v>
      </c>
      <c r="FS1" s="142" t="s">
        <v>530</v>
      </c>
      <c r="FT1" s="142" t="s">
        <v>222</v>
      </c>
      <c r="FU1" s="142" t="s">
        <v>223</v>
      </c>
      <c r="FV1" s="142" t="s">
        <v>225</v>
      </c>
      <c r="FW1" s="142" t="s">
        <v>865</v>
      </c>
      <c r="FX1" s="142" t="s">
        <v>294</v>
      </c>
      <c r="FY1" s="142" t="s">
        <v>230</v>
      </c>
      <c r="FZ1" s="142" t="s">
        <v>104</v>
      </c>
      <c r="GA1" s="142" t="s">
        <v>234</v>
      </c>
      <c r="GB1" s="142" t="s">
        <v>818</v>
      </c>
      <c r="GC1" s="142" t="s">
        <v>816</v>
      </c>
      <c r="GD1" s="142" t="s">
        <v>281</v>
      </c>
      <c r="GE1" s="142" t="s">
        <v>237</v>
      </c>
      <c r="GF1" s="142" t="s">
        <v>282</v>
      </c>
      <c r="GG1" s="142" t="s">
        <v>239</v>
      </c>
      <c r="GH1" s="142" t="s">
        <v>283</v>
      </c>
      <c r="GI1" s="142" t="s">
        <v>242</v>
      </c>
      <c r="GJ1" s="142" t="s">
        <v>261</v>
      </c>
      <c r="GK1" s="142" t="s">
        <v>264</v>
      </c>
      <c r="GL1" s="142" t="s">
        <v>730</v>
      </c>
      <c r="GM1" s="142" t="s">
        <v>266</v>
      </c>
      <c r="GN1" s="142" t="s">
        <v>268</v>
      </c>
      <c r="GO1" s="144" t="s">
        <v>731</v>
      </c>
      <c r="GP1" s="144" t="s">
        <v>732</v>
      </c>
      <c r="GQ1" s="144" t="s">
        <v>733</v>
      </c>
      <c r="GR1" s="144" t="s">
        <v>734</v>
      </c>
      <c r="GS1" s="144" t="s">
        <v>605</v>
      </c>
      <c r="GT1" s="144" t="s">
        <v>735</v>
      </c>
      <c r="GU1" s="144" t="s">
        <v>736</v>
      </c>
      <c r="GV1" s="144" t="s">
        <v>737</v>
      </c>
      <c r="GW1" s="144" t="s">
        <v>738</v>
      </c>
      <c r="GX1" s="144" t="s">
        <v>736</v>
      </c>
      <c r="GY1" s="144" t="s">
        <v>739</v>
      </c>
      <c r="GZ1" s="144" t="s">
        <v>740</v>
      </c>
      <c r="HA1" s="144" t="s">
        <v>736</v>
      </c>
      <c r="HB1" s="144" t="s">
        <v>741</v>
      </c>
      <c r="HC1" s="144" t="s">
        <v>742</v>
      </c>
      <c r="HD1" s="144" t="s">
        <v>743</v>
      </c>
      <c r="HE1" s="144" t="s">
        <v>744</v>
      </c>
      <c r="HF1" s="144" t="s">
        <v>745</v>
      </c>
      <c r="HG1" s="144" t="s">
        <v>743</v>
      </c>
      <c r="HH1" s="144" t="s">
        <v>746</v>
      </c>
      <c r="HI1" s="144" t="s">
        <v>747</v>
      </c>
      <c r="HJ1" s="144" t="s">
        <v>743</v>
      </c>
      <c r="HK1" s="144" t="s">
        <v>748</v>
      </c>
      <c r="HL1" s="144" t="s">
        <v>749</v>
      </c>
      <c r="HM1" s="144" t="s">
        <v>743</v>
      </c>
      <c r="HN1" s="144" t="s">
        <v>750</v>
      </c>
      <c r="HO1" s="144" t="s">
        <v>751</v>
      </c>
      <c r="HP1" s="144" t="s">
        <v>752</v>
      </c>
      <c r="HQ1" s="144" t="s">
        <v>753</v>
      </c>
      <c r="HR1" s="144" t="s">
        <v>754</v>
      </c>
      <c r="HS1" s="144" t="s">
        <v>755</v>
      </c>
      <c r="HT1" s="144" t="s">
        <v>756</v>
      </c>
      <c r="HU1" s="144" t="s">
        <v>757</v>
      </c>
      <c r="HV1" s="144" t="s">
        <v>758</v>
      </c>
      <c r="HW1" s="144" t="s">
        <v>759</v>
      </c>
      <c r="HX1" s="144" t="s">
        <v>760</v>
      </c>
      <c r="HY1" s="144" t="s">
        <v>761</v>
      </c>
      <c r="HZ1" s="144" t="s">
        <v>762</v>
      </c>
      <c r="IA1" s="144" t="s">
        <v>763</v>
      </c>
      <c r="IB1" s="144" t="s">
        <v>764</v>
      </c>
      <c r="IC1" s="144" t="s">
        <v>765</v>
      </c>
      <c r="ID1" s="144" t="s">
        <v>766</v>
      </c>
      <c r="IE1" s="144" t="s">
        <v>767</v>
      </c>
      <c r="IF1" s="144" t="s">
        <v>768</v>
      </c>
      <c r="IG1" s="144" t="s">
        <v>769</v>
      </c>
      <c r="IH1" s="144" t="s">
        <v>770</v>
      </c>
      <c r="II1" s="144" t="s">
        <v>771</v>
      </c>
      <c r="IJ1" s="144" t="s">
        <v>772</v>
      </c>
      <c r="IK1" s="144" t="s">
        <v>773</v>
      </c>
      <c r="IL1" s="145" t="s">
        <v>774</v>
      </c>
      <c r="IM1" s="145" t="s">
        <v>775</v>
      </c>
      <c r="IN1" s="145" t="s">
        <v>776</v>
      </c>
      <c r="IO1" s="145" t="s">
        <v>777</v>
      </c>
    </row>
    <row r="2" spans="1:249" s="171" customFormat="1" ht="12.75" customHeight="1">
      <c r="A2" s="142" t="s">
        <v>549</v>
      </c>
      <c r="B2" s="142" t="s">
        <v>2</v>
      </c>
      <c r="C2" s="142" t="s">
        <v>2</v>
      </c>
      <c r="D2" s="142" t="s">
        <v>2</v>
      </c>
      <c r="E2" s="163" t="s">
        <v>2</v>
      </c>
      <c r="F2" s="163" t="s">
        <v>778</v>
      </c>
      <c r="G2" s="164" t="s">
        <v>803</v>
      </c>
      <c r="H2" s="172" t="str" cm="1">
        <f t="array" ref="H2">_xlfn.IFS(Global!B2="QA","https://travelkore.qa.insurancebytravelex.com",Global!B2="UAT","https://travelkore.uat.insurancebytravelex.com",Global!B2="PROD","https://travelkore.insurancebytravelex.com/")</f>
        <v>https://travelkore.uat.insurancebytravelex.com</v>
      </c>
      <c r="I2" s="165">
        <f t="shared" ref="I2" ca="1" si="0">TODAY()</f>
        <v>46266</v>
      </c>
      <c r="J2" s="165"/>
      <c r="K2" s="166"/>
      <c r="L2" s="166" t="s">
        <v>128</v>
      </c>
      <c r="M2" s="166" t="s">
        <v>820</v>
      </c>
      <c r="N2" s="166"/>
      <c r="O2" s="166" t="s">
        <v>782</v>
      </c>
      <c r="P2" s="166"/>
      <c r="Q2" s="166"/>
      <c r="R2" s="166"/>
      <c r="S2" s="166"/>
      <c r="T2" s="166"/>
      <c r="U2" s="166"/>
      <c r="V2" s="166"/>
      <c r="W2" s="166"/>
      <c r="X2" s="166"/>
      <c r="Y2" s="166"/>
      <c r="Z2" s="166"/>
      <c r="AA2" s="166"/>
      <c r="AB2" s="166"/>
      <c r="AC2" s="166"/>
      <c r="AD2" s="166"/>
      <c r="AE2" s="166"/>
      <c r="AF2" s="166"/>
      <c r="AG2" s="166"/>
      <c r="AH2" s="166"/>
      <c r="AI2" s="166"/>
      <c r="AJ2" s="166"/>
      <c r="AK2" s="166"/>
      <c r="AL2" s="166"/>
      <c r="AM2" s="166"/>
      <c r="AN2" s="166"/>
      <c r="AO2" s="166"/>
      <c r="AP2" s="166"/>
      <c r="AQ2" s="166"/>
      <c r="AR2" s="166"/>
      <c r="AS2" s="166"/>
      <c r="AT2" s="166"/>
      <c r="AU2" s="166"/>
      <c r="AV2" s="152" t="str">
        <f t="shared" ref="AV2" ca="1" si="1">TEXT(I2+1,"mm/dd/yyyy")</f>
        <v>09/02/2026</v>
      </c>
      <c r="AW2" s="152" t="str">
        <f t="shared" ref="AW2" ca="1" si="2">TEXT(I2+7,"mm/dd/yyyy")</f>
        <v>09/08/2026</v>
      </c>
      <c r="AX2" s="167" t="str">
        <f t="shared" ref="AX2" ca="1" si="3">TEXT(I2+7,"mm/dd/yyyy")</f>
        <v>09/08/2026</v>
      </c>
      <c r="AY2" s="168" t="str">
        <f ca="1">TEXT(AV2+59,"mm/dd/yyyy")</f>
        <v>10/31/2026</v>
      </c>
      <c r="AZ2" s="152" t="str">
        <f t="shared" ref="AZ2" ca="1" si="4">TEXT(AW2+14,"mm/dd/yyyy")</f>
        <v>09/22/2026</v>
      </c>
      <c r="BA2" s="167" t="str">
        <f t="shared" ref="BA2" ca="1" si="5">TEXT(AV2+14,"mm/dd/yyyy")</f>
        <v>09/16/2026</v>
      </c>
      <c r="BB2" s="155" t="str">
        <f t="shared" ref="BB2" ca="1" si="6">TEXT(I2-1,"mm/dd/yyyy")</f>
        <v>08/31/2026</v>
      </c>
      <c r="BC2" s="169"/>
      <c r="BD2" s="169"/>
      <c r="BE2" s="169"/>
      <c r="BF2" s="169"/>
      <c r="BG2" s="169"/>
      <c r="BH2" s="169"/>
      <c r="BI2" s="157" t="s">
        <v>783</v>
      </c>
      <c r="BJ2" s="163" t="s">
        <v>784</v>
      </c>
      <c r="BK2" s="147" t="s">
        <v>785</v>
      </c>
      <c r="BL2" s="157"/>
      <c r="BM2" s="163"/>
      <c r="BN2" s="163"/>
      <c r="BO2" s="157"/>
      <c r="BP2" s="163"/>
      <c r="BQ2" s="163"/>
      <c r="BR2" s="157"/>
      <c r="BS2" s="163"/>
      <c r="BT2" s="163"/>
      <c r="BU2" s="157"/>
      <c r="BV2" s="163"/>
      <c r="BW2" s="163"/>
      <c r="BX2" s="157"/>
      <c r="BY2" s="163"/>
      <c r="BZ2" s="163"/>
      <c r="CA2" s="157"/>
      <c r="CB2" s="163"/>
      <c r="CC2" s="163"/>
      <c r="CD2" s="157"/>
      <c r="CE2" s="163"/>
      <c r="CF2" s="163"/>
      <c r="CG2" s="157"/>
      <c r="CH2" s="163"/>
      <c r="CI2" s="163"/>
      <c r="CJ2" s="157"/>
      <c r="CK2" s="163"/>
      <c r="CL2" s="163"/>
      <c r="CM2" s="157"/>
      <c r="CN2" s="163"/>
      <c r="CO2" s="163"/>
      <c r="CP2" s="157"/>
      <c r="CQ2" s="163"/>
      <c r="CR2" s="163"/>
      <c r="CS2" s="157"/>
      <c r="CT2" s="163"/>
      <c r="CU2" s="163"/>
      <c r="CV2" s="157"/>
      <c r="CW2" s="163"/>
      <c r="CX2" s="163"/>
      <c r="CY2" s="157"/>
      <c r="CZ2" s="163"/>
      <c r="DA2" s="163"/>
      <c r="DB2" s="157"/>
      <c r="DC2" s="163"/>
      <c r="DD2" s="163"/>
      <c r="DE2" s="157"/>
      <c r="DF2" s="163"/>
      <c r="DG2" s="163"/>
      <c r="DH2" s="157"/>
      <c r="DI2" s="163"/>
      <c r="DJ2" s="163"/>
      <c r="DK2" s="156" t="s">
        <v>786</v>
      </c>
      <c r="DL2" s="156" t="s">
        <v>787</v>
      </c>
      <c r="DM2" s="157" t="s">
        <v>88</v>
      </c>
      <c r="DN2" s="156" t="s">
        <v>86</v>
      </c>
      <c r="DO2" s="156" t="s">
        <v>788</v>
      </c>
      <c r="DP2" s="157" t="str">
        <f t="shared" ref="DP2" ca="1" si="7">"QAFIRSTNAME"&amp;CHAR(RANDBETWEEN(65,90))&amp;CHAR(RANDBETWEEN(65,90))</f>
        <v>QAFIRSTNAMEUE</v>
      </c>
      <c r="DQ2" s="157" t="str">
        <f t="shared" ref="DQ2" ca="1" si="8">"QALASTNAME"&amp;CHAR(RANDBETWEEN(65,90))&amp;CHAR(RANDBETWEEN(65,90))</f>
        <v>QALASTNAMESN</v>
      </c>
      <c r="DR2" s="156" t="str">
        <f t="shared" ref="DR2" ca="1" si="9">TEXT(DATE(YEAR(TODAY())-DS2,MONTH(TODAY()),DAY(TODAY())),"MM/DD/YYYY")</f>
        <v>09/01/1971</v>
      </c>
      <c r="DS2" s="157" t="s">
        <v>845</v>
      </c>
      <c r="DT2" s="157"/>
      <c r="DU2" s="157"/>
      <c r="DV2" s="157"/>
      <c r="DW2" s="157"/>
      <c r="DX2" s="157"/>
      <c r="DY2" s="157"/>
      <c r="DZ2" s="157"/>
      <c r="EA2" s="157"/>
      <c r="EB2" s="157"/>
      <c r="EC2" s="157"/>
      <c r="ED2" s="157"/>
      <c r="EE2" s="157"/>
      <c r="EF2" s="157"/>
      <c r="EG2" s="157"/>
      <c r="EH2" s="157"/>
      <c r="EI2" s="157"/>
      <c r="EJ2" s="157"/>
      <c r="EK2" s="157"/>
      <c r="EL2" s="157"/>
      <c r="EM2" s="157"/>
      <c r="EN2" s="157"/>
      <c r="EO2" s="157"/>
      <c r="EP2" s="157"/>
      <c r="EQ2" s="157"/>
      <c r="ER2" s="157"/>
      <c r="ES2" s="157"/>
      <c r="ET2" s="157"/>
      <c r="EU2" s="157"/>
      <c r="EV2" s="157"/>
      <c r="EW2" s="157"/>
      <c r="EX2" s="157"/>
      <c r="EY2" s="157"/>
      <c r="EZ2" s="157"/>
      <c r="FA2" s="157"/>
      <c r="FB2" s="157"/>
      <c r="FC2" s="157"/>
      <c r="FD2" s="157"/>
      <c r="FE2" s="157"/>
      <c r="FF2" s="157"/>
      <c r="FG2" s="189" t="s">
        <v>857</v>
      </c>
      <c r="FH2" s="189" t="s">
        <v>859</v>
      </c>
      <c r="FI2" s="189" t="s">
        <v>858</v>
      </c>
      <c r="FJ2" s="163" t="str">
        <f ca="1">TEXT(AX2,"mm/dd/yyyy")</f>
        <v>09/08/2026</v>
      </c>
      <c r="FK2" s="163" t="str">
        <f ca="1">TEXT(AX2+1,"mm/dd/yyyy")</f>
        <v>09/09/2026</v>
      </c>
      <c r="FL2" s="163" t="str">
        <f ca="1">TEXT(FK2+1,"mm/dd/yyyy")</f>
        <v>09/10/2026</v>
      </c>
      <c r="FM2" s="163" t="str">
        <f t="shared" ref="FM2:FO2" ca="1" si="10">TEXT(FL2+1,"mm/dd/yyyy")</f>
        <v>09/11/2026</v>
      </c>
      <c r="FN2" s="163" t="str">
        <f t="shared" ca="1" si="10"/>
        <v>09/12/2026</v>
      </c>
      <c r="FO2" s="163" t="str">
        <f t="shared" ca="1" si="10"/>
        <v>09/13/2026</v>
      </c>
      <c r="FP2" s="147" t="str">
        <f t="shared" ref="FP2" ca="1" si="11">TEXT(FO2+7,"mm/dd/yyyy")</f>
        <v>09/20/2026</v>
      </c>
      <c r="FQ2" s="163" t="str">
        <f t="shared" ref="FQ2:FS2" ca="1" si="12">TEXT(FP2+1,"mm/dd/yyyy")</f>
        <v>09/21/2026</v>
      </c>
      <c r="FR2" s="163" t="str">
        <f t="shared" ca="1" si="12"/>
        <v>09/22/2026</v>
      </c>
      <c r="FS2" s="163" t="str">
        <f t="shared" ca="1" si="12"/>
        <v>09/23/2026</v>
      </c>
      <c r="FT2" s="157" t="str">
        <f t="shared" ref="FT2" ca="1" si="13">"QAFIRSTNAME"&amp;CHAR(RANDBETWEEN(65,90))&amp;CHAR(RANDBETWEEN(65,90))</f>
        <v>QAFIRSTNAMEER</v>
      </c>
      <c r="FU2" s="163" t="str">
        <f t="shared" ref="FU2" ca="1" si="14">"QALASTNAME"&amp;CHAR(RANDBETWEEN(65,90))&amp;CHAR(RANDBETWEEN(65,90))</f>
        <v>QALASTNAMEGN</v>
      </c>
      <c r="FV2" s="147" t="str">
        <f t="shared" ref="FV2" ca="1" si="15">TEXT(DATE(YEAR(TODAY())-DK2,MONTH(TODAY()),DAY(TODAY())),"MM/DD/YYYY")</f>
        <v>09/01/1916</v>
      </c>
      <c r="FW2" s="163" t="str">
        <f ca="1">TEXT(DATE(YEAR(TODAY())-DS2,MONTH(TODAY()),DAY(TODAY())),"MM/DD/YYYY")</f>
        <v>09/01/1971</v>
      </c>
      <c r="FX2" s="147" t="str">
        <f t="shared" ref="FX2" ca="1" si="16">TEXT(DATE(YEAR(TODAY())-DN2,MONTH(TODAY()),DAY(TODAY())),"MM/DD/YYYY")</f>
        <v>09/01/2008</v>
      </c>
      <c r="FY2" s="157" t="s">
        <v>791</v>
      </c>
      <c r="FZ2" s="156" t="s">
        <v>813</v>
      </c>
      <c r="GA2" s="156" t="s">
        <v>812</v>
      </c>
      <c r="GB2" s="157" t="s">
        <v>819</v>
      </c>
      <c r="GC2" s="156" t="s">
        <v>817</v>
      </c>
      <c r="GD2" s="157" t="s">
        <v>792</v>
      </c>
      <c r="GE2" s="157" t="s">
        <v>483</v>
      </c>
      <c r="GF2" s="156" t="s">
        <v>793</v>
      </c>
      <c r="GG2" s="158" t="s">
        <v>794</v>
      </c>
      <c r="GH2" s="158" t="s">
        <v>101</v>
      </c>
      <c r="GI2" s="157" t="s">
        <v>795</v>
      </c>
      <c r="GJ2" s="147" t="s">
        <v>796</v>
      </c>
      <c r="GK2" s="157" t="s">
        <v>797</v>
      </c>
      <c r="GL2" s="157"/>
      <c r="GM2" s="157" t="s">
        <v>106</v>
      </c>
      <c r="GN2" s="157" t="s">
        <v>798</v>
      </c>
      <c r="GO2" s="170"/>
      <c r="GP2" s="170"/>
      <c r="GQ2" s="170"/>
      <c r="GR2" s="170"/>
      <c r="GS2" s="170"/>
      <c r="GT2" s="170"/>
      <c r="GU2" s="170"/>
      <c r="GV2" s="170"/>
      <c r="GW2" s="170"/>
      <c r="GX2" s="170"/>
      <c r="GY2" s="170"/>
      <c r="GZ2" s="170"/>
      <c r="HA2" s="170"/>
      <c r="HB2" s="170"/>
      <c r="HC2" s="170"/>
      <c r="HD2" s="170"/>
      <c r="HE2" s="170"/>
      <c r="HF2" s="170"/>
      <c r="HG2" s="170"/>
      <c r="HH2" s="170"/>
      <c r="HI2" s="170"/>
      <c r="HJ2" s="170"/>
      <c r="HK2" s="170"/>
      <c r="HL2" s="170"/>
      <c r="HM2" s="170"/>
      <c r="HN2" s="170"/>
      <c r="HO2" s="170"/>
      <c r="HP2" s="170"/>
      <c r="HQ2" s="170"/>
      <c r="HR2" s="170"/>
      <c r="HS2" s="170"/>
      <c r="HT2" s="170"/>
      <c r="HU2" s="170"/>
      <c r="HV2" s="170"/>
      <c r="HW2" s="170"/>
      <c r="HX2" s="170"/>
      <c r="HY2" s="170"/>
      <c r="HZ2" s="170"/>
      <c r="IA2" s="170"/>
      <c r="IB2" s="170"/>
      <c r="IC2" s="170"/>
      <c r="ID2" s="170"/>
      <c r="IE2" s="170"/>
      <c r="IF2" s="170"/>
      <c r="IG2" s="170"/>
      <c r="IH2" s="170"/>
      <c r="II2" s="170"/>
      <c r="IJ2" s="170"/>
      <c r="IK2" s="170"/>
      <c r="IL2" s="163"/>
      <c r="IM2" s="163"/>
      <c r="IN2" s="163"/>
      <c r="IO2" s="163"/>
    </row>
  </sheetData>
  <conditionalFormatting sqref="A2:E2">
    <cfRule type="cellIs" dxfId="29" priority="1" stopIfTrue="1" operator="equal">
      <formula>"N"</formula>
    </cfRule>
    <cfRule type="cellIs" dxfId="28" priority="2" stopIfTrue="1" operator="equal">
      <formula>"Y"</formula>
    </cfRule>
  </conditionalFormatting>
  <conditionalFormatting sqref="E1">
    <cfRule type="cellIs" dxfId="27" priority="23" stopIfTrue="1" operator="equal">
      <formula>"N"</formula>
    </cfRule>
    <cfRule type="cellIs" dxfId="26" priority="24" stopIfTrue="1" operator="equal">
      <formula>"Y"</formula>
    </cfRule>
  </conditionalFormatting>
  <conditionalFormatting sqref="H2">
    <cfRule type="cellIs" dxfId="25" priority="13" operator="equal">
      <formula>"N"</formula>
    </cfRule>
    <cfRule type="cellIs" dxfId="24" priority="14" operator="equal">
      <formula>"Y"</formula>
    </cfRule>
  </conditionalFormatting>
  <hyperlinks>
    <hyperlink ref="AV2" r:id="rId1" display="qa@travelguard.com" xr:uid="{140322EF-04C9-4887-BEC2-6CA04F7A5863}"/>
    <hyperlink ref="AX2" r:id="rId2" display="qa@travelguard.com" xr:uid="{B8C3477D-A0AA-435B-8F5E-7B408E841A7F}"/>
    <hyperlink ref="BA2" r:id="rId3" display="qa@travelguard.com" xr:uid="{FB98667A-6DC7-4CBE-A50F-438AEFA6DDC5}"/>
    <hyperlink ref="GG2" r:id="rId4" display="qa@travelex.com" xr:uid="{A3F229EF-BC48-4FA7-9B92-4FC0B9B4BDAB}"/>
    <hyperlink ref="GH2" r:id="rId5" display="qa@travelex.com" xr:uid="{1D10807F-89CD-4CE7-82F5-D022226EA2BA}"/>
  </hyperlinks>
  <pageMargins left="0.7" right="0.7" top="0.75" bottom="0.75" header="0.3" footer="0.3"/>
  <pageSetup orientation="portrait" r:id="rId6"/>
  <headerFooter>
    <oddFooter>&amp;L_x000D_&amp;1#&amp;"Aptos"&amp;10&amp;K000000 INTERNAL USE ONLY</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9E85-3F7E-416F-A17E-28A25242CDB8}">
  <sheetPr>
    <tabColor theme="5"/>
    <outlinePr summaryBelow="0"/>
  </sheetPr>
  <dimension ref="A1:Z216"/>
  <sheetViews>
    <sheetView showGridLines="0" zoomScale="85" zoomScaleNormal="85" workbookViewId="0">
      <pane ySplit="1" topLeftCell="A152" activePane="bottomLeft" state="frozen"/>
      <selection activeCell="E20" sqref="E20"/>
      <selection pane="bottomLeft" activeCell="A168" sqref="A168"/>
    </sheetView>
  </sheetViews>
  <sheetFormatPr defaultColWidth="9.140625" defaultRowHeight="12.75" outlineLevelRow="1"/>
  <cols>
    <col min="1" max="1" width="27.42578125" style="13" customWidth="1"/>
    <col min="2" max="2" width="12.42578125" style="14" bestFit="1" customWidth="1"/>
    <col min="3" max="3" width="23.140625" style="13" customWidth="1"/>
    <col min="4" max="4" width="8.5703125" style="13" customWidth="1"/>
    <col min="5" max="5" width="10.85546875" style="13" customWidth="1"/>
    <col min="6" max="6" width="10.42578125" style="13" customWidth="1"/>
    <col min="7" max="7" width="22.140625" style="13" bestFit="1" customWidth="1"/>
    <col min="8" max="9" width="9.140625" style="13"/>
    <col min="10" max="10" width="62.5703125" style="13" bestFit="1" customWidth="1"/>
    <col min="11" max="11" width="9.140625" style="14"/>
    <col min="12" max="12" width="14.140625" style="13" bestFit="1" customWidth="1"/>
    <col min="13" max="13" width="19" style="13" customWidth="1"/>
    <col min="14" max="14" width="15.5703125" style="13" bestFit="1" customWidth="1"/>
    <col min="15" max="15" width="7.85546875" style="13" customWidth="1"/>
    <col min="16" max="16" width="9.5703125" style="13" bestFit="1" customWidth="1"/>
    <col min="17" max="17" width="9.85546875" style="13" bestFit="1" customWidth="1"/>
    <col min="18" max="18" width="20.140625" style="13" customWidth="1"/>
    <col min="19" max="19" width="22.85546875" style="13" bestFit="1" customWidth="1"/>
    <col min="20" max="20" width="12" style="13" bestFit="1" customWidth="1"/>
    <col min="21" max="21" width="8.42578125" style="13" bestFit="1" customWidth="1"/>
    <col min="22" max="22" width="5.85546875" style="13" bestFit="1" customWidth="1"/>
    <col min="23" max="23" width="9" style="13" bestFit="1" customWidth="1"/>
    <col min="24" max="24" width="8.42578125" style="13" bestFit="1" customWidth="1"/>
    <col min="25" max="25" width="7.85546875" style="13" bestFit="1" customWidth="1"/>
    <col min="26" max="16384" width="9.140625" style="9"/>
  </cols>
  <sheetData>
    <row r="1" spans="1:26">
      <c r="A1" s="29" t="s">
        <v>5</v>
      </c>
      <c r="B1" s="7" t="s">
        <v>28</v>
      </c>
      <c r="C1" s="7" t="s">
        <v>29</v>
      </c>
      <c r="D1" s="7" t="s">
        <v>1</v>
      </c>
      <c r="E1" s="7" t="s">
        <v>26</v>
      </c>
      <c r="F1" s="8" t="s">
        <v>53</v>
      </c>
      <c r="G1" s="7" t="s">
        <v>27</v>
      </c>
      <c r="H1" s="7" t="s">
        <v>47</v>
      </c>
      <c r="I1" s="7" t="s">
        <v>42</v>
      </c>
      <c r="J1" s="7" t="s">
        <v>43</v>
      </c>
      <c r="K1" s="7" t="s">
        <v>30</v>
      </c>
      <c r="L1" s="7" t="s">
        <v>31</v>
      </c>
      <c r="M1" s="7" t="s">
        <v>7</v>
      </c>
      <c r="N1" s="7" t="s">
        <v>44</v>
      </c>
      <c r="O1" s="7" t="s">
        <v>46</v>
      </c>
      <c r="P1" s="7" t="s">
        <v>52</v>
      </c>
      <c r="Q1" s="7" t="s">
        <v>51</v>
      </c>
      <c r="R1" s="7" t="s">
        <v>45</v>
      </c>
      <c r="S1" s="7" t="s">
        <v>32</v>
      </c>
      <c r="T1" s="7" t="s">
        <v>48</v>
      </c>
      <c r="U1" s="7" t="s">
        <v>41</v>
      </c>
      <c r="V1" s="7" t="s">
        <v>129</v>
      </c>
      <c r="W1" s="7" t="s">
        <v>11</v>
      </c>
      <c r="X1" s="7" t="s">
        <v>49</v>
      </c>
      <c r="Y1" s="7" t="s">
        <v>50</v>
      </c>
      <c r="Z1" s="7" t="s">
        <v>3</v>
      </c>
    </row>
    <row r="2" spans="1:26" ht="12.75" customHeight="1">
      <c r="A2" s="30" t="s">
        <v>869</v>
      </c>
      <c r="B2" s="31"/>
      <c r="C2" s="31"/>
      <c r="D2" s="32"/>
      <c r="E2" s="32"/>
      <c r="F2" s="31"/>
      <c r="G2" s="32"/>
      <c r="H2" s="32"/>
      <c r="I2" s="32"/>
      <c r="J2" s="32"/>
      <c r="K2" s="31"/>
      <c r="L2" s="32"/>
      <c r="M2" s="32"/>
      <c r="N2" s="32"/>
      <c r="O2" s="32"/>
      <c r="P2" s="32"/>
      <c r="Q2" s="32"/>
      <c r="R2" s="32"/>
      <c r="S2" s="32"/>
      <c r="T2" s="32"/>
      <c r="U2" s="32"/>
      <c r="V2" s="32"/>
      <c r="W2" s="32"/>
      <c r="X2" s="32"/>
      <c r="Y2" s="32"/>
      <c r="Z2" s="32"/>
    </row>
    <row r="3" spans="1:26" outlineLevel="1">
      <c r="A3" s="53" t="str">
        <f>IF(OR(Global!B25="N"),"N","bln694769")</f>
        <v>N</v>
      </c>
      <c r="B3" s="198">
        <f>COUNTA($B$1:B2)</f>
        <v>1</v>
      </c>
      <c r="C3" s="35" t="s">
        <v>132</v>
      </c>
      <c r="D3" s="35"/>
      <c r="E3" s="35"/>
      <c r="F3" s="34"/>
      <c r="G3" s="35" t="s">
        <v>870</v>
      </c>
      <c r="H3" s="35"/>
      <c r="I3" s="35"/>
      <c r="J3" s="35"/>
      <c r="K3" s="69"/>
      <c r="L3" s="35" t="s">
        <v>67</v>
      </c>
      <c r="M3" s="36">
        <v>1</v>
      </c>
      <c r="N3" s="35"/>
      <c r="O3" s="35" t="s">
        <v>2</v>
      </c>
      <c r="P3" s="35"/>
      <c r="Q3" s="35"/>
      <c r="R3" s="35" t="s">
        <v>57</v>
      </c>
      <c r="S3" s="35"/>
      <c r="T3" s="35"/>
      <c r="U3" s="35"/>
      <c r="V3" s="35"/>
      <c r="W3" s="35"/>
      <c r="X3" s="35"/>
      <c r="Y3" s="35"/>
      <c r="Z3" s="35"/>
    </row>
    <row r="4" spans="1:26" outlineLevel="1">
      <c r="A4" s="53" t="str">
        <f>IF(OR(Global!B25="N"),"N","bln694769")</f>
        <v>N</v>
      </c>
      <c r="B4" s="198">
        <f>COUNTA($B$1:B3)</f>
        <v>2</v>
      </c>
      <c r="C4" s="35" t="s">
        <v>947</v>
      </c>
      <c r="D4" s="35"/>
      <c r="E4" s="35"/>
      <c r="F4" s="34"/>
      <c r="G4" s="35" t="s">
        <v>870</v>
      </c>
      <c r="H4" s="35" t="s">
        <v>134</v>
      </c>
      <c r="I4" s="35"/>
      <c r="J4" s="35"/>
      <c r="K4" s="69"/>
      <c r="L4" s="35" t="s">
        <v>33</v>
      </c>
      <c r="M4" s="36" t="str">
        <f>"URL:="&amp;R3&amp;";;HEADLESS:=TRUE"</f>
        <v>URL:=DT_URL;;HEADLESS:=TRUE</v>
      </c>
      <c r="N4" s="35"/>
      <c r="O4" s="35"/>
      <c r="P4" s="35"/>
      <c r="Q4" s="35">
        <v>60</v>
      </c>
      <c r="R4" s="35"/>
      <c r="S4" s="35"/>
      <c r="T4" s="35"/>
      <c r="U4" s="35"/>
      <c r="V4" s="35"/>
      <c r="W4" s="35"/>
      <c r="X4" s="35"/>
      <c r="Y4" s="35"/>
      <c r="Z4" s="35"/>
    </row>
    <row r="5" spans="1:26" s="201" customFormat="1">
      <c r="A5" s="197" t="str">
        <f>IF(OR(Global!B25="Y"),"N","bln694769")</f>
        <v>bln694769</v>
      </c>
      <c r="B5" s="198">
        <f>COUNTA($B$1:B4)</f>
        <v>3</v>
      </c>
      <c r="C5" s="199" t="s">
        <v>132</v>
      </c>
      <c r="D5" s="199"/>
      <c r="E5" s="199"/>
      <c r="F5" s="198"/>
      <c r="G5" s="199" t="s">
        <v>870</v>
      </c>
      <c r="H5" s="199" t="s">
        <v>134</v>
      </c>
      <c r="I5" s="199"/>
      <c r="J5" s="199"/>
      <c r="K5" s="198"/>
      <c r="L5" s="199" t="s">
        <v>33</v>
      </c>
      <c r="M5" s="200" t="s">
        <v>57</v>
      </c>
      <c r="N5" s="199"/>
      <c r="O5" s="199"/>
      <c r="P5" s="199"/>
      <c r="Q5" s="199">
        <v>60</v>
      </c>
      <c r="R5" s="199"/>
      <c r="S5" s="199"/>
      <c r="T5" s="199"/>
      <c r="U5" s="199"/>
      <c r="V5" s="199"/>
      <c r="W5" s="199"/>
      <c r="X5" s="199"/>
      <c r="Y5" s="199"/>
      <c r="Z5" s="199"/>
    </row>
    <row r="6" spans="1:26" s="201" customFormat="1">
      <c r="A6" s="202" t="s">
        <v>21</v>
      </c>
      <c r="B6" s="198">
        <f>COUNTA($B$1:B5)</f>
        <v>4</v>
      </c>
      <c r="C6" s="202" t="s">
        <v>67</v>
      </c>
      <c r="D6" s="202"/>
      <c r="E6" s="202"/>
      <c r="F6" s="202"/>
      <c r="G6" s="199" t="s">
        <v>870</v>
      </c>
      <c r="H6" s="202"/>
      <c r="I6" s="202"/>
      <c r="J6" s="202"/>
      <c r="K6" s="203"/>
      <c r="L6" s="202" t="s">
        <v>67</v>
      </c>
      <c r="M6" s="202">
        <v>5</v>
      </c>
      <c r="N6" s="202"/>
      <c r="O6" s="202"/>
      <c r="P6" s="202"/>
      <c r="Q6" s="202"/>
      <c r="R6" s="204"/>
      <c r="S6" s="202"/>
      <c r="T6" s="202"/>
      <c r="U6" s="202"/>
      <c r="V6" s="202"/>
      <c r="W6" s="202"/>
      <c r="X6" s="202"/>
      <c r="Y6" s="202"/>
      <c r="Z6" s="199"/>
    </row>
    <row r="7" spans="1:26" s="201" customFormat="1">
      <c r="A7" s="202" t="s">
        <v>21</v>
      </c>
      <c r="B7" s="198">
        <f>COUNTA($B$1:B6)</f>
        <v>5</v>
      </c>
      <c r="C7" s="202" t="s">
        <v>68</v>
      </c>
      <c r="D7" s="202"/>
      <c r="E7" s="202"/>
      <c r="F7" s="202"/>
      <c r="G7" s="199" t="s">
        <v>870</v>
      </c>
      <c r="H7" s="202"/>
      <c r="I7" s="202" t="s">
        <v>55</v>
      </c>
      <c r="J7" s="202" t="s">
        <v>71</v>
      </c>
      <c r="K7" s="203">
        <v>0</v>
      </c>
      <c r="L7" s="202" t="s">
        <v>0</v>
      </c>
      <c r="M7" s="202" t="s">
        <v>74</v>
      </c>
      <c r="N7" s="202"/>
      <c r="O7" s="202" t="s">
        <v>2</v>
      </c>
      <c r="P7" s="202"/>
      <c r="Q7" s="205">
        <v>5</v>
      </c>
      <c r="R7" s="204"/>
      <c r="S7" s="202"/>
      <c r="T7" s="202"/>
      <c r="U7" s="202"/>
      <c r="V7" s="202"/>
      <c r="W7" s="202"/>
      <c r="X7" s="202"/>
      <c r="Y7" s="202"/>
      <c r="Z7" s="199"/>
    </row>
    <row r="8" spans="1:26" s="201" customFormat="1">
      <c r="A8" s="202" t="s">
        <v>21</v>
      </c>
      <c r="B8" s="198">
        <f>COUNTA($B$1:B7)</f>
        <v>6</v>
      </c>
      <c r="C8" s="202" t="s">
        <v>69</v>
      </c>
      <c r="D8" s="202"/>
      <c r="E8" s="202"/>
      <c r="F8" s="202"/>
      <c r="G8" s="199" t="s">
        <v>870</v>
      </c>
      <c r="H8" s="202"/>
      <c r="I8" s="202" t="s">
        <v>55</v>
      </c>
      <c r="J8" s="202" t="s">
        <v>72</v>
      </c>
      <c r="K8" s="203">
        <v>0</v>
      </c>
      <c r="L8" s="202" t="s">
        <v>0</v>
      </c>
      <c r="M8" s="202" t="s">
        <v>75</v>
      </c>
      <c r="N8" s="202"/>
      <c r="O8" s="202" t="s">
        <v>2</v>
      </c>
      <c r="P8" s="202"/>
      <c r="Q8" s="202"/>
      <c r="R8" s="204"/>
      <c r="S8" s="202"/>
      <c r="T8" s="202"/>
      <c r="U8" s="202"/>
      <c r="V8" s="202"/>
      <c r="W8" s="202"/>
      <c r="X8" s="202"/>
      <c r="Y8" s="202"/>
      <c r="Z8" s="199"/>
    </row>
    <row r="9" spans="1:26" s="201" customFormat="1">
      <c r="A9" s="202" t="s">
        <v>21</v>
      </c>
      <c r="B9" s="198">
        <f>COUNTA($B$1:B8)</f>
        <v>7</v>
      </c>
      <c r="C9" s="202" t="s">
        <v>70</v>
      </c>
      <c r="D9" s="202"/>
      <c r="E9" s="202"/>
      <c r="F9" s="202"/>
      <c r="G9" s="199" t="s">
        <v>870</v>
      </c>
      <c r="H9" s="202"/>
      <c r="I9" s="202" t="s">
        <v>55</v>
      </c>
      <c r="J9" s="202" t="s">
        <v>73</v>
      </c>
      <c r="K9" s="203">
        <v>0</v>
      </c>
      <c r="L9" s="202" t="s">
        <v>34</v>
      </c>
      <c r="M9" s="202"/>
      <c r="N9" s="202"/>
      <c r="O9" s="202" t="s">
        <v>2</v>
      </c>
      <c r="P9" s="202"/>
      <c r="Q9" s="202"/>
      <c r="R9" s="204"/>
      <c r="S9" s="202"/>
      <c r="T9" s="202"/>
      <c r="U9" s="202"/>
      <c r="V9" s="202"/>
      <c r="W9" s="202"/>
      <c r="X9" s="202"/>
      <c r="Y9" s="202"/>
      <c r="Z9" s="199"/>
    </row>
    <row r="10" spans="1:26" s="201" customFormat="1">
      <c r="A10" s="202" t="s">
        <v>21</v>
      </c>
      <c r="B10" s="198">
        <f>COUNTA($B$1:B9)</f>
        <v>8</v>
      </c>
      <c r="C10" s="202" t="s">
        <v>67</v>
      </c>
      <c r="D10" s="202"/>
      <c r="E10" s="202"/>
      <c r="F10" s="202"/>
      <c r="G10" s="199" t="s">
        <v>870</v>
      </c>
      <c r="H10" s="202"/>
      <c r="I10" s="202"/>
      <c r="J10" s="202"/>
      <c r="K10" s="203"/>
      <c r="L10" s="202" t="s">
        <v>67</v>
      </c>
      <c r="M10" s="202">
        <v>5</v>
      </c>
      <c r="N10" s="202"/>
      <c r="O10" s="202"/>
      <c r="P10" s="202"/>
      <c r="Q10" s="202"/>
      <c r="R10" s="204"/>
      <c r="S10" s="202"/>
      <c r="T10" s="202"/>
      <c r="U10" s="202"/>
      <c r="V10" s="202"/>
      <c r="W10" s="202"/>
      <c r="X10" s="202"/>
      <c r="Y10" s="202"/>
      <c r="Z10" s="199"/>
    </row>
    <row r="11" spans="1:26">
      <c r="A11" s="30" t="s">
        <v>932</v>
      </c>
      <c r="B11" s="31"/>
      <c r="C11" s="31"/>
      <c r="D11" s="32"/>
      <c r="E11" s="32"/>
      <c r="F11" s="31"/>
      <c r="G11" s="32"/>
      <c r="H11" s="32"/>
      <c r="I11" s="32"/>
      <c r="J11" s="32"/>
      <c r="K11" s="31"/>
      <c r="L11" s="32"/>
      <c r="M11" s="32"/>
      <c r="N11" s="32"/>
      <c r="O11" s="32"/>
      <c r="P11" s="32"/>
      <c r="Q11" s="32"/>
      <c r="R11" s="32"/>
      <c r="S11" s="32"/>
      <c r="T11" s="32"/>
      <c r="U11" s="32"/>
      <c r="V11" s="32"/>
      <c r="W11" s="32"/>
      <c r="X11" s="32"/>
      <c r="Y11" s="32"/>
      <c r="Z11" s="32"/>
    </row>
    <row r="12" spans="1:26" s="19" customFormat="1" outlineLevel="1">
      <c r="A12" s="33" t="s">
        <v>872</v>
      </c>
      <c r="B12" s="34">
        <f>COUNTA($B$1:B11)</f>
        <v>9</v>
      </c>
      <c r="C12" s="41" t="s">
        <v>136</v>
      </c>
      <c r="D12" s="41"/>
      <c r="E12" s="41"/>
      <c r="F12" s="42"/>
      <c r="G12" s="35" t="s">
        <v>870</v>
      </c>
      <c r="H12" s="41"/>
      <c r="I12" s="41"/>
      <c r="J12" s="41"/>
      <c r="K12" s="42"/>
      <c r="L12" s="43" t="s">
        <v>137</v>
      </c>
      <c r="M12" s="44" t="s">
        <v>138</v>
      </c>
      <c r="N12" s="41"/>
      <c r="O12" s="41"/>
      <c r="P12" s="41"/>
      <c r="Q12" s="42"/>
      <c r="R12" s="41"/>
      <c r="S12" s="41"/>
      <c r="T12" s="41"/>
      <c r="U12" s="41"/>
      <c r="V12" s="41"/>
      <c r="W12" s="41"/>
      <c r="X12" s="41"/>
      <c r="Y12" s="41"/>
      <c r="Z12" s="41"/>
    </row>
    <row r="13" spans="1:26" s="19" customFormat="1" outlineLevel="1">
      <c r="A13" s="45" t="s">
        <v>872</v>
      </c>
      <c r="B13" s="47">
        <f>COUNTA($B$1:B12)</f>
        <v>10</v>
      </c>
      <c r="C13" s="46" t="s">
        <v>140</v>
      </c>
      <c r="D13" s="46"/>
      <c r="E13" s="46"/>
      <c r="F13" s="47"/>
      <c r="G13" s="46" t="s">
        <v>870</v>
      </c>
      <c r="H13" s="46"/>
      <c r="I13" s="46" t="s">
        <v>55</v>
      </c>
      <c r="J13" s="46" t="s">
        <v>141</v>
      </c>
      <c r="K13" s="47"/>
      <c r="L13" s="46" t="s">
        <v>142</v>
      </c>
      <c r="M13" s="48"/>
      <c r="N13" s="46"/>
      <c r="O13" s="46" t="s">
        <v>2</v>
      </c>
      <c r="P13" s="46"/>
      <c r="Q13" s="46"/>
      <c r="R13" s="49"/>
      <c r="S13" s="46"/>
      <c r="T13" s="46"/>
      <c r="U13" s="46"/>
      <c r="V13" s="46"/>
      <c r="W13" s="46"/>
      <c r="X13" s="46"/>
      <c r="Y13" s="46"/>
      <c r="Z13" s="46"/>
    </row>
    <row r="14" spans="1:26" s="19" customFormat="1" outlineLevel="1">
      <c r="A14" s="45" t="s">
        <v>872</v>
      </c>
      <c r="B14" s="47">
        <f>COUNTA($B$1:B13)</f>
        <v>11</v>
      </c>
      <c r="C14" s="46" t="s">
        <v>143</v>
      </c>
      <c r="D14" s="46"/>
      <c r="E14" s="46"/>
      <c r="F14" s="47"/>
      <c r="G14" s="46" t="s">
        <v>870</v>
      </c>
      <c r="H14" s="46"/>
      <c r="I14" s="46" t="s">
        <v>55</v>
      </c>
      <c r="J14" s="46" t="s">
        <v>141</v>
      </c>
      <c r="K14" s="47"/>
      <c r="L14" s="46" t="s">
        <v>98</v>
      </c>
      <c r="M14" s="48"/>
      <c r="N14" s="46" t="s">
        <v>99</v>
      </c>
      <c r="O14" s="46" t="s">
        <v>2</v>
      </c>
      <c r="P14" s="46"/>
      <c r="Q14" s="46"/>
      <c r="R14" s="49" t="s">
        <v>144</v>
      </c>
      <c r="S14" s="46"/>
      <c r="T14" s="46"/>
      <c r="U14" s="46"/>
      <c r="V14" s="46"/>
      <c r="W14" s="46"/>
      <c r="X14" s="46"/>
      <c r="Y14" s="46"/>
      <c r="Z14" s="46"/>
    </row>
    <row r="15" spans="1:26" s="19" customFormat="1" outlineLevel="1">
      <c r="A15" s="45" t="s">
        <v>872</v>
      </c>
      <c r="B15" s="47">
        <f>COUNTA($B$1:B14)</f>
        <v>12</v>
      </c>
      <c r="C15" s="46" t="s">
        <v>145</v>
      </c>
      <c r="D15" s="46"/>
      <c r="E15" s="46"/>
      <c r="F15" s="47"/>
      <c r="G15" s="46" t="s">
        <v>870</v>
      </c>
      <c r="H15" s="46"/>
      <c r="I15" s="46" t="s">
        <v>55</v>
      </c>
      <c r="J15" s="46" t="s">
        <v>146</v>
      </c>
      <c r="K15" s="47"/>
      <c r="L15" s="46" t="s">
        <v>147</v>
      </c>
      <c r="M15" s="48"/>
      <c r="N15" s="46"/>
      <c r="O15" s="46" t="s">
        <v>2</v>
      </c>
      <c r="P15" s="46"/>
      <c r="Q15" s="46"/>
      <c r="R15" s="48"/>
      <c r="S15" s="46"/>
      <c r="T15" s="46"/>
      <c r="U15" s="46"/>
      <c r="V15" s="46"/>
      <c r="W15" s="46"/>
      <c r="X15" s="46"/>
      <c r="Y15" s="46"/>
      <c r="Z15" s="46"/>
    </row>
    <row r="16" spans="1:26" s="19" customFormat="1" outlineLevel="1">
      <c r="A16" s="33" t="s">
        <v>872</v>
      </c>
      <c r="B16" s="34">
        <f>COUNTA($B$1:B15)</f>
        <v>13</v>
      </c>
      <c r="C16" s="35" t="s">
        <v>148</v>
      </c>
      <c r="D16" s="35"/>
      <c r="E16" s="35"/>
      <c r="F16" s="34"/>
      <c r="G16" s="35" t="s">
        <v>870</v>
      </c>
      <c r="H16" s="35"/>
      <c r="I16" s="35" t="s">
        <v>55</v>
      </c>
      <c r="J16" s="35" t="s">
        <v>149</v>
      </c>
      <c r="K16" s="34">
        <v>0</v>
      </c>
      <c r="L16" s="35" t="s">
        <v>34</v>
      </c>
      <c r="M16" s="35"/>
      <c r="N16" s="35"/>
      <c r="O16" s="35"/>
      <c r="P16" s="35"/>
      <c r="Q16" s="35"/>
      <c r="R16" s="35"/>
      <c r="S16" s="35"/>
      <c r="T16" s="35"/>
      <c r="U16" s="35"/>
      <c r="V16" s="35"/>
      <c r="W16" s="35"/>
      <c r="X16" s="35"/>
      <c r="Y16" s="35"/>
      <c r="Z16" s="35"/>
    </row>
    <row r="17" spans="1:26" s="19" customFormat="1" outlineLevel="1">
      <c r="A17" s="33" t="s">
        <v>872</v>
      </c>
      <c r="B17" s="34">
        <f>COUNTA($B$1:B16)</f>
        <v>14</v>
      </c>
      <c r="C17" s="35" t="s">
        <v>67</v>
      </c>
      <c r="D17" s="35"/>
      <c r="E17" s="35"/>
      <c r="F17" s="34"/>
      <c r="G17" s="35" t="s">
        <v>870</v>
      </c>
      <c r="H17" s="35"/>
      <c r="I17" s="35"/>
      <c r="J17" s="35"/>
      <c r="K17" s="34"/>
      <c r="L17" s="35" t="s">
        <v>67</v>
      </c>
      <c r="M17" s="36">
        <v>2</v>
      </c>
      <c r="N17" s="35"/>
      <c r="O17" s="35"/>
      <c r="P17" s="35"/>
      <c r="Q17" s="35"/>
      <c r="R17" s="35"/>
      <c r="S17" s="35"/>
      <c r="T17" s="35"/>
      <c r="U17" s="35"/>
      <c r="V17" s="35"/>
      <c r="W17" s="35"/>
      <c r="X17" s="35"/>
      <c r="Y17" s="35"/>
      <c r="Z17" s="35"/>
    </row>
    <row r="18" spans="1:26" s="19" customFormat="1" outlineLevel="1">
      <c r="A18" s="33" t="s">
        <v>872</v>
      </c>
      <c r="B18" s="34">
        <f>COUNTA($B$1:B17)</f>
        <v>15</v>
      </c>
      <c r="C18" s="35" t="s">
        <v>150</v>
      </c>
      <c r="D18" s="35"/>
      <c r="E18" s="35"/>
      <c r="F18" s="34"/>
      <c r="G18" s="35" t="s">
        <v>870</v>
      </c>
      <c r="H18" s="35"/>
      <c r="I18" s="35" t="s">
        <v>55</v>
      </c>
      <c r="J18" s="35" t="s">
        <v>149</v>
      </c>
      <c r="K18" s="34">
        <v>0</v>
      </c>
      <c r="L18" s="35" t="s">
        <v>151</v>
      </c>
      <c r="M18" s="50" t="s">
        <v>152</v>
      </c>
      <c r="N18" s="35"/>
      <c r="O18" s="35"/>
      <c r="P18" s="35"/>
      <c r="Q18" s="35"/>
      <c r="R18" s="35"/>
      <c r="S18" s="35"/>
      <c r="T18" s="35"/>
      <c r="U18" s="35"/>
      <c r="V18" s="35"/>
      <c r="W18" s="35"/>
      <c r="X18" s="35"/>
      <c r="Y18" s="35"/>
      <c r="Z18" s="35"/>
    </row>
    <row r="19" spans="1:26" s="19" customFormat="1" outlineLevel="1">
      <c r="A19" s="33" t="s">
        <v>872</v>
      </c>
      <c r="B19" s="34">
        <f>COUNTA($B$1:B18)</f>
        <v>16</v>
      </c>
      <c r="C19" s="35" t="s">
        <v>67</v>
      </c>
      <c r="D19" s="35"/>
      <c r="E19" s="35"/>
      <c r="F19" s="34"/>
      <c r="G19" s="35" t="s">
        <v>870</v>
      </c>
      <c r="H19" s="35"/>
      <c r="I19" s="35"/>
      <c r="J19" s="35"/>
      <c r="K19" s="34"/>
      <c r="L19" s="35" t="s">
        <v>67</v>
      </c>
      <c r="M19" s="36">
        <v>2</v>
      </c>
      <c r="N19" s="35"/>
      <c r="O19" s="35"/>
      <c r="P19" s="35"/>
      <c r="Q19" s="35"/>
      <c r="R19" s="35"/>
      <c r="S19" s="35"/>
      <c r="T19" s="35"/>
      <c r="U19" s="35"/>
      <c r="V19" s="35"/>
      <c r="W19" s="35"/>
      <c r="X19" s="35"/>
      <c r="Y19" s="35"/>
      <c r="Z19" s="35"/>
    </row>
    <row r="20" spans="1:26" s="19" customFormat="1" outlineLevel="1">
      <c r="A20" s="33" t="s">
        <v>872</v>
      </c>
      <c r="B20" s="34">
        <f>COUNTA($B$1:B19)</f>
        <v>17</v>
      </c>
      <c r="C20" s="35" t="s">
        <v>148</v>
      </c>
      <c r="D20" s="35"/>
      <c r="E20" s="35"/>
      <c r="F20" s="42"/>
      <c r="G20" s="35" t="s">
        <v>870</v>
      </c>
      <c r="H20" s="35"/>
      <c r="I20" s="35" t="s">
        <v>55</v>
      </c>
      <c r="J20" s="35" t="str">
        <f>"//a[contains(.,'"&amp;M18&amp;"')]"</f>
        <v>//a[contains(.,'Destination')]</v>
      </c>
      <c r="K20" s="34">
        <v>0</v>
      </c>
      <c r="L20" s="35" t="s">
        <v>147</v>
      </c>
      <c r="M20" s="35"/>
      <c r="N20" s="35"/>
      <c r="O20" s="35"/>
      <c r="P20" s="35"/>
      <c r="Q20" s="35"/>
      <c r="R20" s="35"/>
      <c r="S20" s="35"/>
      <c r="T20" s="35"/>
      <c r="U20" s="35"/>
      <c r="V20" s="35"/>
      <c r="W20" s="35"/>
      <c r="X20" s="35"/>
      <c r="Y20" s="35"/>
      <c r="Z20" s="35"/>
    </row>
    <row r="21" spans="1:26" s="19" customFormat="1" outlineLevel="1">
      <c r="A21" s="33" t="s">
        <v>872</v>
      </c>
      <c r="B21" s="34">
        <f>COUNTA($B$1:B20)</f>
        <v>18</v>
      </c>
      <c r="C21" s="35" t="s">
        <v>153</v>
      </c>
      <c r="D21" s="51"/>
      <c r="E21" s="52" t="s">
        <v>154</v>
      </c>
      <c r="F21" s="38"/>
      <c r="G21" s="35" t="s">
        <v>870</v>
      </c>
      <c r="H21" s="35"/>
      <c r="I21" s="35" t="s">
        <v>55</v>
      </c>
      <c r="J21" s="35" t="s">
        <v>81</v>
      </c>
      <c r="K21" s="34">
        <v>0</v>
      </c>
      <c r="L21" s="35" t="s">
        <v>0</v>
      </c>
      <c r="M21" s="50" t="s">
        <v>155</v>
      </c>
      <c r="N21" s="35"/>
      <c r="O21" s="35"/>
      <c r="P21" s="35"/>
      <c r="Q21" s="35"/>
      <c r="R21" s="35"/>
      <c r="S21" s="52"/>
      <c r="T21" s="35"/>
      <c r="U21" s="35"/>
      <c r="V21" s="35"/>
      <c r="W21" s="35"/>
      <c r="X21" s="52"/>
      <c r="Y21" s="52"/>
      <c r="Z21" s="52"/>
    </row>
    <row r="22" spans="1:26" s="19" customFormat="1" outlineLevel="1">
      <c r="A22" s="33" t="s">
        <v>872</v>
      </c>
      <c r="B22" s="34">
        <f>COUNTA($B$1:B21)</f>
        <v>19</v>
      </c>
      <c r="C22" s="35" t="s">
        <v>156</v>
      </c>
      <c r="D22" s="51"/>
      <c r="E22" s="52" t="s">
        <v>154</v>
      </c>
      <c r="F22" s="38"/>
      <c r="G22" s="35" t="s">
        <v>870</v>
      </c>
      <c r="H22" s="35"/>
      <c r="I22" s="35" t="s">
        <v>55</v>
      </c>
      <c r="J22" s="35" t="s">
        <v>82</v>
      </c>
      <c r="K22" s="34">
        <v>0</v>
      </c>
      <c r="L22" s="35" t="s">
        <v>0</v>
      </c>
      <c r="M22" s="50" t="s">
        <v>157</v>
      </c>
      <c r="N22" s="35"/>
      <c r="O22" s="35"/>
      <c r="P22" s="35"/>
      <c r="Q22" s="35"/>
      <c r="R22" s="35"/>
      <c r="S22" s="52"/>
      <c r="T22" s="35"/>
      <c r="U22" s="35"/>
      <c r="V22" s="35"/>
      <c r="W22" s="35"/>
      <c r="X22" s="52"/>
      <c r="Y22" s="52"/>
      <c r="Z22" s="52"/>
    </row>
    <row r="23" spans="1:26" s="19" customFormat="1" outlineLevel="1">
      <c r="A23" s="33" t="s">
        <v>872</v>
      </c>
      <c r="B23" s="34">
        <f>COUNTA($B$1:B22)</f>
        <v>20</v>
      </c>
      <c r="C23" s="35" t="s">
        <v>158</v>
      </c>
      <c r="D23" s="51"/>
      <c r="E23" s="52" t="s">
        <v>154</v>
      </c>
      <c r="F23" s="38"/>
      <c r="G23" s="35" t="s">
        <v>870</v>
      </c>
      <c r="H23" s="35"/>
      <c r="I23" s="35" t="s">
        <v>55</v>
      </c>
      <c r="J23" s="35" t="s">
        <v>159</v>
      </c>
      <c r="K23" s="34">
        <v>0</v>
      </c>
      <c r="L23" s="35" t="s">
        <v>0</v>
      </c>
      <c r="M23" s="50" t="s">
        <v>160</v>
      </c>
      <c r="N23" s="35"/>
      <c r="O23" s="35"/>
      <c r="P23" s="35"/>
      <c r="Q23" s="35"/>
      <c r="R23" s="35"/>
      <c r="S23" s="52"/>
      <c r="T23" s="35"/>
      <c r="U23" s="35"/>
      <c r="V23" s="35"/>
      <c r="W23" s="35"/>
      <c r="X23" s="52"/>
      <c r="Y23" s="52"/>
      <c r="Z23" s="52"/>
    </row>
    <row r="24" spans="1:26" s="19" customFormat="1" outlineLevel="1">
      <c r="A24" s="33" t="s">
        <v>872</v>
      </c>
      <c r="B24" s="34">
        <f>COUNTA($B$1:B23)</f>
        <v>21</v>
      </c>
      <c r="C24" s="35" t="s">
        <v>161</v>
      </c>
      <c r="D24" s="35"/>
      <c r="E24" s="35"/>
      <c r="F24" s="34"/>
      <c r="G24" s="35" t="s">
        <v>870</v>
      </c>
      <c r="H24" s="35"/>
      <c r="I24" s="35" t="s">
        <v>55</v>
      </c>
      <c r="J24" s="35" t="s">
        <v>162</v>
      </c>
      <c r="K24" s="34">
        <v>0</v>
      </c>
      <c r="L24" s="35" t="s">
        <v>34</v>
      </c>
      <c r="M24" s="35"/>
      <c r="N24" s="35"/>
      <c r="O24" s="35"/>
      <c r="P24" s="35"/>
      <c r="Q24" s="35"/>
      <c r="R24" s="35"/>
      <c r="S24" s="35"/>
      <c r="T24" s="35"/>
      <c r="U24" s="35"/>
      <c r="V24" s="35"/>
      <c r="W24" s="35"/>
      <c r="X24" s="35"/>
      <c r="Y24" s="35"/>
      <c r="Z24" s="35"/>
    </row>
    <row r="25" spans="1:26" s="19" customFormat="1" outlineLevel="1">
      <c r="A25" s="33" t="s">
        <v>872</v>
      </c>
      <c r="B25" s="34">
        <f>COUNTA($B$1:B24)</f>
        <v>22</v>
      </c>
      <c r="C25" s="35" t="s">
        <v>67</v>
      </c>
      <c r="D25" s="35"/>
      <c r="E25" s="35"/>
      <c r="F25" s="34"/>
      <c r="G25" s="35" t="s">
        <v>870</v>
      </c>
      <c r="H25" s="35"/>
      <c r="I25" s="35"/>
      <c r="J25" s="35"/>
      <c r="K25" s="34"/>
      <c r="L25" s="35" t="s">
        <v>67</v>
      </c>
      <c r="M25" s="36">
        <v>2</v>
      </c>
      <c r="N25" s="35"/>
      <c r="O25" s="35"/>
      <c r="P25" s="35"/>
      <c r="Q25" s="35"/>
      <c r="R25" s="35"/>
      <c r="S25" s="35"/>
      <c r="T25" s="35"/>
      <c r="U25" s="35"/>
      <c r="V25" s="35"/>
      <c r="W25" s="35"/>
      <c r="X25" s="35"/>
      <c r="Y25" s="35"/>
      <c r="Z25" s="35"/>
    </row>
    <row r="26" spans="1:26" s="19" customFormat="1" outlineLevel="1">
      <c r="A26" s="33" t="s">
        <v>872</v>
      </c>
      <c r="B26" s="34">
        <f>COUNTA($B$1:B25)</f>
        <v>23</v>
      </c>
      <c r="C26" s="35" t="s">
        <v>163</v>
      </c>
      <c r="D26" s="35"/>
      <c r="E26" s="35"/>
      <c r="F26" s="34"/>
      <c r="G26" s="35" t="s">
        <v>870</v>
      </c>
      <c r="H26" s="35"/>
      <c r="I26" s="35" t="s">
        <v>55</v>
      </c>
      <c r="J26" s="35" t="s">
        <v>162</v>
      </c>
      <c r="K26" s="34">
        <v>0</v>
      </c>
      <c r="L26" s="35" t="s">
        <v>151</v>
      </c>
      <c r="M26" s="50" t="s">
        <v>164</v>
      </c>
      <c r="N26" s="35"/>
      <c r="O26" s="35"/>
      <c r="P26" s="35"/>
      <c r="Q26" s="35"/>
      <c r="R26" s="35"/>
      <c r="S26" s="35"/>
      <c r="T26" s="35"/>
      <c r="U26" s="35"/>
      <c r="V26" s="35"/>
      <c r="W26" s="35"/>
      <c r="X26" s="35"/>
      <c r="Y26" s="35"/>
      <c r="Z26" s="35"/>
    </row>
    <row r="27" spans="1:26" s="19" customFormat="1" outlineLevel="1">
      <c r="A27" s="33" t="s">
        <v>872</v>
      </c>
      <c r="B27" s="34">
        <f>COUNTA($B$1:B26)</f>
        <v>24</v>
      </c>
      <c r="C27" s="35" t="s">
        <v>67</v>
      </c>
      <c r="D27" s="35"/>
      <c r="E27" s="35"/>
      <c r="F27" s="34"/>
      <c r="G27" s="35" t="s">
        <v>870</v>
      </c>
      <c r="H27" s="35"/>
      <c r="I27" s="35"/>
      <c r="J27" s="35"/>
      <c r="K27" s="34"/>
      <c r="L27" s="35" t="s">
        <v>67</v>
      </c>
      <c r="M27" s="36">
        <v>2</v>
      </c>
      <c r="N27" s="35"/>
      <c r="O27" s="35"/>
      <c r="P27" s="35"/>
      <c r="Q27" s="35"/>
      <c r="R27" s="35"/>
      <c r="S27" s="35"/>
      <c r="T27" s="35"/>
      <c r="U27" s="35"/>
      <c r="V27" s="35"/>
      <c r="W27" s="35"/>
      <c r="X27" s="35"/>
      <c r="Y27" s="35"/>
      <c r="Z27" s="35"/>
    </row>
    <row r="28" spans="1:26" s="19" customFormat="1" outlineLevel="1">
      <c r="A28" s="33" t="s">
        <v>872</v>
      </c>
      <c r="B28" s="34">
        <f>COUNTA($B$1:B27)</f>
        <v>25</v>
      </c>
      <c r="C28" s="35" t="s">
        <v>973</v>
      </c>
      <c r="D28" s="35"/>
      <c r="E28" s="35"/>
      <c r="F28" s="42"/>
      <c r="G28" s="35" t="s">
        <v>870</v>
      </c>
      <c r="H28" s="35"/>
      <c r="I28" s="35" t="s">
        <v>55</v>
      </c>
      <c r="J28" s="35" t="str">
        <f>"//a[contains(.,'"&amp;M26&amp;"')]"</f>
        <v>//a[contains(.,'Residence')]</v>
      </c>
      <c r="K28" s="34">
        <v>0</v>
      </c>
      <c r="L28" s="35" t="s">
        <v>147</v>
      </c>
      <c r="M28" s="35"/>
      <c r="N28" s="35"/>
      <c r="O28" s="35"/>
      <c r="P28" s="35"/>
      <c r="Q28" s="35"/>
      <c r="R28" s="35"/>
      <c r="S28" s="35"/>
      <c r="T28" s="35"/>
      <c r="U28" s="35"/>
      <c r="V28" s="35"/>
      <c r="W28" s="35"/>
      <c r="X28" s="35"/>
      <c r="Y28" s="35"/>
      <c r="Z28" s="35"/>
    </row>
    <row r="29" spans="1:26" s="19" customFormat="1" outlineLevel="1">
      <c r="A29" s="33" t="s">
        <v>872</v>
      </c>
      <c r="B29" s="34">
        <f>COUNTA($B$1:B28)</f>
        <v>26</v>
      </c>
      <c r="C29" s="35" t="s">
        <v>165</v>
      </c>
      <c r="D29" s="51"/>
      <c r="E29" s="52" t="s">
        <v>154</v>
      </c>
      <c r="F29" s="38"/>
      <c r="G29" s="35" t="s">
        <v>870</v>
      </c>
      <c r="H29" s="35"/>
      <c r="I29" s="35" t="s">
        <v>55</v>
      </c>
      <c r="J29" s="35" t="s">
        <v>166</v>
      </c>
      <c r="K29" s="34">
        <v>0</v>
      </c>
      <c r="L29" s="35" t="s">
        <v>0</v>
      </c>
      <c r="M29" s="50" t="s">
        <v>167</v>
      </c>
      <c r="N29" s="35"/>
      <c r="O29" s="35"/>
      <c r="P29" s="35"/>
      <c r="Q29" s="35"/>
      <c r="R29" s="35"/>
      <c r="S29" s="52"/>
      <c r="T29" s="35"/>
      <c r="U29" s="35"/>
      <c r="V29" s="35"/>
      <c r="W29" s="35"/>
      <c r="X29" s="52"/>
      <c r="Y29" s="52"/>
      <c r="Z29" s="52"/>
    </row>
    <row r="30" spans="1:26">
      <c r="A30" s="33" t="s">
        <v>872</v>
      </c>
      <c r="B30" s="34">
        <f>COUNTA($B$1:B29)</f>
        <v>27</v>
      </c>
      <c r="C30" s="35" t="s">
        <v>168</v>
      </c>
      <c r="D30" s="51"/>
      <c r="E30" s="52" t="s">
        <v>154</v>
      </c>
      <c r="F30" s="38"/>
      <c r="G30" s="35" t="s">
        <v>870</v>
      </c>
      <c r="H30" s="35"/>
      <c r="I30" s="35" t="s">
        <v>55</v>
      </c>
      <c r="J30" s="35" t="s">
        <v>169</v>
      </c>
      <c r="K30" s="34">
        <v>0</v>
      </c>
      <c r="L30" s="35" t="s">
        <v>0</v>
      </c>
      <c r="M30" s="50" t="s">
        <v>170</v>
      </c>
      <c r="N30" s="35"/>
      <c r="O30" s="35"/>
      <c r="P30" s="35"/>
      <c r="Q30" s="35"/>
      <c r="R30" s="35"/>
      <c r="S30" s="52"/>
      <c r="T30" s="35"/>
      <c r="U30" s="35"/>
      <c r="V30" s="35"/>
      <c r="W30" s="35"/>
      <c r="X30" s="52"/>
      <c r="Y30" s="52"/>
      <c r="Z30" s="52"/>
    </row>
    <row r="31" spans="1:26" s="10" customFormat="1">
      <c r="A31" s="33" t="s">
        <v>872</v>
      </c>
      <c r="B31" s="34">
        <f>COUNTA($B$1:B30)</f>
        <v>28</v>
      </c>
      <c r="C31" s="35" t="s">
        <v>190</v>
      </c>
      <c r="D31" s="35"/>
      <c r="E31" s="35"/>
      <c r="F31" s="34"/>
      <c r="G31" s="35" t="s">
        <v>870</v>
      </c>
      <c r="H31" s="35"/>
      <c r="I31" s="35" t="s">
        <v>55</v>
      </c>
      <c r="J31" s="35" t="s">
        <v>87</v>
      </c>
      <c r="K31" s="34">
        <v>0</v>
      </c>
      <c r="L31" s="35" t="s">
        <v>147</v>
      </c>
      <c r="M31" s="36"/>
      <c r="N31" s="35"/>
      <c r="O31" s="35"/>
      <c r="P31" s="35"/>
      <c r="Q31" s="35"/>
      <c r="R31" s="35"/>
      <c r="S31" s="35"/>
      <c r="T31" s="35"/>
      <c r="U31" s="35"/>
      <c r="V31" s="35"/>
      <c r="W31" s="35"/>
      <c r="X31" s="35"/>
      <c r="Y31" s="35"/>
      <c r="Z31" s="35"/>
    </row>
    <row r="32" spans="1:26" s="10" customFormat="1">
      <c r="A32" s="30" t="s">
        <v>933</v>
      </c>
      <c r="B32" s="190"/>
      <c r="C32" s="31"/>
      <c r="D32" s="32"/>
      <c r="E32" s="32"/>
      <c r="F32" s="31"/>
      <c r="G32" s="32"/>
      <c r="H32" s="32"/>
      <c r="I32" s="32"/>
      <c r="J32" s="32"/>
      <c r="K32" s="31"/>
      <c r="L32" s="32"/>
      <c r="M32" s="32"/>
      <c r="N32" s="32"/>
      <c r="O32" s="32"/>
      <c r="P32" s="32"/>
      <c r="Q32" s="32"/>
      <c r="R32" s="32"/>
      <c r="S32" s="32"/>
      <c r="T32" s="32"/>
      <c r="U32" s="32"/>
      <c r="V32" s="32"/>
      <c r="W32" s="32"/>
      <c r="X32" s="32"/>
      <c r="Y32" s="32"/>
      <c r="Z32" s="32"/>
    </row>
    <row r="33" spans="1:26" s="10" customFormat="1">
      <c r="A33" s="33" t="s">
        <v>872</v>
      </c>
      <c r="B33" s="34">
        <f>COUNTA($B$1:B32)</f>
        <v>29</v>
      </c>
      <c r="C33" s="35" t="s">
        <v>67</v>
      </c>
      <c r="D33" s="35"/>
      <c r="E33" s="35"/>
      <c r="F33" s="34"/>
      <c r="G33" s="35" t="s">
        <v>870</v>
      </c>
      <c r="H33" s="35"/>
      <c r="I33" s="35"/>
      <c r="J33" s="35"/>
      <c r="K33" s="34"/>
      <c r="L33" s="35" t="s">
        <v>67</v>
      </c>
      <c r="M33" s="36">
        <v>10</v>
      </c>
      <c r="N33" s="35"/>
      <c r="O33" s="35"/>
      <c r="P33" s="35"/>
      <c r="Q33" s="35"/>
      <c r="R33" s="36"/>
      <c r="S33" s="35"/>
      <c r="T33" s="35"/>
      <c r="U33" s="35"/>
      <c r="V33" s="35"/>
      <c r="W33" s="35"/>
      <c r="X33" s="35"/>
      <c r="Y33" s="35"/>
      <c r="Z33" s="35"/>
    </row>
    <row r="34" spans="1:26" s="17" customFormat="1">
      <c r="A34" s="45" t="s">
        <v>872</v>
      </c>
      <c r="B34" s="47">
        <f>COUNTA($B$1:B33)</f>
        <v>30</v>
      </c>
      <c r="C34" s="46" t="s">
        <v>140</v>
      </c>
      <c r="D34" s="46"/>
      <c r="E34" s="46"/>
      <c r="F34" s="47"/>
      <c r="G34" s="46" t="s">
        <v>870</v>
      </c>
      <c r="H34" s="46"/>
      <c r="I34" s="46" t="s">
        <v>55</v>
      </c>
      <c r="J34" s="46" t="s">
        <v>141</v>
      </c>
      <c r="K34" s="47"/>
      <c r="L34" s="46" t="s">
        <v>142</v>
      </c>
      <c r="M34" s="48"/>
      <c r="N34" s="46"/>
      <c r="O34" s="46" t="s">
        <v>2</v>
      </c>
      <c r="P34" s="46"/>
      <c r="Q34" s="46"/>
      <c r="R34" s="49"/>
      <c r="S34" s="46"/>
      <c r="T34" s="46"/>
      <c r="U34" s="46"/>
      <c r="V34" s="46"/>
      <c r="W34" s="46"/>
      <c r="X34" s="46"/>
      <c r="Y34" s="46"/>
      <c r="Z34" s="46"/>
    </row>
    <row r="35" spans="1:26" s="180" customFormat="1">
      <c r="A35" s="45" t="s">
        <v>872</v>
      </c>
      <c r="B35" s="47">
        <f>COUNTA($B$1:B34)</f>
        <v>31</v>
      </c>
      <c r="C35" s="46" t="s">
        <v>143</v>
      </c>
      <c r="D35" s="46"/>
      <c r="E35" s="46"/>
      <c r="F35" s="47"/>
      <c r="G35" s="46" t="s">
        <v>870</v>
      </c>
      <c r="H35" s="46"/>
      <c r="I35" s="46" t="s">
        <v>55</v>
      </c>
      <c r="J35" s="46" t="s">
        <v>141</v>
      </c>
      <c r="K35" s="47"/>
      <c r="L35" s="46" t="s">
        <v>98</v>
      </c>
      <c r="M35" s="48"/>
      <c r="N35" s="46" t="s">
        <v>99</v>
      </c>
      <c r="O35" s="46" t="s">
        <v>2</v>
      </c>
      <c r="P35" s="46"/>
      <c r="Q35" s="46"/>
      <c r="R35" s="49" t="s">
        <v>144</v>
      </c>
      <c r="S35" s="46"/>
      <c r="T35" s="46"/>
      <c r="U35" s="46"/>
      <c r="V35" s="46"/>
      <c r="W35" s="46"/>
      <c r="X35" s="46"/>
      <c r="Y35" s="46"/>
      <c r="Z35" s="46"/>
    </row>
    <row r="36" spans="1:26">
      <c r="A36" s="45" t="s">
        <v>872</v>
      </c>
      <c r="B36" s="47">
        <f>COUNTA($B$1:B35)</f>
        <v>32</v>
      </c>
      <c r="C36" s="46" t="s">
        <v>145</v>
      </c>
      <c r="D36" s="46"/>
      <c r="E36" s="46"/>
      <c r="F36" s="47"/>
      <c r="G36" s="46" t="s">
        <v>870</v>
      </c>
      <c r="H36" s="46"/>
      <c r="I36" s="46" t="s">
        <v>55</v>
      </c>
      <c r="J36" s="46" t="s">
        <v>146</v>
      </c>
      <c r="K36" s="47"/>
      <c r="L36" s="46" t="s">
        <v>147</v>
      </c>
      <c r="M36" s="48"/>
      <c r="N36" s="46"/>
      <c r="O36" s="46" t="s">
        <v>2</v>
      </c>
      <c r="P36" s="46"/>
      <c r="Q36" s="46"/>
      <c r="R36" s="48"/>
      <c r="S36" s="46"/>
      <c r="T36" s="46"/>
      <c r="U36" s="46"/>
      <c r="V36" s="46"/>
      <c r="W36" s="46"/>
      <c r="X36" s="46"/>
      <c r="Y36" s="46"/>
      <c r="Z36" s="46"/>
    </row>
    <row r="37" spans="1:26">
      <c r="A37" s="33" t="s">
        <v>872</v>
      </c>
      <c r="B37" s="34">
        <f>COUNTA($B$1:B36)</f>
        <v>33</v>
      </c>
      <c r="C37" s="35" t="s">
        <v>875</v>
      </c>
      <c r="D37" s="35"/>
      <c r="E37" s="35"/>
      <c r="F37" s="34"/>
      <c r="G37" s="35" t="s">
        <v>870</v>
      </c>
      <c r="H37" s="35"/>
      <c r="I37" s="35" t="s">
        <v>55</v>
      </c>
      <c r="J37" s="35" t="s">
        <v>421</v>
      </c>
      <c r="K37" s="34"/>
      <c r="L37" s="35" t="s">
        <v>67</v>
      </c>
      <c r="M37" s="36">
        <v>5</v>
      </c>
      <c r="N37" s="35"/>
      <c r="O37" s="35"/>
      <c r="P37" s="35"/>
      <c r="Q37" s="35"/>
      <c r="R37" s="36"/>
      <c r="S37" s="35"/>
      <c r="T37" s="35"/>
      <c r="U37" s="35"/>
      <c r="V37" s="35"/>
      <c r="W37" s="35"/>
      <c r="X37" s="35"/>
      <c r="Y37" s="35"/>
      <c r="Z37" s="35"/>
    </row>
    <row r="38" spans="1:26" s="17" customFormat="1">
      <c r="A38" s="33" t="s">
        <v>872</v>
      </c>
      <c r="B38" s="34">
        <f>COUNTA($B$1:B37)</f>
        <v>34</v>
      </c>
      <c r="C38" s="53" t="s">
        <v>873</v>
      </c>
      <c r="D38" s="35"/>
      <c r="E38" s="35"/>
      <c r="F38" s="34"/>
      <c r="G38" s="35" t="s">
        <v>870</v>
      </c>
      <c r="H38" s="35"/>
      <c r="I38" s="35" t="s">
        <v>55</v>
      </c>
      <c r="J38" s="35" t="s">
        <v>874</v>
      </c>
      <c r="K38" s="34">
        <v>0</v>
      </c>
      <c r="L38" s="35" t="s">
        <v>147</v>
      </c>
      <c r="M38" s="36"/>
      <c r="N38" s="35"/>
      <c r="O38" s="35"/>
      <c r="P38" s="35"/>
      <c r="Q38" s="35"/>
      <c r="R38" s="35"/>
      <c r="S38" s="35"/>
      <c r="T38" s="35"/>
      <c r="U38" s="35"/>
      <c r="V38" s="35"/>
      <c r="W38" s="35"/>
      <c r="X38" s="35"/>
      <c r="Y38" s="35"/>
      <c r="Z38" s="35"/>
    </row>
    <row r="39" spans="1:26" s="17" customFormat="1">
      <c r="A39" s="33" t="s">
        <v>872</v>
      </c>
      <c r="B39" s="34">
        <f>COUNTA($B$1:B38)</f>
        <v>35</v>
      </c>
      <c r="C39" s="35" t="s">
        <v>67</v>
      </c>
      <c r="D39" s="35"/>
      <c r="E39" s="35"/>
      <c r="F39" s="34"/>
      <c r="G39" s="35" t="s">
        <v>870</v>
      </c>
      <c r="H39" s="35"/>
      <c r="I39" s="35"/>
      <c r="J39" s="35"/>
      <c r="K39" s="34"/>
      <c r="L39" s="35" t="s">
        <v>67</v>
      </c>
      <c r="M39" s="36">
        <v>10</v>
      </c>
      <c r="N39" s="35"/>
      <c r="O39" s="35"/>
      <c r="P39" s="35"/>
      <c r="Q39" s="35"/>
      <c r="R39" s="36"/>
      <c r="S39" s="35"/>
      <c r="T39" s="35"/>
      <c r="U39" s="35"/>
      <c r="V39" s="35"/>
      <c r="W39" s="35"/>
      <c r="X39" s="35"/>
      <c r="Y39" s="35"/>
      <c r="Z39" s="35"/>
    </row>
    <row r="40" spans="1:26" s="17" customFormat="1">
      <c r="A40" s="30" t="s">
        <v>219</v>
      </c>
      <c r="B40" s="190"/>
      <c r="C40" s="31"/>
      <c r="D40" s="32"/>
      <c r="E40" s="32"/>
      <c r="F40" s="31"/>
      <c r="G40" s="32"/>
      <c r="H40" s="32"/>
      <c r="I40" s="32"/>
      <c r="J40" s="32"/>
      <c r="K40" s="31"/>
      <c r="L40" s="32"/>
      <c r="M40" s="32"/>
      <c r="N40" s="32"/>
      <c r="O40" s="32"/>
      <c r="P40" s="32"/>
      <c r="Q40" s="32"/>
      <c r="R40" s="32"/>
      <c r="S40" s="32"/>
      <c r="T40" s="32"/>
      <c r="U40" s="32"/>
      <c r="V40" s="32"/>
      <c r="W40" s="32"/>
      <c r="X40" s="32"/>
      <c r="Y40" s="32"/>
      <c r="Z40" s="32"/>
    </row>
    <row r="41" spans="1:26" ht="12.75" customHeight="1">
      <c r="A41" s="45" t="s">
        <v>872</v>
      </c>
      <c r="B41" s="47">
        <f>COUNTA($B$1:B40)</f>
        <v>36</v>
      </c>
      <c r="C41" s="46" t="s">
        <v>140</v>
      </c>
      <c r="D41" s="46"/>
      <c r="E41" s="46"/>
      <c r="F41" s="47"/>
      <c r="G41" s="46" t="s">
        <v>870</v>
      </c>
      <c r="H41" s="46"/>
      <c r="I41" s="46" t="s">
        <v>55</v>
      </c>
      <c r="J41" s="46" t="s">
        <v>141</v>
      </c>
      <c r="K41" s="47"/>
      <c r="L41" s="46" t="s">
        <v>142</v>
      </c>
      <c r="M41" s="48"/>
      <c r="N41" s="46"/>
      <c r="O41" s="46" t="s">
        <v>2</v>
      </c>
      <c r="P41" s="46"/>
      <c r="Q41" s="46"/>
      <c r="R41" s="49"/>
      <c r="S41" s="46"/>
      <c r="T41" s="46"/>
      <c r="U41" s="46"/>
      <c r="V41" s="46"/>
      <c r="W41" s="46"/>
      <c r="X41" s="46"/>
      <c r="Y41" s="46"/>
      <c r="Z41" s="46"/>
    </row>
    <row r="42" spans="1:26" s="12" customFormat="1" ht="12.75" customHeight="1">
      <c r="A42" s="45" t="s">
        <v>872</v>
      </c>
      <c r="B42" s="47">
        <f>COUNTA($B$1:B41)</f>
        <v>37</v>
      </c>
      <c r="C42" s="46" t="s">
        <v>143</v>
      </c>
      <c r="D42" s="46"/>
      <c r="E42" s="46"/>
      <c r="F42" s="47"/>
      <c r="G42" s="46" t="s">
        <v>870</v>
      </c>
      <c r="H42" s="46"/>
      <c r="I42" s="46" t="s">
        <v>55</v>
      </c>
      <c r="J42" s="46" t="s">
        <v>141</v>
      </c>
      <c r="K42" s="47"/>
      <c r="L42" s="46" t="s">
        <v>98</v>
      </c>
      <c r="M42" s="48"/>
      <c r="N42" s="46" t="s">
        <v>99</v>
      </c>
      <c r="O42" s="46" t="s">
        <v>2</v>
      </c>
      <c r="P42" s="46"/>
      <c r="Q42" s="46"/>
      <c r="R42" s="49" t="s">
        <v>144</v>
      </c>
      <c r="S42" s="46"/>
      <c r="T42" s="46"/>
      <c r="U42" s="46"/>
      <c r="V42" s="46"/>
      <c r="W42" s="46"/>
      <c r="X42" s="46"/>
      <c r="Y42" s="46"/>
      <c r="Z42" s="46"/>
    </row>
    <row r="43" spans="1:26" s="16" customFormat="1" outlineLevel="1">
      <c r="A43" s="45" t="s">
        <v>872</v>
      </c>
      <c r="B43" s="47">
        <f>COUNTA($B$1:B42)</f>
        <v>38</v>
      </c>
      <c r="C43" s="46" t="s">
        <v>145</v>
      </c>
      <c r="D43" s="46"/>
      <c r="E43" s="46"/>
      <c r="F43" s="47"/>
      <c r="G43" s="46" t="s">
        <v>870</v>
      </c>
      <c r="H43" s="46"/>
      <c r="I43" s="46" t="s">
        <v>55</v>
      </c>
      <c r="J43" s="46" t="s">
        <v>146</v>
      </c>
      <c r="K43" s="47"/>
      <c r="L43" s="46" t="s">
        <v>147</v>
      </c>
      <c r="M43" s="48"/>
      <c r="N43" s="46"/>
      <c r="O43" s="46" t="s">
        <v>2</v>
      </c>
      <c r="P43" s="46"/>
      <c r="Q43" s="46"/>
      <c r="R43" s="48"/>
      <c r="S43" s="46"/>
      <c r="T43" s="46"/>
      <c r="U43" s="46"/>
      <c r="V43" s="46"/>
      <c r="W43" s="46"/>
      <c r="X43" s="46"/>
      <c r="Y43" s="46"/>
      <c r="Z43" s="46"/>
    </row>
    <row r="44" spans="1:26" s="17" customFormat="1">
      <c r="A44" s="33" t="s">
        <v>872</v>
      </c>
      <c r="B44" s="34">
        <f>COUNTA($B$1:B43)</f>
        <v>39</v>
      </c>
      <c r="C44" s="35" t="s">
        <v>875</v>
      </c>
      <c r="D44" s="35"/>
      <c r="E44" s="35"/>
      <c r="F44" s="34"/>
      <c r="G44" s="35" t="s">
        <v>870</v>
      </c>
      <c r="H44" s="35"/>
      <c r="I44" s="35" t="s">
        <v>55</v>
      </c>
      <c r="J44" s="35" t="s">
        <v>428</v>
      </c>
      <c r="K44" s="34"/>
      <c r="L44" s="35" t="s">
        <v>67</v>
      </c>
      <c r="M44" s="36">
        <v>5</v>
      </c>
      <c r="N44" s="35"/>
      <c r="O44" s="35"/>
      <c r="P44" s="35"/>
      <c r="Q44" s="35"/>
      <c r="R44" s="36"/>
      <c r="S44" s="35"/>
      <c r="T44" s="35"/>
      <c r="U44" s="35"/>
      <c r="V44" s="35"/>
      <c r="W44" s="35"/>
      <c r="X44" s="35"/>
      <c r="Y44" s="35"/>
      <c r="Z44" s="35"/>
    </row>
    <row r="45" spans="1:26" s="17" customFormat="1">
      <c r="A45" s="33" t="s">
        <v>872</v>
      </c>
      <c r="B45" s="34">
        <f>COUNTA($B$1:B44)</f>
        <v>40</v>
      </c>
      <c r="C45" s="35" t="s">
        <v>220</v>
      </c>
      <c r="D45" s="35"/>
      <c r="E45" s="35"/>
      <c r="F45" s="34"/>
      <c r="G45" s="35" t="s">
        <v>870</v>
      </c>
      <c r="H45" s="35"/>
      <c r="I45" s="35" t="s">
        <v>55</v>
      </c>
      <c r="J45" s="35" t="s">
        <v>221</v>
      </c>
      <c r="K45" s="34">
        <v>0</v>
      </c>
      <c r="L45" s="35" t="s">
        <v>0</v>
      </c>
      <c r="M45" s="50" t="s">
        <v>222</v>
      </c>
      <c r="N45" s="35"/>
      <c r="O45" s="35"/>
      <c r="P45" s="35"/>
      <c r="Q45" s="35"/>
      <c r="R45" s="52"/>
      <c r="S45" s="35"/>
      <c r="T45" s="35"/>
      <c r="U45" s="35"/>
      <c r="V45" s="35"/>
      <c r="W45" s="35"/>
      <c r="X45" s="35"/>
      <c r="Y45" s="35"/>
      <c r="Z45" s="35"/>
    </row>
    <row r="46" spans="1:26" s="17" customFormat="1">
      <c r="A46" s="33" t="s">
        <v>872</v>
      </c>
      <c r="B46" s="34">
        <f>COUNTA($B$1:B45)</f>
        <v>41</v>
      </c>
      <c r="C46" s="35" t="s">
        <v>103</v>
      </c>
      <c r="D46" s="35"/>
      <c r="E46" s="35"/>
      <c r="F46" s="34"/>
      <c r="G46" s="35" t="s">
        <v>870</v>
      </c>
      <c r="H46" s="35"/>
      <c r="I46" s="35" t="s">
        <v>55</v>
      </c>
      <c r="J46" s="35" t="s">
        <v>105</v>
      </c>
      <c r="K46" s="34">
        <v>0</v>
      </c>
      <c r="L46" s="35" t="s">
        <v>0</v>
      </c>
      <c r="M46" s="50" t="s">
        <v>223</v>
      </c>
      <c r="N46" s="35"/>
      <c r="O46" s="35"/>
      <c r="P46" s="35"/>
      <c r="Q46" s="35"/>
      <c r="R46" s="52"/>
      <c r="S46" s="35"/>
      <c r="T46" s="35"/>
      <c r="U46" s="35"/>
      <c r="V46" s="35"/>
      <c r="W46" s="35"/>
      <c r="X46" s="35"/>
      <c r="Y46" s="35"/>
      <c r="Z46" s="35"/>
    </row>
    <row r="47" spans="1:26" s="17" customFormat="1">
      <c r="A47" s="33" t="s">
        <v>872</v>
      </c>
      <c r="B47" s="34">
        <f>COUNTA($B$1:B46)</f>
        <v>42</v>
      </c>
      <c r="C47" s="35" t="s">
        <v>224</v>
      </c>
      <c r="D47" s="35"/>
      <c r="E47" s="35"/>
      <c r="F47" s="34"/>
      <c r="G47" s="35" t="s">
        <v>870</v>
      </c>
      <c r="H47" s="35"/>
      <c r="I47" s="35" t="s">
        <v>55</v>
      </c>
      <c r="J47" s="35" t="s">
        <v>83</v>
      </c>
      <c r="K47" s="34">
        <v>0</v>
      </c>
      <c r="L47" s="35" t="s">
        <v>0</v>
      </c>
      <c r="M47" s="50" t="s">
        <v>225</v>
      </c>
      <c r="N47" s="35"/>
      <c r="O47" s="35"/>
      <c r="P47" s="35"/>
      <c r="Q47" s="35"/>
      <c r="R47" s="52"/>
      <c r="S47" s="35"/>
      <c r="T47" s="35"/>
      <c r="U47" s="35"/>
      <c r="V47" s="35"/>
      <c r="W47" s="35"/>
      <c r="X47" s="35"/>
      <c r="Y47" s="35"/>
      <c r="Z47" s="35"/>
    </row>
    <row r="48" spans="1:26" s="17" customFormat="1">
      <c r="A48" s="33" t="s">
        <v>872</v>
      </c>
      <c r="B48" s="34">
        <f>COUNTA($B$1:B47)</f>
        <v>43</v>
      </c>
      <c r="C48" s="35" t="s">
        <v>226</v>
      </c>
      <c r="D48" s="51"/>
      <c r="E48" s="52"/>
      <c r="F48" s="34"/>
      <c r="G48" s="35" t="s">
        <v>870</v>
      </c>
      <c r="H48" s="35"/>
      <c r="I48" s="35"/>
      <c r="J48" s="35"/>
      <c r="K48" s="34"/>
      <c r="L48" s="35" t="s">
        <v>227</v>
      </c>
      <c r="M48" s="36" t="s">
        <v>79</v>
      </c>
      <c r="N48" s="35"/>
      <c r="O48" s="35"/>
      <c r="P48" s="35"/>
      <c r="Q48" s="35"/>
      <c r="R48" s="35"/>
      <c r="S48" s="52"/>
      <c r="T48" s="35"/>
      <c r="U48" s="35"/>
      <c r="V48" s="35"/>
      <c r="W48" s="35"/>
      <c r="X48" s="52"/>
      <c r="Y48" s="52"/>
      <c r="Z48" s="52"/>
    </row>
    <row r="49" spans="1:26" s="17" customFormat="1">
      <c r="A49" s="33" t="s">
        <v>872</v>
      </c>
      <c r="B49" s="34">
        <f>COUNTA($B$1:B48)</f>
        <v>44</v>
      </c>
      <c r="C49" s="35" t="s">
        <v>67</v>
      </c>
      <c r="D49" s="35"/>
      <c r="E49" s="35"/>
      <c r="F49" s="34"/>
      <c r="G49" s="35" t="s">
        <v>870</v>
      </c>
      <c r="H49" s="35"/>
      <c r="I49" s="35"/>
      <c r="J49" s="35"/>
      <c r="K49" s="34"/>
      <c r="L49" s="35" t="s">
        <v>67</v>
      </c>
      <c r="M49" s="36">
        <v>3</v>
      </c>
      <c r="N49" s="35"/>
      <c r="O49" s="35"/>
      <c r="P49" s="35"/>
      <c r="Q49" s="35"/>
      <c r="R49" s="36"/>
      <c r="S49" s="35"/>
      <c r="T49" s="35"/>
      <c r="U49" s="35"/>
      <c r="V49" s="35"/>
      <c r="W49" s="35"/>
      <c r="X49" s="35"/>
      <c r="Y49" s="35"/>
      <c r="Z49" s="35"/>
    </row>
    <row r="50" spans="1:26" s="17" customFormat="1">
      <c r="A50" s="33" t="s">
        <v>872</v>
      </c>
      <c r="B50" s="34">
        <f>COUNTA($B$1:B49)</f>
        <v>45</v>
      </c>
      <c r="C50" s="35" t="s">
        <v>228</v>
      </c>
      <c r="D50" s="35"/>
      <c r="E50" s="35"/>
      <c r="F50" s="34"/>
      <c r="G50" s="35" t="s">
        <v>870</v>
      </c>
      <c r="H50" s="35"/>
      <c r="I50" s="35" t="s">
        <v>55</v>
      </c>
      <c r="J50" s="35" t="s">
        <v>229</v>
      </c>
      <c r="K50" s="34">
        <v>0</v>
      </c>
      <c r="L50" s="35" t="s">
        <v>0</v>
      </c>
      <c r="M50" s="50" t="s">
        <v>230</v>
      </c>
      <c r="N50" s="35"/>
      <c r="O50" s="35"/>
      <c r="P50" s="35"/>
      <c r="Q50" s="35"/>
      <c r="R50" s="52"/>
      <c r="S50" s="35"/>
      <c r="T50" s="35"/>
      <c r="U50" s="35"/>
      <c r="V50" s="35"/>
      <c r="W50" s="35"/>
      <c r="X50" s="35"/>
      <c r="Y50" s="35"/>
      <c r="Z50" s="35"/>
    </row>
    <row r="51" spans="1:26" s="17" customFormat="1">
      <c r="A51" s="33" t="s">
        <v>872</v>
      </c>
      <c r="B51" s="34">
        <f>COUNTA($B$1:B50)</f>
        <v>46</v>
      </c>
      <c r="C51" s="35" t="s">
        <v>89</v>
      </c>
      <c r="D51" s="35"/>
      <c r="E51" s="35"/>
      <c r="F51" s="34"/>
      <c r="G51" s="35" t="s">
        <v>870</v>
      </c>
      <c r="H51" s="35"/>
      <c r="I51" s="35" t="s">
        <v>55</v>
      </c>
      <c r="J51" s="35" t="s">
        <v>231</v>
      </c>
      <c r="K51" s="34">
        <v>0</v>
      </c>
      <c r="L51" s="35" t="s">
        <v>0</v>
      </c>
      <c r="M51" s="50" t="s">
        <v>104</v>
      </c>
      <c r="N51" s="35"/>
      <c r="O51" s="35"/>
      <c r="P51" s="35"/>
      <c r="Q51" s="35"/>
      <c r="R51" s="52"/>
      <c r="S51" s="35"/>
      <c r="T51" s="35"/>
      <c r="U51" s="35"/>
      <c r="V51" s="35"/>
      <c r="W51" s="35"/>
      <c r="X51" s="35"/>
      <c r="Y51" s="35"/>
      <c r="Z51" s="35"/>
    </row>
    <row r="52" spans="1:26" s="17" customFormat="1">
      <c r="A52" s="33" t="s">
        <v>872</v>
      </c>
      <c r="B52" s="34">
        <f>COUNTA($B$1:B51)</f>
        <v>47</v>
      </c>
      <c r="C52" s="35" t="s">
        <v>232</v>
      </c>
      <c r="D52" s="35"/>
      <c r="E52" s="35"/>
      <c r="F52" s="34"/>
      <c r="G52" s="35" t="s">
        <v>870</v>
      </c>
      <c r="H52" s="35"/>
      <c r="I52" s="35" t="s">
        <v>55</v>
      </c>
      <c r="J52" s="35" t="s">
        <v>233</v>
      </c>
      <c r="K52" s="34">
        <v>0</v>
      </c>
      <c r="L52" s="35" t="s">
        <v>0</v>
      </c>
      <c r="M52" s="50" t="s">
        <v>234</v>
      </c>
      <c r="N52" s="35"/>
      <c r="O52" s="35"/>
      <c r="P52" s="35"/>
      <c r="Q52" s="35"/>
      <c r="R52" s="52"/>
      <c r="S52" s="35"/>
      <c r="T52" s="35"/>
      <c r="U52" s="35"/>
      <c r="V52" s="35"/>
      <c r="W52" s="35"/>
      <c r="X52" s="35"/>
      <c r="Y52" s="35"/>
      <c r="Z52" s="35"/>
    </row>
    <row r="53" spans="1:26" s="17" customFormat="1">
      <c r="A53" s="33" t="s">
        <v>872</v>
      </c>
      <c r="B53" s="34">
        <f>COUNTA($B$1:B52)</f>
        <v>48</v>
      </c>
      <c r="C53" s="35" t="s">
        <v>235</v>
      </c>
      <c r="D53" s="35"/>
      <c r="E53" s="35"/>
      <c r="F53" s="34"/>
      <c r="G53" s="35" t="s">
        <v>870</v>
      </c>
      <c r="H53" s="35"/>
      <c r="I53" s="35" t="s">
        <v>55</v>
      </c>
      <c r="J53" s="35" t="s">
        <v>236</v>
      </c>
      <c r="K53" s="34">
        <v>0</v>
      </c>
      <c r="L53" s="35" t="s">
        <v>0</v>
      </c>
      <c r="M53" s="50" t="s">
        <v>237</v>
      </c>
      <c r="N53" s="35"/>
      <c r="O53" s="35"/>
      <c r="P53" s="35"/>
      <c r="Q53" s="35"/>
      <c r="R53" s="52"/>
      <c r="S53" s="35"/>
      <c r="T53" s="35"/>
      <c r="U53" s="35"/>
      <c r="V53" s="35"/>
      <c r="W53" s="35"/>
      <c r="X53" s="35"/>
      <c r="Y53" s="35"/>
      <c r="Z53" s="35"/>
    </row>
    <row r="54" spans="1:26" s="17" customFormat="1">
      <c r="A54" s="33" t="s">
        <v>872</v>
      </c>
      <c r="B54" s="34">
        <f>COUNTA($B$1:B53)</f>
        <v>49</v>
      </c>
      <c r="C54" s="35" t="s">
        <v>238</v>
      </c>
      <c r="D54" s="35"/>
      <c r="E54" s="35"/>
      <c r="F54" s="34"/>
      <c r="G54" s="35" t="s">
        <v>870</v>
      </c>
      <c r="H54" s="35"/>
      <c r="I54" s="35" t="s">
        <v>55</v>
      </c>
      <c r="J54" s="35" t="s">
        <v>90</v>
      </c>
      <c r="K54" s="34">
        <v>0</v>
      </c>
      <c r="L54" s="35" t="s">
        <v>0</v>
      </c>
      <c r="M54" s="50" t="s">
        <v>239</v>
      </c>
      <c r="N54" s="35"/>
      <c r="O54" s="35"/>
      <c r="P54" s="35"/>
      <c r="Q54" s="35"/>
      <c r="R54" s="52"/>
      <c r="S54" s="35"/>
      <c r="T54" s="35"/>
      <c r="U54" s="35"/>
      <c r="V54" s="35"/>
      <c r="W54" s="35"/>
      <c r="X54" s="35"/>
      <c r="Y54" s="35"/>
      <c r="Z54" s="35"/>
    </row>
    <row r="55" spans="1:26" s="17" customFormat="1">
      <c r="A55" s="33" t="s">
        <v>872</v>
      </c>
      <c r="B55" s="34">
        <f>COUNTA($B$1:B54)</f>
        <v>50</v>
      </c>
      <c r="C55" s="35" t="s">
        <v>876</v>
      </c>
      <c r="D55" s="35"/>
      <c r="E55" s="35"/>
      <c r="F55" s="34"/>
      <c r="G55" s="35" t="s">
        <v>870</v>
      </c>
      <c r="H55" s="35"/>
      <c r="I55" s="35" t="s">
        <v>55</v>
      </c>
      <c r="J55" s="35" t="s">
        <v>241</v>
      </c>
      <c r="K55" s="34">
        <v>0</v>
      </c>
      <c r="L55" s="35" t="s">
        <v>0</v>
      </c>
      <c r="M55" s="191" t="s">
        <v>877</v>
      </c>
      <c r="N55" s="35"/>
      <c r="O55" s="35"/>
      <c r="P55" s="35"/>
      <c r="Q55" s="35"/>
      <c r="R55" s="35"/>
      <c r="S55" s="35"/>
      <c r="T55" s="35"/>
      <c r="U55" s="35"/>
      <c r="V55" s="35"/>
      <c r="W55" s="35"/>
      <c r="X55" s="35"/>
      <c r="Y55" s="35"/>
      <c r="Z55" s="35"/>
    </row>
    <row r="56" spans="1:26">
      <c r="A56" s="33" t="s">
        <v>872</v>
      </c>
      <c r="B56" s="34">
        <f>COUNTA($B$1:B55)</f>
        <v>51</v>
      </c>
      <c r="C56" s="35" t="s">
        <v>190</v>
      </c>
      <c r="D56" s="35"/>
      <c r="E56" s="35"/>
      <c r="F56" s="34"/>
      <c r="G56" s="35" t="s">
        <v>870</v>
      </c>
      <c r="H56" s="35"/>
      <c r="I56" s="35" t="s">
        <v>55</v>
      </c>
      <c r="J56" s="35" t="s">
        <v>87</v>
      </c>
      <c r="K56" s="34">
        <v>0</v>
      </c>
      <c r="L56" s="35" t="s">
        <v>147</v>
      </c>
      <c r="M56" s="36"/>
      <c r="N56" s="35"/>
      <c r="O56" s="35"/>
      <c r="P56" s="35"/>
      <c r="Q56" s="35"/>
      <c r="R56" s="35"/>
      <c r="S56" s="35"/>
      <c r="T56" s="35"/>
      <c r="U56" s="35"/>
      <c r="V56" s="35"/>
      <c r="W56" s="35"/>
      <c r="X56" s="35"/>
      <c r="Y56" s="35"/>
      <c r="Z56" s="35"/>
    </row>
    <row r="57" spans="1:26">
      <c r="A57" s="33" t="s">
        <v>872</v>
      </c>
      <c r="B57" s="34">
        <f>COUNTA($B$1:B56)</f>
        <v>52</v>
      </c>
      <c r="C57" s="35" t="s">
        <v>67</v>
      </c>
      <c r="D57" s="35"/>
      <c r="E57" s="35"/>
      <c r="F57" s="34"/>
      <c r="G57" s="35" t="s">
        <v>870</v>
      </c>
      <c r="H57" s="35"/>
      <c r="I57" s="35"/>
      <c r="J57" s="35"/>
      <c r="K57" s="34"/>
      <c r="L57" s="35" t="s">
        <v>67</v>
      </c>
      <c r="M57" s="36">
        <v>10</v>
      </c>
      <c r="N57" s="35"/>
      <c r="O57" s="35"/>
      <c r="P57" s="35"/>
      <c r="Q57" s="35"/>
      <c r="R57" s="36"/>
      <c r="S57" s="35"/>
      <c r="T57" s="35"/>
      <c r="U57" s="35"/>
      <c r="V57" s="35"/>
      <c r="W57" s="35"/>
      <c r="X57" s="35"/>
      <c r="Y57" s="35"/>
      <c r="Z57" s="35"/>
    </row>
    <row r="58" spans="1:26">
      <c r="A58" s="30" t="s">
        <v>91</v>
      </c>
      <c r="B58" s="190"/>
      <c r="C58" s="31"/>
      <c r="D58" s="32"/>
      <c r="E58" s="32"/>
      <c r="F58" s="31"/>
      <c r="G58" s="32"/>
      <c r="H58" s="32"/>
      <c r="I58" s="32"/>
      <c r="J58" s="32"/>
      <c r="K58" s="31"/>
      <c r="L58" s="32"/>
      <c r="M58" s="32"/>
      <c r="N58" s="32"/>
      <c r="O58" s="32"/>
      <c r="P58" s="32"/>
      <c r="Q58" s="32"/>
      <c r="R58" s="32"/>
      <c r="S58" s="32"/>
      <c r="T58" s="32"/>
      <c r="U58" s="32"/>
      <c r="V58" s="32"/>
      <c r="W58" s="32"/>
      <c r="X58" s="32"/>
      <c r="Y58" s="32"/>
      <c r="Z58" s="32"/>
    </row>
    <row r="59" spans="1:26">
      <c r="A59" s="45" t="s">
        <v>872</v>
      </c>
      <c r="B59" s="47">
        <f>COUNTA($B$1:B58)</f>
        <v>53</v>
      </c>
      <c r="C59" s="46" t="s">
        <v>140</v>
      </c>
      <c r="D59" s="46"/>
      <c r="E59" s="46"/>
      <c r="F59" s="47"/>
      <c r="G59" s="46" t="s">
        <v>870</v>
      </c>
      <c r="H59" s="46"/>
      <c r="I59" s="46" t="s">
        <v>55</v>
      </c>
      <c r="J59" s="46" t="s">
        <v>141</v>
      </c>
      <c r="K59" s="47"/>
      <c r="L59" s="46" t="s">
        <v>142</v>
      </c>
      <c r="M59" s="48"/>
      <c r="N59" s="46"/>
      <c r="O59" s="46" t="s">
        <v>2</v>
      </c>
      <c r="P59" s="46"/>
      <c r="Q59" s="46"/>
      <c r="R59" s="49"/>
      <c r="S59" s="46"/>
      <c r="T59" s="46"/>
      <c r="U59" s="46"/>
      <c r="V59" s="46"/>
      <c r="W59" s="46"/>
      <c r="X59" s="46"/>
      <c r="Y59" s="46"/>
      <c r="Z59" s="46"/>
    </row>
    <row r="60" spans="1:26">
      <c r="A60" s="45" t="s">
        <v>872</v>
      </c>
      <c r="B60" s="47">
        <f>COUNTA($B$1:B59)</f>
        <v>54</v>
      </c>
      <c r="C60" s="46" t="s">
        <v>143</v>
      </c>
      <c r="D60" s="46"/>
      <c r="E60" s="46"/>
      <c r="F60" s="47"/>
      <c r="G60" s="46" t="s">
        <v>870</v>
      </c>
      <c r="H60" s="46"/>
      <c r="I60" s="46" t="s">
        <v>55</v>
      </c>
      <c r="J60" s="46" t="s">
        <v>141</v>
      </c>
      <c r="K60" s="47"/>
      <c r="L60" s="46" t="s">
        <v>98</v>
      </c>
      <c r="M60" s="48"/>
      <c r="N60" s="46" t="s">
        <v>99</v>
      </c>
      <c r="O60" s="46" t="s">
        <v>2</v>
      </c>
      <c r="P60" s="46"/>
      <c r="Q60" s="46"/>
      <c r="R60" s="49" t="s">
        <v>144</v>
      </c>
      <c r="S60" s="46"/>
      <c r="T60" s="46"/>
      <c r="U60" s="46"/>
      <c r="V60" s="46"/>
      <c r="W60" s="46"/>
      <c r="X60" s="46"/>
      <c r="Y60" s="46"/>
      <c r="Z60" s="46"/>
    </row>
    <row r="61" spans="1:26">
      <c r="A61" s="45" t="s">
        <v>872</v>
      </c>
      <c r="B61" s="47">
        <f>COUNTA($B$1:B60)</f>
        <v>55</v>
      </c>
      <c r="C61" s="46" t="s">
        <v>145</v>
      </c>
      <c r="D61" s="46"/>
      <c r="E61" s="46"/>
      <c r="F61" s="47"/>
      <c r="G61" s="46" t="s">
        <v>870</v>
      </c>
      <c r="H61" s="46"/>
      <c r="I61" s="46" t="s">
        <v>55</v>
      </c>
      <c r="J61" s="46" t="s">
        <v>146</v>
      </c>
      <c r="K61" s="47"/>
      <c r="L61" s="46" t="s">
        <v>147</v>
      </c>
      <c r="M61" s="48"/>
      <c r="N61" s="46"/>
      <c r="O61" s="46" t="s">
        <v>2</v>
      </c>
      <c r="P61" s="46"/>
      <c r="Q61" s="46"/>
      <c r="R61" s="48"/>
      <c r="S61" s="46"/>
      <c r="T61" s="46"/>
      <c r="U61" s="46"/>
      <c r="V61" s="46"/>
      <c r="W61" s="46"/>
      <c r="X61" s="46"/>
      <c r="Y61" s="46"/>
      <c r="Z61" s="46"/>
    </row>
    <row r="62" spans="1:26">
      <c r="A62" s="33" t="s">
        <v>872</v>
      </c>
      <c r="B62" s="34">
        <f>COUNTA($B$1:B61)</f>
        <v>56</v>
      </c>
      <c r="C62" s="35" t="s">
        <v>93</v>
      </c>
      <c r="D62" s="35"/>
      <c r="E62" s="35"/>
      <c r="F62" s="34"/>
      <c r="G62" s="35" t="s">
        <v>870</v>
      </c>
      <c r="H62" s="35"/>
      <c r="I62" s="35" t="s">
        <v>55</v>
      </c>
      <c r="J62" s="35" t="s">
        <v>92</v>
      </c>
      <c r="K62" s="34">
        <v>0</v>
      </c>
      <c r="L62" s="35" t="s">
        <v>0</v>
      </c>
      <c r="M62" s="50" t="s">
        <v>261</v>
      </c>
      <c r="N62" s="35"/>
      <c r="O62" s="35"/>
      <c r="P62" s="35"/>
      <c r="Q62" s="35"/>
      <c r="R62" s="52"/>
      <c r="S62" s="35"/>
      <c r="T62" s="35"/>
      <c r="U62" s="35"/>
      <c r="V62" s="35"/>
      <c r="W62" s="35"/>
      <c r="X62" s="35"/>
      <c r="Y62" s="35"/>
      <c r="Z62" s="35"/>
    </row>
    <row r="63" spans="1:26">
      <c r="A63" s="33" t="s">
        <v>872</v>
      </c>
      <c r="B63" s="34">
        <f>COUNTA($B$1:B62)</f>
        <v>57</v>
      </c>
      <c r="C63" s="35" t="s">
        <v>262</v>
      </c>
      <c r="D63" s="35"/>
      <c r="E63" s="35"/>
      <c r="F63" s="34"/>
      <c r="G63" s="35" t="s">
        <v>870</v>
      </c>
      <c r="H63" s="35"/>
      <c r="I63" s="35" t="s">
        <v>55</v>
      </c>
      <c r="J63" s="192"/>
      <c r="K63" s="34">
        <v>0</v>
      </c>
      <c r="L63" s="35" t="s">
        <v>95</v>
      </c>
      <c r="M63" s="35"/>
      <c r="N63" s="35"/>
      <c r="O63" s="35"/>
      <c r="P63" s="35"/>
      <c r="Q63" s="35"/>
      <c r="R63" s="52"/>
      <c r="S63" s="35"/>
      <c r="T63" s="35"/>
      <c r="U63" s="35"/>
      <c r="V63" s="35"/>
      <c r="W63" s="35"/>
      <c r="X63" s="35"/>
      <c r="Y63" s="35"/>
      <c r="Z63" s="35"/>
    </row>
    <row r="64" spans="1:26">
      <c r="A64" s="45" t="s">
        <v>872</v>
      </c>
      <c r="B64" s="47">
        <f>COUNTA($B$1:B63)</f>
        <v>58</v>
      </c>
      <c r="C64" s="46" t="s">
        <v>140</v>
      </c>
      <c r="D64" s="46"/>
      <c r="E64" s="46"/>
      <c r="F64" s="47"/>
      <c r="G64" s="46" t="s">
        <v>870</v>
      </c>
      <c r="H64" s="46"/>
      <c r="I64" s="46" t="s">
        <v>55</v>
      </c>
      <c r="J64" s="46" t="s">
        <v>141</v>
      </c>
      <c r="K64" s="47"/>
      <c r="L64" s="46" t="s">
        <v>142</v>
      </c>
      <c r="M64" s="48"/>
      <c r="N64" s="46"/>
      <c r="O64" s="46" t="s">
        <v>2</v>
      </c>
      <c r="P64" s="46"/>
      <c r="Q64" s="46"/>
      <c r="R64" s="49"/>
      <c r="S64" s="46"/>
      <c r="T64" s="46"/>
      <c r="U64" s="46"/>
      <c r="V64" s="46"/>
      <c r="W64" s="46"/>
      <c r="X64" s="46"/>
      <c r="Y64" s="46"/>
      <c r="Z64" s="46"/>
    </row>
    <row r="65" spans="1:26" s="17" customFormat="1">
      <c r="A65" s="45" t="s">
        <v>872</v>
      </c>
      <c r="B65" s="47">
        <f>COUNTA($B$1:B64)</f>
        <v>59</v>
      </c>
      <c r="C65" s="46" t="s">
        <v>143</v>
      </c>
      <c r="D65" s="46"/>
      <c r="E65" s="46"/>
      <c r="F65" s="47"/>
      <c r="G65" s="46" t="s">
        <v>870</v>
      </c>
      <c r="H65" s="46"/>
      <c r="I65" s="46" t="s">
        <v>55</v>
      </c>
      <c r="J65" s="46" t="s">
        <v>141</v>
      </c>
      <c r="K65" s="47"/>
      <c r="L65" s="46" t="s">
        <v>98</v>
      </c>
      <c r="M65" s="48"/>
      <c r="N65" s="46" t="s">
        <v>99</v>
      </c>
      <c r="O65" s="46" t="s">
        <v>2</v>
      </c>
      <c r="P65" s="46"/>
      <c r="Q65" s="46"/>
      <c r="R65" s="49" t="s">
        <v>144</v>
      </c>
      <c r="S65" s="46"/>
      <c r="T65" s="46"/>
      <c r="U65" s="46"/>
      <c r="V65" s="46"/>
      <c r="W65" s="46"/>
      <c r="X65" s="46"/>
      <c r="Y65" s="46"/>
      <c r="Z65" s="46"/>
    </row>
    <row r="66" spans="1:26" s="17" customFormat="1">
      <c r="A66" s="45" t="s">
        <v>872</v>
      </c>
      <c r="B66" s="47">
        <f>COUNTA($B$1:B65)</f>
        <v>60</v>
      </c>
      <c r="C66" s="46" t="s">
        <v>145</v>
      </c>
      <c r="D66" s="46"/>
      <c r="E66" s="46"/>
      <c r="F66" s="47"/>
      <c r="G66" s="46" t="s">
        <v>870</v>
      </c>
      <c r="H66" s="46"/>
      <c r="I66" s="46" t="s">
        <v>55</v>
      </c>
      <c r="J66" s="46" t="s">
        <v>146</v>
      </c>
      <c r="K66" s="47"/>
      <c r="L66" s="46" t="s">
        <v>147</v>
      </c>
      <c r="M66" s="48"/>
      <c r="N66" s="46"/>
      <c r="O66" s="46" t="s">
        <v>2</v>
      </c>
      <c r="P66" s="46"/>
      <c r="Q66" s="46"/>
      <c r="R66" s="48"/>
      <c r="S66" s="46"/>
      <c r="T66" s="46"/>
      <c r="U66" s="46"/>
      <c r="V66" s="46"/>
      <c r="W66" s="46"/>
      <c r="X66" s="46"/>
      <c r="Y66" s="46"/>
      <c r="Z66" s="46"/>
    </row>
    <row r="67" spans="1:26" s="17" customFormat="1">
      <c r="A67" s="33" t="s">
        <v>872</v>
      </c>
      <c r="B67" s="34">
        <f>COUNTA($B$1:B66)</f>
        <v>61</v>
      </c>
      <c r="C67" s="35" t="s">
        <v>94</v>
      </c>
      <c r="D67" s="35"/>
      <c r="E67" s="35"/>
      <c r="F67" s="34"/>
      <c r="G67" s="35" t="s">
        <v>870</v>
      </c>
      <c r="H67" s="35"/>
      <c r="I67" s="35" t="s">
        <v>55</v>
      </c>
      <c r="J67" s="35" t="s">
        <v>263</v>
      </c>
      <c r="K67" s="34">
        <v>0</v>
      </c>
      <c r="L67" s="35" t="s">
        <v>0</v>
      </c>
      <c r="M67" s="50" t="s">
        <v>264</v>
      </c>
      <c r="N67" s="35"/>
      <c r="O67" s="35"/>
      <c r="P67" s="35"/>
      <c r="Q67" s="35"/>
      <c r="R67" s="52"/>
      <c r="S67" s="35"/>
      <c r="T67" s="35"/>
      <c r="U67" s="35"/>
      <c r="V67" s="35"/>
      <c r="W67" s="35"/>
      <c r="X67" s="35"/>
      <c r="Y67" s="35"/>
      <c r="Z67" s="35"/>
    </row>
    <row r="68" spans="1:26" s="17" customFormat="1">
      <c r="A68" s="33" t="s">
        <v>872</v>
      </c>
      <c r="B68" s="34">
        <f>COUNTA($B$1:B67)</f>
        <v>62</v>
      </c>
      <c r="C68" s="35" t="s">
        <v>262</v>
      </c>
      <c r="D68" s="35"/>
      <c r="E68" s="35"/>
      <c r="F68" s="34"/>
      <c r="G68" s="35" t="s">
        <v>870</v>
      </c>
      <c r="H68" s="35"/>
      <c r="I68" s="35"/>
      <c r="J68" s="35"/>
      <c r="K68" s="34">
        <v>0</v>
      </c>
      <c r="L68" s="35" t="s">
        <v>96</v>
      </c>
      <c r="M68" s="35"/>
      <c r="N68" s="35"/>
      <c r="O68" s="35"/>
      <c r="P68" s="35"/>
      <c r="Q68" s="35"/>
      <c r="R68" s="52"/>
      <c r="S68" s="35"/>
      <c r="T68" s="35"/>
      <c r="U68" s="35"/>
      <c r="V68" s="35"/>
      <c r="W68" s="35"/>
      <c r="X68" s="35"/>
      <c r="Y68" s="35"/>
      <c r="Z68" s="35"/>
    </row>
    <row r="69" spans="1:26" s="17" customFormat="1">
      <c r="A69" s="33" t="s">
        <v>872</v>
      </c>
      <c r="B69" s="34">
        <f>COUNTA($B$1:B68)</f>
        <v>63</v>
      </c>
      <c r="C69" s="35" t="s">
        <v>262</v>
      </c>
      <c r="D69" s="35"/>
      <c r="E69" s="35"/>
      <c r="F69" s="34"/>
      <c r="G69" s="35" t="s">
        <v>870</v>
      </c>
      <c r="H69" s="35"/>
      <c r="I69" s="192"/>
      <c r="J69" s="192"/>
      <c r="K69" s="34">
        <v>0</v>
      </c>
      <c r="L69" s="35" t="s">
        <v>95</v>
      </c>
      <c r="M69" s="35"/>
      <c r="N69" s="35"/>
      <c r="O69" s="35"/>
      <c r="P69" s="35"/>
      <c r="Q69" s="35"/>
      <c r="R69" s="52"/>
      <c r="S69" s="35"/>
      <c r="T69" s="35"/>
      <c r="U69" s="35"/>
      <c r="V69" s="35"/>
      <c r="W69" s="35"/>
      <c r="X69" s="35"/>
      <c r="Y69" s="35"/>
      <c r="Z69" s="35"/>
    </row>
    <row r="70" spans="1:26" s="17" customFormat="1">
      <c r="A70" s="217" t="s">
        <v>21</v>
      </c>
      <c r="B70" s="218">
        <f>COUNTA($B$1:B69)</f>
        <v>64</v>
      </c>
      <c r="C70" s="219" t="s">
        <v>226</v>
      </c>
      <c r="D70" s="51"/>
      <c r="E70" s="52"/>
      <c r="F70" s="34"/>
      <c r="G70" s="35" t="s">
        <v>870</v>
      </c>
      <c r="H70" s="35"/>
      <c r="I70" s="35"/>
      <c r="J70" s="35"/>
      <c r="K70" s="34"/>
      <c r="L70" s="35" t="s">
        <v>227</v>
      </c>
      <c r="M70" s="36" t="s">
        <v>79</v>
      </c>
      <c r="N70" s="35"/>
      <c r="O70" s="35"/>
      <c r="P70" s="35"/>
      <c r="Q70" s="35"/>
      <c r="R70" s="35"/>
      <c r="S70" s="52"/>
      <c r="T70" s="35"/>
      <c r="U70" s="35"/>
      <c r="V70" s="35"/>
      <c r="W70" s="35"/>
      <c r="X70" s="52"/>
      <c r="Y70" s="52"/>
      <c r="Z70" s="52"/>
    </row>
    <row r="71" spans="1:26" s="17" customFormat="1">
      <c r="A71" s="217" t="s">
        <v>21</v>
      </c>
      <c r="B71" s="218">
        <f>COUNTA($B$1:B70)</f>
        <v>65</v>
      </c>
      <c r="C71" s="219" t="s">
        <v>265</v>
      </c>
      <c r="D71" s="35"/>
      <c r="E71" s="35"/>
      <c r="F71" s="34"/>
      <c r="G71" s="35" t="s">
        <v>870</v>
      </c>
      <c r="H71" s="35"/>
      <c r="I71" s="35"/>
      <c r="J71" s="35"/>
      <c r="K71" s="34"/>
      <c r="L71" s="35" t="s">
        <v>227</v>
      </c>
      <c r="M71" s="50" t="s">
        <v>266</v>
      </c>
      <c r="N71" s="35"/>
      <c r="O71" s="35"/>
      <c r="P71" s="35"/>
      <c r="Q71" s="35"/>
      <c r="R71" s="52"/>
      <c r="S71" s="35"/>
      <c r="T71" s="35"/>
      <c r="U71" s="35"/>
      <c r="V71" s="35"/>
      <c r="W71" s="35"/>
      <c r="X71" s="35"/>
      <c r="Y71" s="35"/>
      <c r="Z71" s="35"/>
    </row>
    <row r="72" spans="1:26" s="17" customFormat="1">
      <c r="A72" s="217" t="s">
        <v>21</v>
      </c>
      <c r="B72" s="218">
        <f>COUNTA($B$1:B71)</f>
        <v>66</v>
      </c>
      <c r="C72" s="219" t="s">
        <v>267</v>
      </c>
      <c r="D72" s="35"/>
      <c r="E72" s="35"/>
      <c r="F72" s="34"/>
      <c r="G72" s="35" t="s">
        <v>870</v>
      </c>
      <c r="H72" s="35"/>
      <c r="I72" s="35"/>
      <c r="J72" s="35"/>
      <c r="K72" s="34"/>
      <c r="L72" s="35" t="s">
        <v>227</v>
      </c>
      <c r="M72" s="50" t="s">
        <v>268</v>
      </c>
      <c r="N72" s="35"/>
      <c r="O72" s="35"/>
      <c r="P72" s="35"/>
      <c r="Q72" s="35"/>
      <c r="R72" s="52"/>
      <c r="S72" s="35"/>
      <c r="T72" s="35"/>
      <c r="U72" s="35"/>
      <c r="V72" s="35"/>
      <c r="W72" s="35"/>
      <c r="X72" s="35"/>
      <c r="Y72" s="35"/>
      <c r="Z72" s="35"/>
    </row>
    <row r="73" spans="1:26" s="19" customFormat="1" outlineLevel="1">
      <c r="A73" s="33" t="s">
        <v>872</v>
      </c>
      <c r="B73" s="34">
        <f>COUNTA($B$1:B72)</f>
        <v>67</v>
      </c>
      <c r="C73" s="35" t="s">
        <v>948</v>
      </c>
      <c r="D73" s="35"/>
      <c r="E73" s="35"/>
      <c r="F73" s="34"/>
      <c r="G73" s="35" t="s">
        <v>870</v>
      </c>
      <c r="H73" s="35"/>
      <c r="I73" s="35" t="s">
        <v>55</v>
      </c>
      <c r="J73" s="35" t="s">
        <v>949</v>
      </c>
      <c r="K73" s="34">
        <v>0</v>
      </c>
      <c r="L73" s="35" t="s">
        <v>34</v>
      </c>
      <c r="M73" s="35"/>
      <c r="N73" s="35"/>
      <c r="O73" s="35"/>
      <c r="P73" s="35"/>
      <c r="Q73" s="35"/>
      <c r="R73" s="35"/>
      <c r="S73" s="35"/>
      <c r="T73" s="35"/>
      <c r="U73" s="35"/>
      <c r="V73" s="35"/>
      <c r="W73" s="35"/>
      <c r="X73" s="35"/>
      <c r="Y73" s="35"/>
      <c r="Z73" s="35"/>
    </row>
    <row r="74" spans="1:26" s="19" customFormat="1" outlineLevel="1">
      <c r="A74" s="33" t="s">
        <v>872</v>
      </c>
      <c r="B74" s="34">
        <f>COUNTA($B$1:B73)</f>
        <v>68</v>
      </c>
      <c r="C74" s="35" t="s">
        <v>67</v>
      </c>
      <c r="D74" s="35"/>
      <c r="E74" s="35"/>
      <c r="F74" s="34"/>
      <c r="G74" s="35" t="s">
        <v>870</v>
      </c>
      <c r="H74" s="35"/>
      <c r="I74" s="35"/>
      <c r="J74" s="35"/>
      <c r="K74" s="34"/>
      <c r="L74" s="35" t="s">
        <v>67</v>
      </c>
      <c r="M74" s="36">
        <v>2</v>
      </c>
      <c r="N74" s="35"/>
      <c r="O74" s="35"/>
      <c r="P74" s="35"/>
      <c r="Q74" s="35"/>
      <c r="R74" s="35"/>
      <c r="S74" s="35"/>
      <c r="T74" s="35"/>
      <c r="U74" s="35"/>
      <c r="V74" s="35"/>
      <c r="W74" s="35"/>
      <c r="X74" s="35"/>
      <c r="Y74" s="35"/>
      <c r="Z74" s="35"/>
    </row>
    <row r="75" spans="1:26" s="19" customFormat="1" outlineLevel="1">
      <c r="A75" s="33" t="s">
        <v>872</v>
      </c>
      <c r="B75" s="34">
        <f>COUNTA($B$1:B74)</f>
        <v>69</v>
      </c>
      <c r="C75" s="35" t="s">
        <v>952</v>
      </c>
      <c r="D75" s="35"/>
      <c r="E75" s="35"/>
      <c r="F75" s="34"/>
      <c r="G75" s="35" t="s">
        <v>870</v>
      </c>
      <c r="H75" s="35"/>
      <c r="I75" s="35" t="s">
        <v>55</v>
      </c>
      <c r="J75" s="35" t="s">
        <v>949</v>
      </c>
      <c r="K75" s="34">
        <v>0</v>
      </c>
      <c r="L75" s="35" t="s">
        <v>951</v>
      </c>
      <c r="M75" s="50" t="s">
        <v>266</v>
      </c>
      <c r="N75" s="35"/>
      <c r="O75" s="35"/>
      <c r="P75" s="35"/>
      <c r="Q75" s="35"/>
      <c r="R75" s="35"/>
      <c r="S75" s="35"/>
      <c r="T75" s="35"/>
      <c r="U75" s="35"/>
      <c r="V75" s="35"/>
      <c r="W75" s="35"/>
      <c r="X75" s="35"/>
      <c r="Y75" s="35"/>
      <c r="Z75" s="35"/>
    </row>
    <row r="76" spans="1:26" s="19" customFormat="1" outlineLevel="1">
      <c r="A76" s="33" t="s">
        <v>872</v>
      </c>
      <c r="B76" s="34">
        <f>COUNTA($B$1:B75)</f>
        <v>70</v>
      </c>
      <c r="C76" s="35" t="s">
        <v>953</v>
      </c>
      <c r="D76" s="35"/>
      <c r="E76" s="35"/>
      <c r="F76" s="34"/>
      <c r="G76" s="35" t="s">
        <v>870</v>
      </c>
      <c r="H76" s="35"/>
      <c r="I76" s="35" t="s">
        <v>55</v>
      </c>
      <c r="J76" s="35" t="s">
        <v>949</v>
      </c>
      <c r="K76" s="34">
        <v>0</v>
      </c>
      <c r="L76" s="35" t="s">
        <v>951</v>
      </c>
      <c r="M76" s="50" t="s">
        <v>268</v>
      </c>
      <c r="N76" s="35"/>
      <c r="O76" s="35"/>
      <c r="P76" s="35"/>
      <c r="Q76" s="35"/>
      <c r="R76" s="35"/>
      <c r="S76" s="35"/>
      <c r="T76" s="35"/>
      <c r="U76" s="35"/>
      <c r="V76" s="35"/>
      <c r="W76" s="35"/>
      <c r="X76" s="35"/>
      <c r="Y76" s="35"/>
      <c r="Z76" s="35"/>
    </row>
    <row r="77" spans="1:26" s="19" customFormat="1" outlineLevel="1">
      <c r="A77" s="33" t="s">
        <v>872</v>
      </c>
      <c r="B77" s="34">
        <f>COUNTA($B$1:B76)</f>
        <v>71</v>
      </c>
      <c r="C77" s="35" t="s">
        <v>67</v>
      </c>
      <c r="D77" s="35"/>
      <c r="E77" s="35"/>
      <c r="F77" s="34"/>
      <c r="G77" s="35" t="s">
        <v>870</v>
      </c>
      <c r="H77" s="35"/>
      <c r="I77" s="35"/>
      <c r="J77" s="35"/>
      <c r="K77" s="34"/>
      <c r="L77" s="35" t="s">
        <v>67</v>
      </c>
      <c r="M77" s="36">
        <v>2</v>
      </c>
      <c r="N77" s="35"/>
      <c r="O77" s="35"/>
      <c r="P77" s="35"/>
      <c r="Q77" s="35"/>
      <c r="R77" s="35"/>
      <c r="S77" s="35"/>
      <c r="T77" s="35"/>
      <c r="U77" s="35"/>
      <c r="V77" s="35"/>
      <c r="W77" s="35"/>
      <c r="X77" s="35"/>
      <c r="Y77" s="35"/>
      <c r="Z77" s="35"/>
    </row>
    <row r="78" spans="1:26">
      <c r="A78" s="33" t="s">
        <v>872</v>
      </c>
      <c r="B78" s="34">
        <f>COUNTA($B$1:B77)</f>
        <v>72</v>
      </c>
      <c r="C78" s="35" t="s">
        <v>262</v>
      </c>
      <c r="D78" s="35"/>
      <c r="E78" s="35"/>
      <c r="F78" s="34"/>
      <c r="G78" s="35" t="s">
        <v>870</v>
      </c>
      <c r="H78" s="35"/>
      <c r="I78" s="35"/>
      <c r="J78" s="35"/>
      <c r="K78" s="34">
        <v>0</v>
      </c>
      <c r="L78" s="35" t="s">
        <v>96</v>
      </c>
      <c r="M78" s="35"/>
      <c r="N78" s="35"/>
      <c r="O78" s="35"/>
      <c r="P78" s="35"/>
      <c r="Q78" s="35"/>
      <c r="R78" s="52"/>
      <c r="S78" s="35"/>
      <c r="T78" s="35"/>
      <c r="U78" s="35"/>
      <c r="V78" s="35"/>
      <c r="W78" s="35"/>
      <c r="X78" s="35"/>
      <c r="Y78" s="35"/>
      <c r="Z78" s="35"/>
    </row>
    <row r="79" spans="1:26">
      <c r="A79" s="33" t="s">
        <v>872</v>
      </c>
      <c r="B79" s="34">
        <f>COUNTA($B$1:B78)</f>
        <v>73</v>
      </c>
      <c r="C79" s="35" t="s">
        <v>67</v>
      </c>
      <c r="D79" s="35"/>
      <c r="E79" s="35"/>
      <c r="F79" s="34"/>
      <c r="G79" s="35" t="s">
        <v>870</v>
      </c>
      <c r="H79" s="35"/>
      <c r="I79" s="35"/>
      <c r="J79" s="35"/>
      <c r="K79" s="34"/>
      <c r="L79" s="35" t="s">
        <v>67</v>
      </c>
      <c r="M79" s="36">
        <v>2</v>
      </c>
      <c r="N79" s="35"/>
      <c r="O79" s="35"/>
      <c r="P79" s="35"/>
      <c r="Q79" s="35"/>
      <c r="R79" s="36"/>
      <c r="S79" s="35"/>
      <c r="T79" s="35"/>
      <c r="U79" s="35"/>
      <c r="V79" s="35"/>
      <c r="W79" s="35"/>
      <c r="X79" s="35"/>
      <c r="Y79" s="35"/>
      <c r="Z79" s="35"/>
    </row>
    <row r="80" spans="1:26" s="12" customFormat="1" ht="12.75" customHeight="1">
      <c r="A80" s="33" t="s">
        <v>872</v>
      </c>
      <c r="B80" s="34">
        <f>COUNTA($B$1:B79)</f>
        <v>74</v>
      </c>
      <c r="C80" s="35" t="s">
        <v>312</v>
      </c>
      <c r="D80" s="51"/>
      <c r="E80" s="52" t="s">
        <v>154</v>
      </c>
      <c r="F80" s="34"/>
      <c r="G80" s="35" t="s">
        <v>870</v>
      </c>
      <c r="H80" s="35"/>
      <c r="I80" s="35" t="s">
        <v>55</v>
      </c>
      <c r="J80" s="35" t="s">
        <v>313</v>
      </c>
      <c r="K80" s="34">
        <v>0</v>
      </c>
      <c r="L80" s="35" t="s">
        <v>878</v>
      </c>
      <c r="M80" s="36"/>
      <c r="N80" s="35"/>
      <c r="O80" s="35"/>
      <c r="P80" s="35"/>
      <c r="Q80" s="35"/>
      <c r="R80" s="35"/>
      <c r="S80" s="52"/>
      <c r="T80" s="35"/>
      <c r="U80" s="35"/>
      <c r="V80" s="35"/>
      <c r="W80" s="35"/>
      <c r="X80" s="52"/>
      <c r="Y80" s="52"/>
      <c r="Z80" s="52"/>
    </row>
    <row r="81" spans="1:26">
      <c r="A81" s="33" t="s">
        <v>872</v>
      </c>
      <c r="B81" s="34">
        <f>COUNTA($B$1:B80)</f>
        <v>75</v>
      </c>
      <c r="C81" s="35" t="s">
        <v>67</v>
      </c>
      <c r="D81" s="35"/>
      <c r="E81" s="35"/>
      <c r="F81" s="34"/>
      <c r="G81" s="35" t="s">
        <v>870</v>
      </c>
      <c r="H81" s="35"/>
      <c r="I81" s="35"/>
      <c r="J81" s="35"/>
      <c r="K81" s="34"/>
      <c r="L81" s="35" t="s">
        <v>67</v>
      </c>
      <c r="M81" s="36">
        <v>2</v>
      </c>
      <c r="N81" s="35"/>
      <c r="O81" s="35"/>
      <c r="P81" s="35"/>
      <c r="Q81" s="35"/>
      <c r="R81" s="36"/>
      <c r="S81" s="35"/>
      <c r="T81" s="35"/>
      <c r="U81" s="35"/>
      <c r="V81" s="35"/>
      <c r="W81" s="35"/>
      <c r="X81" s="35"/>
      <c r="Y81" s="35"/>
      <c r="Z81" s="35"/>
    </row>
    <row r="82" spans="1:26">
      <c r="A82" s="30" t="s">
        <v>934</v>
      </c>
      <c r="B82" s="31"/>
      <c r="C82" s="31"/>
      <c r="D82" s="32"/>
      <c r="E82" s="32"/>
      <c r="F82" s="31"/>
      <c r="G82" s="32"/>
      <c r="H82" s="32"/>
      <c r="I82" s="32"/>
      <c r="J82" s="32"/>
      <c r="K82" s="31"/>
      <c r="L82" s="32"/>
      <c r="M82" s="32"/>
      <c r="N82" s="32"/>
      <c r="O82" s="32"/>
      <c r="P82" s="32"/>
      <c r="Q82" s="32"/>
      <c r="R82" s="32"/>
      <c r="S82" s="32"/>
      <c r="T82" s="32"/>
      <c r="U82" s="32"/>
      <c r="V82" s="32"/>
      <c r="W82" s="32"/>
      <c r="X82" s="32"/>
      <c r="Y82" s="32"/>
      <c r="Z82" s="32"/>
    </row>
    <row r="83" spans="1:26">
      <c r="A83" s="33" t="s">
        <v>872</v>
      </c>
      <c r="B83" s="34">
        <f>COUNTA($B$1:B81)</f>
        <v>76</v>
      </c>
      <c r="C83" s="35" t="s">
        <v>879</v>
      </c>
      <c r="D83" s="35"/>
      <c r="E83" s="35"/>
      <c r="F83" s="34"/>
      <c r="G83" s="35" t="s">
        <v>870</v>
      </c>
      <c r="H83" s="35"/>
      <c r="I83" s="35" t="s">
        <v>55</v>
      </c>
      <c r="J83" s="35" t="s">
        <v>271</v>
      </c>
      <c r="K83" s="34">
        <v>0</v>
      </c>
      <c r="L83" s="35" t="s">
        <v>147</v>
      </c>
      <c r="M83" s="36"/>
      <c r="N83" s="35"/>
      <c r="O83" s="35"/>
      <c r="P83" s="35"/>
      <c r="Q83" s="35"/>
      <c r="R83" s="36"/>
      <c r="S83" s="35"/>
      <c r="T83" s="35"/>
      <c r="U83" s="35"/>
      <c r="V83" s="35"/>
      <c r="W83" s="35"/>
      <c r="X83" s="35"/>
      <c r="Y83" s="35"/>
      <c r="Z83" s="35"/>
    </row>
    <row r="84" spans="1:26">
      <c r="A84" s="33" t="s">
        <v>872</v>
      </c>
      <c r="B84" s="34">
        <f>COUNTA($B$1:B83)</f>
        <v>77</v>
      </c>
      <c r="C84" s="35" t="s">
        <v>67</v>
      </c>
      <c r="D84" s="35"/>
      <c r="E84" s="35"/>
      <c r="F84" s="34"/>
      <c r="G84" s="35" t="s">
        <v>870</v>
      </c>
      <c r="H84" s="35"/>
      <c r="I84" s="35"/>
      <c r="J84" s="35"/>
      <c r="K84" s="34"/>
      <c r="L84" s="35" t="s">
        <v>67</v>
      </c>
      <c r="M84" s="36">
        <v>3</v>
      </c>
      <c r="N84" s="35"/>
      <c r="O84" s="35"/>
      <c r="P84" s="35"/>
      <c r="Q84" s="35"/>
      <c r="R84" s="36"/>
      <c r="S84" s="35"/>
      <c r="T84" s="35"/>
      <c r="U84" s="35"/>
      <c r="V84" s="35"/>
      <c r="W84" s="35"/>
      <c r="X84" s="35"/>
      <c r="Y84" s="35"/>
      <c r="Z84" s="35"/>
    </row>
    <row r="85" spans="1:26">
      <c r="A85" s="33" t="s">
        <v>872</v>
      </c>
      <c r="B85" s="34">
        <f>COUNTA($B$1:B84)</f>
        <v>78</v>
      </c>
      <c r="C85" s="35" t="s">
        <v>148</v>
      </c>
      <c r="D85" s="35"/>
      <c r="E85" s="35"/>
      <c r="F85" s="34"/>
      <c r="G85" s="35" t="s">
        <v>870</v>
      </c>
      <c r="H85" s="35"/>
      <c r="I85" s="35" t="s">
        <v>55</v>
      </c>
      <c r="J85" s="35" t="s">
        <v>439</v>
      </c>
      <c r="K85" s="34">
        <v>0</v>
      </c>
      <c r="L85" s="35" t="s">
        <v>34</v>
      </c>
      <c r="M85" s="35"/>
      <c r="N85" s="35"/>
      <c r="O85" s="35"/>
      <c r="P85" s="35"/>
      <c r="Q85" s="35"/>
      <c r="R85" s="36"/>
      <c r="S85" s="35"/>
      <c r="T85" s="35"/>
      <c r="U85" s="35"/>
      <c r="V85" s="35"/>
      <c r="W85" s="35"/>
      <c r="X85" s="35"/>
      <c r="Y85" s="35"/>
      <c r="Z85" s="35"/>
    </row>
    <row r="86" spans="1:26" s="12" customFormat="1" ht="12.75" customHeight="1">
      <c r="A86" s="33" t="s">
        <v>872</v>
      </c>
      <c r="B86" s="34">
        <f>COUNTA($B$1:B85)</f>
        <v>79</v>
      </c>
      <c r="C86" s="35" t="s">
        <v>67</v>
      </c>
      <c r="D86" s="35"/>
      <c r="E86" s="35"/>
      <c r="F86" s="34"/>
      <c r="G86" s="35" t="s">
        <v>870</v>
      </c>
      <c r="H86" s="35"/>
      <c r="I86" s="35"/>
      <c r="J86" s="35"/>
      <c r="K86" s="34"/>
      <c r="L86" s="35" t="s">
        <v>67</v>
      </c>
      <c r="M86" s="36">
        <v>2</v>
      </c>
      <c r="N86" s="35"/>
      <c r="O86" s="35"/>
      <c r="P86" s="35"/>
      <c r="Q86" s="35"/>
      <c r="R86" s="36"/>
      <c r="S86" s="35"/>
      <c r="T86" s="35"/>
      <c r="U86" s="35"/>
      <c r="V86" s="35"/>
      <c r="W86" s="35"/>
      <c r="X86" s="35"/>
      <c r="Y86" s="35"/>
      <c r="Z86" s="35"/>
    </row>
    <row r="87" spans="1:26">
      <c r="A87" s="33" t="s">
        <v>872</v>
      </c>
      <c r="B87" s="34">
        <f>COUNTA($B$1:B86)</f>
        <v>80</v>
      </c>
      <c r="C87" s="35" t="s">
        <v>150</v>
      </c>
      <c r="D87" s="35"/>
      <c r="E87" s="35"/>
      <c r="F87" s="34"/>
      <c r="G87" s="35" t="s">
        <v>870</v>
      </c>
      <c r="H87" s="35"/>
      <c r="I87" s="35" t="s">
        <v>55</v>
      </c>
      <c r="J87" s="35" t="s">
        <v>273</v>
      </c>
      <c r="K87" s="34">
        <v>0</v>
      </c>
      <c r="L87" s="35" t="s">
        <v>151</v>
      </c>
      <c r="M87" s="50" t="s">
        <v>274</v>
      </c>
      <c r="N87" s="35"/>
      <c r="O87" s="35"/>
      <c r="P87" s="35"/>
      <c r="Q87" s="35"/>
      <c r="R87" s="36"/>
      <c r="S87" s="35"/>
      <c r="T87" s="35"/>
      <c r="U87" s="35"/>
      <c r="V87" s="35"/>
      <c r="W87" s="35"/>
      <c r="X87" s="35"/>
      <c r="Y87" s="35"/>
      <c r="Z87" s="35"/>
    </row>
    <row r="88" spans="1:26" s="17" customFormat="1">
      <c r="A88" s="33" t="s">
        <v>872</v>
      </c>
      <c r="B88" s="34">
        <f>COUNTA($B$1:B87)</f>
        <v>81</v>
      </c>
      <c r="C88" s="35" t="s">
        <v>67</v>
      </c>
      <c r="D88" s="35"/>
      <c r="E88" s="35"/>
      <c r="F88" s="34"/>
      <c r="G88" s="35" t="s">
        <v>870</v>
      </c>
      <c r="H88" s="35"/>
      <c r="I88" s="35"/>
      <c r="J88" s="35"/>
      <c r="K88" s="34"/>
      <c r="L88" s="35" t="s">
        <v>67</v>
      </c>
      <c r="M88" s="36">
        <v>2</v>
      </c>
      <c r="N88" s="35"/>
      <c r="O88" s="35"/>
      <c r="P88" s="35"/>
      <c r="Q88" s="35"/>
      <c r="R88" s="36"/>
      <c r="S88" s="35"/>
      <c r="T88" s="35"/>
      <c r="U88" s="35"/>
      <c r="V88" s="35"/>
      <c r="W88" s="35"/>
      <c r="X88" s="35"/>
      <c r="Y88" s="35"/>
      <c r="Z88" s="35"/>
    </row>
    <row r="89" spans="1:26">
      <c r="A89" s="33" t="s">
        <v>872</v>
      </c>
      <c r="B89" s="34">
        <f>COUNTA($B$1:B88)</f>
        <v>82</v>
      </c>
      <c r="C89" s="35" t="s">
        <v>148</v>
      </c>
      <c r="D89" s="35"/>
      <c r="E89" s="35"/>
      <c r="F89" s="42"/>
      <c r="G89" s="35" t="s">
        <v>870</v>
      </c>
      <c r="H89" s="35"/>
      <c r="I89" s="35" t="s">
        <v>55</v>
      </c>
      <c r="J89" s="35" t="str">
        <f>"//a[contains(.,'"&amp;M87&amp;"')]"</f>
        <v>//a[contains(.,'Destination1')]</v>
      </c>
      <c r="K89" s="34">
        <v>0</v>
      </c>
      <c r="L89" s="35" t="s">
        <v>147</v>
      </c>
      <c r="M89" s="35"/>
      <c r="N89" s="35"/>
      <c r="O89" s="35"/>
      <c r="P89" s="35"/>
      <c r="Q89" s="35"/>
      <c r="R89" s="36"/>
      <c r="S89" s="35"/>
      <c r="T89" s="35"/>
      <c r="U89" s="35"/>
      <c r="V89" s="35"/>
      <c r="W89" s="35"/>
      <c r="X89" s="35"/>
      <c r="Y89" s="35"/>
      <c r="Z89" s="35"/>
    </row>
    <row r="90" spans="1:26" s="17" customFormat="1">
      <c r="A90" s="33" t="s">
        <v>872</v>
      </c>
      <c r="B90" s="34">
        <f>COUNTA($B$1:B89)</f>
        <v>83</v>
      </c>
      <c r="C90" s="35" t="s">
        <v>153</v>
      </c>
      <c r="D90" s="51"/>
      <c r="E90" s="52" t="s">
        <v>154</v>
      </c>
      <c r="F90" s="38"/>
      <c r="G90" s="35" t="s">
        <v>870</v>
      </c>
      <c r="H90" s="35"/>
      <c r="I90" s="35" t="s">
        <v>55</v>
      </c>
      <c r="J90" s="35" t="s">
        <v>81</v>
      </c>
      <c r="K90" s="34">
        <v>0</v>
      </c>
      <c r="L90" s="35" t="s">
        <v>0</v>
      </c>
      <c r="M90" s="50" t="s">
        <v>440</v>
      </c>
      <c r="N90" s="35"/>
      <c r="O90" s="35"/>
      <c r="P90" s="35"/>
      <c r="Q90" s="35"/>
      <c r="R90" s="36"/>
      <c r="S90" s="35"/>
      <c r="T90" s="35"/>
      <c r="U90" s="35"/>
      <c r="V90" s="35"/>
      <c r="W90" s="35"/>
      <c r="X90" s="35"/>
      <c r="Y90" s="35"/>
      <c r="Z90" s="35"/>
    </row>
    <row r="91" spans="1:26">
      <c r="A91" s="33" t="s">
        <v>872</v>
      </c>
      <c r="B91" s="34">
        <f>COUNTA($B$1:B90)</f>
        <v>84</v>
      </c>
      <c r="C91" s="35" t="s">
        <v>156</v>
      </c>
      <c r="D91" s="51"/>
      <c r="E91" s="52" t="s">
        <v>154</v>
      </c>
      <c r="F91" s="38"/>
      <c r="G91" s="35" t="s">
        <v>870</v>
      </c>
      <c r="H91" s="35"/>
      <c r="I91" s="35" t="s">
        <v>55</v>
      </c>
      <c r="J91" s="35" t="s">
        <v>82</v>
      </c>
      <c r="K91" s="34">
        <v>0</v>
      </c>
      <c r="L91" s="35" t="s">
        <v>0</v>
      </c>
      <c r="M91" s="50" t="s">
        <v>441</v>
      </c>
      <c r="N91" s="35"/>
      <c r="O91" s="35"/>
      <c r="P91" s="35"/>
      <c r="Q91" s="35"/>
      <c r="R91" s="36"/>
      <c r="S91" s="35"/>
      <c r="T91" s="35"/>
      <c r="U91" s="35"/>
      <c r="V91" s="35"/>
      <c r="W91" s="35"/>
      <c r="X91" s="35"/>
      <c r="Y91" s="35"/>
      <c r="Z91" s="35"/>
    </row>
    <row r="92" spans="1:26">
      <c r="A92" s="33" t="s">
        <v>872</v>
      </c>
      <c r="B92" s="34">
        <f>COUNTA($B$1:B91)</f>
        <v>85</v>
      </c>
      <c r="C92" s="35" t="s">
        <v>161</v>
      </c>
      <c r="D92" s="35"/>
      <c r="E92" s="35"/>
      <c r="F92" s="34"/>
      <c r="G92" s="35" t="s">
        <v>870</v>
      </c>
      <c r="H92" s="35"/>
      <c r="I92" s="35" t="s">
        <v>55</v>
      </c>
      <c r="J92" s="35" t="s">
        <v>442</v>
      </c>
      <c r="K92" s="34">
        <v>0</v>
      </c>
      <c r="L92" s="35" t="s">
        <v>34</v>
      </c>
      <c r="M92" s="35"/>
      <c r="N92" s="35"/>
      <c r="O92" s="35"/>
      <c r="P92" s="35"/>
      <c r="Q92" s="35"/>
      <c r="R92" s="36"/>
      <c r="S92" s="35"/>
      <c r="T92" s="35"/>
      <c r="U92" s="35"/>
      <c r="V92" s="35"/>
      <c r="W92" s="35"/>
      <c r="X92" s="35"/>
      <c r="Y92" s="35"/>
      <c r="Z92" s="35"/>
    </row>
    <row r="93" spans="1:26">
      <c r="A93" s="33" t="s">
        <v>872</v>
      </c>
      <c r="B93" s="34">
        <f>COUNTA($B$1:B92)</f>
        <v>86</v>
      </c>
      <c r="C93" s="35" t="s">
        <v>67</v>
      </c>
      <c r="D93" s="35"/>
      <c r="E93" s="35"/>
      <c r="F93" s="34"/>
      <c r="G93" s="35" t="s">
        <v>870</v>
      </c>
      <c r="H93" s="35"/>
      <c r="I93" s="35"/>
      <c r="J93" s="35"/>
      <c r="K93" s="34"/>
      <c r="L93" s="35" t="s">
        <v>67</v>
      </c>
      <c r="M93" s="36">
        <v>2</v>
      </c>
      <c r="N93" s="35"/>
      <c r="O93" s="35"/>
      <c r="P93" s="35"/>
      <c r="Q93" s="35"/>
      <c r="R93" s="36"/>
      <c r="S93" s="35"/>
      <c r="T93" s="35"/>
      <c r="U93" s="35"/>
      <c r="V93" s="35"/>
      <c r="W93" s="35"/>
      <c r="X93" s="35"/>
      <c r="Y93" s="35"/>
      <c r="Z93" s="35"/>
    </row>
    <row r="94" spans="1:26">
      <c r="A94" s="33" t="s">
        <v>872</v>
      </c>
      <c r="B94" s="34">
        <f>COUNTA($B$1:B93)</f>
        <v>87</v>
      </c>
      <c r="C94" s="35" t="s">
        <v>163</v>
      </c>
      <c r="D94" s="35"/>
      <c r="E94" s="35"/>
      <c r="F94" s="34"/>
      <c r="G94" s="35" t="s">
        <v>870</v>
      </c>
      <c r="H94" s="35"/>
      <c r="I94" s="35" t="s">
        <v>55</v>
      </c>
      <c r="J94" s="35" t="s">
        <v>277</v>
      </c>
      <c r="K94" s="34">
        <v>0</v>
      </c>
      <c r="L94" s="35" t="s">
        <v>151</v>
      </c>
      <c r="M94" s="50" t="s">
        <v>278</v>
      </c>
      <c r="N94" s="35"/>
      <c r="O94" s="35"/>
      <c r="P94" s="35"/>
      <c r="Q94" s="35"/>
      <c r="R94" s="36"/>
      <c r="S94" s="35"/>
      <c r="T94" s="35"/>
      <c r="U94" s="35"/>
      <c r="V94" s="35"/>
      <c r="W94" s="35"/>
      <c r="X94" s="35"/>
      <c r="Y94" s="35"/>
      <c r="Z94" s="35"/>
    </row>
    <row r="95" spans="1:26">
      <c r="A95" s="33" t="s">
        <v>872</v>
      </c>
      <c r="B95" s="34">
        <f>COUNTA($B$1:B94)</f>
        <v>88</v>
      </c>
      <c r="C95" s="35" t="s">
        <v>67</v>
      </c>
      <c r="D95" s="35"/>
      <c r="E95" s="35"/>
      <c r="F95" s="34"/>
      <c r="G95" s="35" t="s">
        <v>870</v>
      </c>
      <c r="H95" s="35"/>
      <c r="I95" s="35"/>
      <c r="J95" s="35"/>
      <c r="K95" s="34"/>
      <c r="L95" s="35" t="s">
        <v>67</v>
      </c>
      <c r="M95" s="36">
        <v>2</v>
      </c>
      <c r="N95" s="35"/>
      <c r="O95" s="35"/>
      <c r="P95" s="35"/>
      <c r="Q95" s="35"/>
      <c r="R95" s="36"/>
      <c r="S95" s="35"/>
      <c r="T95" s="35"/>
      <c r="U95" s="35"/>
      <c r="V95" s="35"/>
      <c r="W95" s="35"/>
      <c r="X95" s="35"/>
      <c r="Y95" s="35"/>
      <c r="Z95" s="35"/>
    </row>
    <row r="96" spans="1:26">
      <c r="A96" s="33" t="s">
        <v>872</v>
      </c>
      <c r="B96" s="34">
        <f>COUNTA($B$1:B95)</f>
        <v>89</v>
      </c>
      <c r="C96" s="35" t="s">
        <v>973</v>
      </c>
      <c r="D96" s="35"/>
      <c r="E96" s="35"/>
      <c r="F96" s="42"/>
      <c r="G96" s="35" t="s">
        <v>870</v>
      </c>
      <c r="H96" s="35"/>
      <c r="I96" s="35" t="s">
        <v>55</v>
      </c>
      <c r="J96" s="35" t="str">
        <f>"//a[contains(.,'"&amp;M94&amp;"')]"</f>
        <v>//a[contains(.,'Residence1')]</v>
      </c>
      <c r="K96" s="34">
        <v>0</v>
      </c>
      <c r="L96" s="35" t="s">
        <v>147</v>
      </c>
      <c r="M96" s="35"/>
      <c r="N96" s="35"/>
      <c r="O96" s="35"/>
      <c r="P96" s="35"/>
      <c r="Q96" s="35"/>
      <c r="R96" s="36"/>
      <c r="S96" s="35"/>
      <c r="T96" s="35"/>
      <c r="U96" s="35"/>
      <c r="V96" s="35"/>
      <c r="W96" s="35"/>
      <c r="X96" s="35"/>
      <c r="Y96" s="35"/>
      <c r="Z96" s="35"/>
    </row>
    <row r="97" spans="1:26" s="20" customFormat="1" ht="12.75" customHeight="1">
      <c r="A97" s="33" t="s">
        <v>872</v>
      </c>
      <c r="B97" s="34">
        <f>COUNTA($B$1:B96)</f>
        <v>90</v>
      </c>
      <c r="C97" s="35" t="s">
        <v>165</v>
      </c>
      <c r="D97" s="51"/>
      <c r="E97" s="52" t="s">
        <v>154</v>
      </c>
      <c r="F97" s="38"/>
      <c r="G97" s="35" t="s">
        <v>870</v>
      </c>
      <c r="H97" s="35"/>
      <c r="I97" s="35" t="s">
        <v>55</v>
      </c>
      <c r="J97" s="35" t="s">
        <v>526</v>
      </c>
      <c r="K97" s="34">
        <v>0</v>
      </c>
      <c r="L97" s="35" t="s">
        <v>0</v>
      </c>
      <c r="M97" s="50" t="s">
        <v>167</v>
      </c>
      <c r="N97" s="35"/>
      <c r="O97" s="35"/>
      <c r="P97" s="35"/>
      <c r="Q97" s="35"/>
      <c r="R97" s="36"/>
      <c r="S97" s="35"/>
      <c r="T97" s="35"/>
      <c r="U97" s="35"/>
      <c r="V97" s="35"/>
      <c r="W97" s="35"/>
      <c r="X97" s="35"/>
      <c r="Y97" s="35"/>
      <c r="Z97" s="35"/>
    </row>
    <row r="98" spans="1:26" s="16" customFormat="1" outlineLevel="1">
      <c r="A98" s="33" t="s">
        <v>872</v>
      </c>
      <c r="B98" s="34">
        <f>COUNTA($B$1:B97)</f>
        <v>91</v>
      </c>
      <c r="C98" s="35" t="s">
        <v>168</v>
      </c>
      <c r="D98" s="51"/>
      <c r="E98" s="52" t="s">
        <v>154</v>
      </c>
      <c r="F98" s="38"/>
      <c r="G98" s="35" t="s">
        <v>870</v>
      </c>
      <c r="H98" s="35"/>
      <c r="I98" s="35" t="s">
        <v>55</v>
      </c>
      <c r="J98" s="35" t="s">
        <v>169</v>
      </c>
      <c r="K98" s="34">
        <v>0</v>
      </c>
      <c r="L98" s="35" t="s">
        <v>0</v>
      </c>
      <c r="M98" s="50" t="s">
        <v>170</v>
      </c>
      <c r="N98" s="35"/>
      <c r="O98" s="35"/>
      <c r="P98" s="35"/>
      <c r="Q98" s="35"/>
      <c r="R98" s="52"/>
      <c r="S98" s="35"/>
      <c r="T98" s="35" t="s">
        <v>2</v>
      </c>
      <c r="U98" s="35"/>
      <c r="V98" s="35"/>
      <c r="W98" s="35"/>
      <c r="X98" s="35"/>
      <c r="Y98" s="35"/>
      <c r="Z98" s="35"/>
    </row>
    <row r="99" spans="1:26" s="16" customFormat="1" outlineLevel="1">
      <c r="A99" s="33" t="s">
        <v>872</v>
      </c>
      <c r="B99" s="34">
        <f>COUNTA($B$1:B98)</f>
        <v>92</v>
      </c>
      <c r="C99" s="35" t="s">
        <v>171</v>
      </c>
      <c r="D99" s="35"/>
      <c r="E99" s="35"/>
      <c r="F99" s="34"/>
      <c r="G99" s="35" t="s">
        <v>870</v>
      </c>
      <c r="H99" s="35"/>
      <c r="I99" s="35" t="s">
        <v>55</v>
      </c>
      <c r="J99" s="35" t="s">
        <v>880</v>
      </c>
      <c r="K99" s="34">
        <v>0</v>
      </c>
      <c r="L99" s="35" t="s">
        <v>147</v>
      </c>
      <c r="M99" s="36"/>
      <c r="N99" s="35"/>
      <c r="O99" s="35"/>
      <c r="P99" s="35"/>
      <c r="Q99" s="35"/>
      <c r="R99" s="36"/>
      <c r="S99" s="35"/>
      <c r="T99" s="35"/>
      <c r="U99" s="35"/>
      <c r="V99" s="35"/>
      <c r="W99" s="35"/>
      <c r="X99" s="35"/>
      <c r="Y99" s="35"/>
      <c r="Z99" s="35"/>
    </row>
    <row r="100" spans="1:26">
      <c r="A100" s="33" t="s">
        <v>872</v>
      </c>
      <c r="B100" s="34">
        <f>COUNTA($B$1:B99)</f>
        <v>93</v>
      </c>
      <c r="C100" s="35" t="s">
        <v>881</v>
      </c>
      <c r="D100" s="51"/>
      <c r="E100" s="52" t="s">
        <v>154</v>
      </c>
      <c r="F100" s="38"/>
      <c r="G100" s="35" t="s">
        <v>870</v>
      </c>
      <c r="H100" s="35"/>
      <c r="I100" s="35" t="s">
        <v>55</v>
      </c>
      <c r="J100" s="35" t="s">
        <v>173</v>
      </c>
      <c r="K100" s="34">
        <v>0</v>
      </c>
      <c r="L100" s="35" t="s">
        <v>0</v>
      </c>
      <c r="M100" s="50" t="s">
        <v>174</v>
      </c>
      <c r="N100" s="35"/>
      <c r="O100" s="35"/>
      <c r="P100" s="35"/>
      <c r="Q100" s="35"/>
      <c r="R100" s="35"/>
      <c r="S100" s="35"/>
      <c r="T100" s="35" t="s">
        <v>2</v>
      </c>
      <c r="U100" s="35"/>
      <c r="V100" s="35"/>
      <c r="W100" s="35"/>
      <c r="X100" s="35"/>
      <c r="Y100" s="35"/>
      <c r="Z100" s="35"/>
    </row>
    <row r="101" spans="1:26">
      <c r="A101" s="33" t="s">
        <v>872</v>
      </c>
      <c r="B101" s="34">
        <f>COUNTA($B$1:B100)</f>
        <v>94</v>
      </c>
      <c r="C101" s="35" t="s">
        <v>882</v>
      </c>
      <c r="D101" s="51"/>
      <c r="E101" s="52" t="s">
        <v>154</v>
      </c>
      <c r="F101" s="38"/>
      <c r="G101" s="35" t="s">
        <v>870</v>
      </c>
      <c r="H101" s="35"/>
      <c r="I101" s="35" t="s">
        <v>55</v>
      </c>
      <c r="J101" s="35" t="s">
        <v>176</v>
      </c>
      <c r="K101" s="34">
        <v>0</v>
      </c>
      <c r="L101" s="35" t="s">
        <v>0</v>
      </c>
      <c r="M101" s="50" t="s">
        <v>177</v>
      </c>
      <c r="N101" s="35"/>
      <c r="O101" s="35"/>
      <c r="P101" s="35"/>
      <c r="Q101" s="35"/>
      <c r="R101" s="35"/>
      <c r="S101" s="35"/>
      <c r="T101" s="35" t="s">
        <v>2</v>
      </c>
      <c r="U101" s="35"/>
      <c r="V101" s="35"/>
      <c r="W101" s="35"/>
      <c r="X101" s="35"/>
      <c r="Y101" s="35"/>
      <c r="Z101" s="35"/>
    </row>
    <row r="102" spans="1:26">
      <c r="A102" s="33" t="s">
        <v>872</v>
      </c>
      <c r="B102" s="34">
        <f>COUNTA($B$1:B101)</f>
        <v>95</v>
      </c>
      <c r="C102" s="35" t="s">
        <v>883</v>
      </c>
      <c r="D102" s="35"/>
      <c r="E102" s="35"/>
      <c r="F102" s="34"/>
      <c r="G102" s="35" t="s">
        <v>870</v>
      </c>
      <c r="H102" s="35"/>
      <c r="I102" s="35" t="s">
        <v>55</v>
      </c>
      <c r="J102" s="35" t="s">
        <v>87</v>
      </c>
      <c r="K102" s="34">
        <v>0</v>
      </c>
      <c r="L102" s="35" t="s">
        <v>147</v>
      </c>
      <c r="M102" s="36"/>
      <c r="N102" s="35"/>
      <c r="O102" s="35"/>
      <c r="P102" s="35"/>
      <c r="Q102" s="35"/>
      <c r="R102" s="36"/>
      <c r="S102" s="35"/>
      <c r="T102" s="35"/>
      <c r="U102" s="35"/>
      <c r="V102" s="35"/>
      <c r="W102" s="35"/>
      <c r="X102" s="35"/>
      <c r="Y102" s="35"/>
      <c r="Z102" s="35"/>
    </row>
    <row r="103" spans="1:26">
      <c r="A103" s="33" t="s">
        <v>872</v>
      </c>
      <c r="B103" s="34">
        <f>COUNTA($B$1:B102)</f>
        <v>96</v>
      </c>
      <c r="C103" s="35" t="s">
        <v>67</v>
      </c>
      <c r="D103" s="35"/>
      <c r="E103" s="35"/>
      <c r="F103" s="34"/>
      <c r="G103" s="35" t="s">
        <v>870</v>
      </c>
      <c r="H103" s="35"/>
      <c r="I103" s="35"/>
      <c r="J103" s="35"/>
      <c r="K103" s="34"/>
      <c r="L103" s="35" t="s">
        <v>67</v>
      </c>
      <c r="M103" s="36">
        <v>10</v>
      </c>
      <c r="N103" s="35"/>
      <c r="O103" s="35"/>
      <c r="P103" s="35"/>
      <c r="Q103" s="35"/>
      <c r="R103" s="36"/>
      <c r="S103" s="35"/>
      <c r="T103" s="35"/>
      <c r="U103" s="35"/>
      <c r="V103" s="35"/>
      <c r="W103" s="35"/>
      <c r="X103" s="35"/>
      <c r="Y103" s="35"/>
      <c r="Z103" s="35"/>
    </row>
    <row r="104" spans="1:26" s="10" customFormat="1">
      <c r="A104" s="30" t="s">
        <v>933</v>
      </c>
      <c r="B104" s="190"/>
      <c r="C104" s="31"/>
      <c r="D104" s="32"/>
      <c r="E104" s="32"/>
      <c r="F104" s="31"/>
      <c r="G104" s="32"/>
      <c r="H104" s="32"/>
      <c r="I104" s="32"/>
      <c r="J104" s="32"/>
      <c r="K104" s="31"/>
      <c r="L104" s="32"/>
      <c r="M104" s="32"/>
      <c r="N104" s="32"/>
      <c r="O104" s="32"/>
      <c r="P104" s="32"/>
      <c r="Q104" s="32"/>
      <c r="R104" s="32"/>
      <c r="S104" s="32"/>
      <c r="T104" s="32"/>
      <c r="U104" s="32"/>
      <c r="V104" s="32"/>
      <c r="W104" s="32"/>
      <c r="X104" s="32"/>
      <c r="Y104" s="32"/>
      <c r="Z104" s="32"/>
    </row>
    <row r="105" spans="1:26" s="213" customFormat="1">
      <c r="A105" s="220" t="s">
        <v>872</v>
      </c>
      <c r="B105" s="209">
        <f>COUNTA($B$1:B104)</f>
        <v>97</v>
      </c>
      <c r="C105" s="210" t="s">
        <v>921</v>
      </c>
      <c r="D105" s="210"/>
      <c r="E105" s="210"/>
      <c r="F105" s="209"/>
      <c r="G105" s="210" t="s">
        <v>870</v>
      </c>
      <c r="H105" s="210"/>
      <c r="I105" s="210" t="s">
        <v>55</v>
      </c>
      <c r="J105" s="210" t="s">
        <v>907</v>
      </c>
      <c r="K105" s="209">
        <v>0</v>
      </c>
      <c r="L105" s="210" t="s">
        <v>147</v>
      </c>
      <c r="M105" s="214"/>
      <c r="N105" s="210"/>
      <c r="O105" s="210"/>
      <c r="P105" s="210"/>
      <c r="Q105" s="210"/>
      <c r="R105" s="210"/>
      <c r="S105" s="210"/>
      <c r="T105" s="210"/>
      <c r="U105" s="210"/>
      <c r="V105" s="210"/>
      <c r="W105" s="210"/>
      <c r="X105" s="210"/>
      <c r="Y105" s="210"/>
      <c r="Z105" s="210"/>
    </row>
    <row r="106" spans="1:26" s="213" customFormat="1">
      <c r="A106" s="220" t="s">
        <v>872</v>
      </c>
      <c r="B106" s="209">
        <f>COUNTA($B$1:B105)</f>
        <v>98</v>
      </c>
      <c r="C106" s="210" t="s">
        <v>916</v>
      </c>
      <c r="D106" s="215"/>
      <c r="E106" s="212"/>
      <c r="F106" s="209"/>
      <c r="G106" s="210" t="s">
        <v>870</v>
      </c>
      <c r="H106" s="210"/>
      <c r="I106" s="210" t="s">
        <v>55</v>
      </c>
      <c r="J106" s="210" t="s">
        <v>898</v>
      </c>
      <c r="K106" s="209">
        <v>0</v>
      </c>
      <c r="L106" s="210" t="s">
        <v>98</v>
      </c>
      <c r="M106" s="214"/>
      <c r="N106" s="210" t="s">
        <v>99</v>
      </c>
      <c r="O106" s="210"/>
      <c r="P106" s="210"/>
      <c r="Q106" s="210"/>
      <c r="R106" s="210" t="str">
        <f>M87</f>
        <v>Destination1</v>
      </c>
      <c r="S106" s="210"/>
      <c r="T106" s="210" t="s">
        <v>2</v>
      </c>
      <c r="U106" s="210"/>
      <c r="V106" s="210"/>
      <c r="W106" s="210"/>
      <c r="X106" s="210"/>
      <c r="Y106" s="210"/>
      <c r="Z106" s="210"/>
    </row>
    <row r="107" spans="1:26" s="213" customFormat="1">
      <c r="A107" s="220" t="s">
        <v>872</v>
      </c>
      <c r="B107" s="209">
        <f>COUNTA($B$1:B106)</f>
        <v>99</v>
      </c>
      <c r="C107" s="210" t="s">
        <v>914</v>
      </c>
      <c r="D107" s="215"/>
      <c r="E107" s="212"/>
      <c r="F107" s="209"/>
      <c r="G107" s="210" t="s">
        <v>870</v>
      </c>
      <c r="H107" s="210"/>
      <c r="I107" s="210" t="s">
        <v>55</v>
      </c>
      <c r="J107" s="210" t="s">
        <v>298</v>
      </c>
      <c r="K107" s="209">
        <v>0</v>
      </c>
      <c r="L107" s="210" t="s">
        <v>98</v>
      </c>
      <c r="M107" s="214"/>
      <c r="N107" s="210" t="s">
        <v>99</v>
      </c>
      <c r="O107" s="210"/>
      <c r="P107" s="210"/>
      <c r="Q107" s="210"/>
      <c r="R107" s="210" t="str">
        <f>TEXT(M90,"mm/dd/yyyy")</f>
        <v>DepDate1</v>
      </c>
      <c r="S107" s="210"/>
      <c r="T107" s="210" t="s">
        <v>2</v>
      </c>
      <c r="U107" s="210"/>
      <c r="V107" s="210"/>
      <c r="W107" s="210"/>
      <c r="X107" s="210"/>
      <c r="Y107" s="210"/>
      <c r="Z107" s="210"/>
    </row>
    <row r="108" spans="1:26" s="213" customFormat="1">
      <c r="A108" s="220" t="s">
        <v>872</v>
      </c>
      <c r="B108" s="209">
        <f>COUNTA($B$1:B107)</f>
        <v>100</v>
      </c>
      <c r="C108" s="210" t="s">
        <v>915</v>
      </c>
      <c r="D108" s="215"/>
      <c r="E108" s="212"/>
      <c r="F108" s="209"/>
      <c r="G108" s="210" t="s">
        <v>870</v>
      </c>
      <c r="H108" s="210"/>
      <c r="I108" s="210" t="s">
        <v>55</v>
      </c>
      <c r="J108" s="210" t="s">
        <v>300</v>
      </c>
      <c r="K108" s="209">
        <v>0</v>
      </c>
      <c r="L108" s="210" t="s">
        <v>98</v>
      </c>
      <c r="M108" s="214"/>
      <c r="N108" s="210" t="s">
        <v>99</v>
      </c>
      <c r="O108" s="210"/>
      <c r="P108" s="210"/>
      <c r="Q108" s="210"/>
      <c r="R108" s="210" t="str">
        <f>TEXT(M91,"mm/dd/yyyy")</f>
        <v>RetDate1</v>
      </c>
      <c r="S108" s="210"/>
      <c r="T108" s="210" t="s">
        <v>2</v>
      </c>
      <c r="U108" s="210"/>
      <c r="V108" s="210"/>
      <c r="W108" s="210"/>
      <c r="X108" s="210"/>
      <c r="Y108" s="210"/>
      <c r="Z108" s="210"/>
    </row>
    <row r="109" spans="1:26" s="213" customFormat="1">
      <c r="A109" s="220" t="s">
        <v>872</v>
      </c>
      <c r="B109" s="209">
        <f>COUNTA($B$1:B108)</f>
        <v>101</v>
      </c>
      <c r="C109" s="210" t="s">
        <v>913</v>
      </c>
      <c r="D109" s="215"/>
      <c r="E109" s="212"/>
      <c r="F109" s="209"/>
      <c r="G109" s="210" t="s">
        <v>870</v>
      </c>
      <c r="H109" s="210"/>
      <c r="I109" s="210" t="s">
        <v>55</v>
      </c>
      <c r="J109" s="210" t="s">
        <v>899</v>
      </c>
      <c r="K109" s="209">
        <v>0</v>
      </c>
      <c r="L109" s="210" t="s">
        <v>98</v>
      </c>
      <c r="M109" s="214"/>
      <c r="N109" s="210" t="s">
        <v>99</v>
      </c>
      <c r="O109" s="210"/>
      <c r="P109" s="210"/>
      <c r="Q109" s="210"/>
      <c r="R109" s="210"/>
      <c r="S109" s="210"/>
      <c r="T109" s="210"/>
      <c r="U109" s="210"/>
      <c r="V109" s="210"/>
      <c r="W109" s="210"/>
      <c r="X109" s="210"/>
      <c r="Y109" s="210"/>
      <c r="Z109" s="210"/>
    </row>
    <row r="110" spans="1:26" s="213" customFormat="1">
      <c r="A110" s="220" t="s">
        <v>872</v>
      </c>
      <c r="B110" s="209">
        <f>COUNTA($B$1:B109)</f>
        <v>102</v>
      </c>
      <c r="C110" s="210" t="s">
        <v>540</v>
      </c>
      <c r="D110" s="215"/>
      <c r="E110" s="212"/>
      <c r="F110" s="209"/>
      <c r="G110" s="210" t="s">
        <v>870</v>
      </c>
      <c r="H110" s="210"/>
      <c r="I110" s="210" t="s">
        <v>55</v>
      </c>
      <c r="J110" s="210" t="s">
        <v>901</v>
      </c>
      <c r="K110" s="209">
        <v>0</v>
      </c>
      <c r="L110" s="210" t="s">
        <v>98</v>
      </c>
      <c r="M110" s="214"/>
      <c r="N110" s="210" t="s">
        <v>99</v>
      </c>
      <c r="O110" s="210"/>
      <c r="P110" s="210"/>
      <c r="Q110" s="210"/>
      <c r="R110" s="210"/>
      <c r="S110" s="210"/>
      <c r="T110" s="210"/>
      <c r="U110" s="210"/>
      <c r="V110" s="210"/>
      <c r="W110" s="210"/>
      <c r="X110" s="210"/>
      <c r="Y110" s="210"/>
      <c r="Z110" s="210"/>
    </row>
    <row r="111" spans="1:26">
      <c r="A111" s="33" t="s">
        <v>872</v>
      </c>
      <c r="B111" s="198">
        <f>COUNTA($B$1:B110)</f>
        <v>103</v>
      </c>
      <c r="C111" s="53" t="s">
        <v>873</v>
      </c>
      <c r="D111" s="35"/>
      <c r="E111" s="35"/>
      <c r="F111" s="34"/>
      <c r="G111" s="35" t="s">
        <v>870</v>
      </c>
      <c r="H111" s="35"/>
      <c r="I111" s="35" t="s">
        <v>55</v>
      </c>
      <c r="J111" s="35" t="s">
        <v>874</v>
      </c>
      <c r="K111" s="34">
        <v>0</v>
      </c>
      <c r="L111" s="35" t="s">
        <v>147</v>
      </c>
      <c r="M111" s="36"/>
      <c r="N111" s="35"/>
      <c r="O111" s="35"/>
      <c r="P111" s="35"/>
      <c r="Q111" s="35"/>
      <c r="R111" s="35"/>
      <c r="S111" s="35"/>
      <c r="T111" s="35"/>
      <c r="U111" s="35"/>
      <c r="V111" s="35"/>
      <c r="W111" s="35"/>
      <c r="X111" s="35"/>
      <c r="Y111" s="35"/>
      <c r="Z111" s="35"/>
    </row>
    <row r="112" spans="1:26">
      <c r="A112" s="33" t="s">
        <v>872</v>
      </c>
      <c r="B112" s="34">
        <f>COUNTA($B$1:B111)</f>
        <v>104</v>
      </c>
      <c r="C112" s="35" t="s">
        <v>67</v>
      </c>
      <c r="D112" s="35"/>
      <c r="E112" s="35"/>
      <c r="F112" s="34"/>
      <c r="G112" s="35" t="s">
        <v>870</v>
      </c>
      <c r="H112" s="35"/>
      <c r="I112" s="35"/>
      <c r="J112" s="35"/>
      <c r="K112" s="34"/>
      <c r="L112" s="35" t="s">
        <v>67</v>
      </c>
      <c r="M112" s="36">
        <v>10</v>
      </c>
      <c r="N112" s="35"/>
      <c r="O112" s="35"/>
      <c r="P112" s="35"/>
      <c r="Q112" s="35"/>
      <c r="R112" s="35"/>
      <c r="S112" s="35"/>
      <c r="T112" s="35"/>
      <c r="U112" s="35"/>
      <c r="V112" s="35"/>
      <c r="W112" s="35"/>
      <c r="X112" s="35"/>
      <c r="Y112" s="35"/>
      <c r="Z112" s="35"/>
    </row>
    <row r="113" spans="1:26" s="17" customFormat="1">
      <c r="A113" s="30" t="s">
        <v>219</v>
      </c>
      <c r="B113" s="190"/>
      <c r="C113" s="31"/>
      <c r="D113" s="32"/>
      <c r="E113" s="32"/>
      <c r="F113" s="31"/>
      <c r="G113" s="32"/>
      <c r="H113" s="32"/>
      <c r="I113" s="32"/>
      <c r="J113" s="32"/>
      <c r="K113" s="31"/>
      <c r="L113" s="32"/>
      <c r="M113" s="32"/>
      <c r="N113" s="32"/>
      <c r="O113" s="32"/>
      <c r="P113" s="32"/>
      <c r="Q113" s="32"/>
      <c r="R113" s="32"/>
      <c r="S113" s="32"/>
      <c r="T113" s="32"/>
      <c r="U113" s="32"/>
      <c r="V113" s="32"/>
      <c r="W113" s="32"/>
      <c r="X113" s="32"/>
      <c r="Y113" s="32"/>
      <c r="Z113" s="32"/>
    </row>
    <row r="114" spans="1:26" s="213" customFormat="1">
      <c r="A114" s="220" t="s">
        <v>872</v>
      </c>
      <c r="B114" s="209">
        <f>COUNTA($B$1:B113)</f>
        <v>105</v>
      </c>
      <c r="C114" s="210" t="s">
        <v>921</v>
      </c>
      <c r="D114" s="210"/>
      <c r="E114" s="210"/>
      <c r="F114" s="209"/>
      <c r="G114" s="210" t="s">
        <v>870</v>
      </c>
      <c r="H114" s="210"/>
      <c r="I114" s="210" t="s">
        <v>55</v>
      </c>
      <c r="J114" s="210" t="s">
        <v>907</v>
      </c>
      <c r="K114" s="209">
        <v>0</v>
      </c>
      <c r="L114" s="210" t="s">
        <v>147</v>
      </c>
      <c r="M114" s="214"/>
      <c r="N114" s="210"/>
      <c r="O114" s="210"/>
      <c r="P114" s="210"/>
      <c r="Q114" s="210"/>
      <c r="R114" s="210"/>
      <c r="S114" s="210"/>
      <c r="T114" s="210"/>
      <c r="U114" s="210"/>
      <c r="V114" s="210"/>
      <c r="W114" s="210"/>
      <c r="X114" s="210"/>
      <c r="Y114" s="210"/>
      <c r="Z114" s="210"/>
    </row>
    <row r="115" spans="1:26" s="213" customFormat="1">
      <c r="A115" s="220" t="s">
        <v>872</v>
      </c>
      <c r="B115" s="209">
        <f>COUNTA($B$1:B114)</f>
        <v>106</v>
      </c>
      <c r="C115" s="210" t="s">
        <v>897</v>
      </c>
      <c r="D115" s="211"/>
      <c r="E115" s="212"/>
      <c r="F115" s="209"/>
      <c r="G115" s="210" t="s">
        <v>870</v>
      </c>
      <c r="H115" s="210"/>
      <c r="I115" s="210" t="s">
        <v>55</v>
      </c>
      <c r="J115" s="210" t="s">
        <v>898</v>
      </c>
      <c r="K115" s="209">
        <v>0</v>
      </c>
      <c r="L115" s="210" t="s">
        <v>98</v>
      </c>
      <c r="M115" s="210"/>
      <c r="N115" s="210" t="s">
        <v>99</v>
      </c>
      <c r="O115" s="210"/>
      <c r="P115" s="210"/>
      <c r="Q115" s="210"/>
      <c r="R115" s="210">
        <f>S106</f>
        <v>0</v>
      </c>
      <c r="S115" s="212"/>
      <c r="T115" s="210" t="s">
        <v>2</v>
      </c>
      <c r="U115" s="210"/>
      <c r="V115" s="210"/>
      <c r="W115" s="210"/>
      <c r="X115" s="212"/>
      <c r="Y115" s="212"/>
      <c r="Z115" s="212"/>
    </row>
    <row r="116" spans="1:26" s="213" customFormat="1">
      <c r="A116" s="220" t="s">
        <v>872</v>
      </c>
      <c r="B116" s="209">
        <f>COUNTA($B$1:B115)</f>
        <v>107</v>
      </c>
      <c r="C116" s="210" t="s">
        <v>297</v>
      </c>
      <c r="D116" s="215"/>
      <c r="E116" s="212"/>
      <c r="F116" s="209"/>
      <c r="G116" s="210" t="s">
        <v>870</v>
      </c>
      <c r="H116" s="210"/>
      <c r="I116" s="210" t="s">
        <v>55</v>
      </c>
      <c r="J116" s="210" t="s">
        <v>298</v>
      </c>
      <c r="K116" s="209">
        <v>0</v>
      </c>
      <c r="L116" s="210" t="s">
        <v>98</v>
      </c>
      <c r="M116" s="214"/>
      <c r="N116" s="210" t="s">
        <v>99</v>
      </c>
      <c r="O116" s="210"/>
      <c r="P116" s="210"/>
      <c r="Q116" s="210"/>
      <c r="R116" s="210">
        <f t="shared" ref="R116:R119" si="0">S107</f>
        <v>0</v>
      </c>
      <c r="S116" s="210"/>
      <c r="T116" s="210" t="s">
        <v>2</v>
      </c>
      <c r="U116" s="210"/>
      <c r="V116" s="210"/>
      <c r="W116" s="210"/>
      <c r="X116" s="210"/>
      <c r="Y116" s="210"/>
      <c r="Z116" s="210"/>
    </row>
    <row r="117" spans="1:26" s="213" customFormat="1">
      <c r="A117" s="220" t="s">
        <v>872</v>
      </c>
      <c r="B117" s="209">
        <f>COUNTA($B$1:B116)</f>
        <v>108</v>
      </c>
      <c r="C117" s="210" t="s">
        <v>299</v>
      </c>
      <c r="D117" s="215"/>
      <c r="E117" s="212"/>
      <c r="F117" s="209"/>
      <c r="G117" s="210" t="s">
        <v>870</v>
      </c>
      <c r="H117" s="210"/>
      <c r="I117" s="210" t="s">
        <v>55</v>
      </c>
      <c r="J117" s="210" t="s">
        <v>300</v>
      </c>
      <c r="K117" s="209">
        <v>0</v>
      </c>
      <c r="L117" s="210" t="s">
        <v>98</v>
      </c>
      <c r="M117" s="214"/>
      <c r="N117" s="210" t="s">
        <v>99</v>
      </c>
      <c r="O117" s="210"/>
      <c r="P117" s="210"/>
      <c r="Q117" s="210"/>
      <c r="R117" s="210">
        <f t="shared" si="0"/>
        <v>0</v>
      </c>
      <c r="S117" s="210"/>
      <c r="T117" s="210" t="s">
        <v>2</v>
      </c>
      <c r="U117" s="210"/>
      <c r="V117" s="210"/>
      <c r="W117" s="210"/>
      <c r="X117" s="210"/>
      <c r="Y117" s="210"/>
      <c r="Z117" s="210"/>
    </row>
    <row r="118" spans="1:26" s="213" customFormat="1">
      <c r="A118" s="220" t="s">
        <v>872</v>
      </c>
      <c r="B118" s="209">
        <f>COUNTA($B$1:B117)</f>
        <v>109</v>
      </c>
      <c r="C118" s="210" t="s">
        <v>903</v>
      </c>
      <c r="D118" s="215"/>
      <c r="E118" s="212"/>
      <c r="F118" s="209"/>
      <c r="G118" s="210" t="s">
        <v>870</v>
      </c>
      <c r="H118" s="210"/>
      <c r="I118" s="210" t="s">
        <v>55</v>
      </c>
      <c r="J118" s="210" t="s">
        <v>899</v>
      </c>
      <c r="K118" s="209">
        <v>0</v>
      </c>
      <c r="L118" s="210" t="s">
        <v>98</v>
      </c>
      <c r="M118" s="214"/>
      <c r="N118" s="210" t="s">
        <v>99</v>
      </c>
      <c r="O118" s="210"/>
      <c r="P118" s="210"/>
      <c r="Q118" s="210"/>
      <c r="R118" s="210">
        <f t="shared" si="0"/>
        <v>0</v>
      </c>
      <c r="S118" s="210"/>
      <c r="T118" s="210" t="s">
        <v>2</v>
      </c>
      <c r="U118" s="210"/>
      <c r="V118" s="210"/>
      <c r="W118" s="210"/>
      <c r="X118" s="210"/>
      <c r="Y118" s="210"/>
      <c r="Z118" s="210"/>
    </row>
    <row r="119" spans="1:26" s="213" customFormat="1">
      <c r="A119" s="220" t="s">
        <v>872</v>
      </c>
      <c r="B119" s="209">
        <f>COUNTA($B$1:B118)</f>
        <v>110</v>
      </c>
      <c r="C119" s="210" t="s">
        <v>923</v>
      </c>
      <c r="D119" s="215"/>
      <c r="E119" s="212"/>
      <c r="F119" s="209"/>
      <c r="G119" s="210" t="s">
        <v>870</v>
      </c>
      <c r="H119" s="210"/>
      <c r="I119" s="210" t="s">
        <v>55</v>
      </c>
      <c r="J119" s="210" t="s">
        <v>901</v>
      </c>
      <c r="K119" s="209">
        <v>0</v>
      </c>
      <c r="L119" s="210" t="s">
        <v>98</v>
      </c>
      <c r="M119" s="214"/>
      <c r="N119" s="210" t="s">
        <v>99</v>
      </c>
      <c r="O119" s="210"/>
      <c r="P119" s="210"/>
      <c r="Q119" s="210"/>
      <c r="R119" s="210">
        <f t="shared" si="0"/>
        <v>0</v>
      </c>
      <c r="S119" s="210"/>
      <c r="T119" s="210" t="s">
        <v>2</v>
      </c>
      <c r="U119" s="210"/>
      <c r="V119" s="210"/>
      <c r="W119" s="210"/>
      <c r="X119" s="210"/>
      <c r="Y119" s="210"/>
      <c r="Z119" s="210"/>
    </row>
    <row r="120" spans="1:26" s="213" customFormat="1">
      <c r="A120" s="220" t="s">
        <v>872</v>
      </c>
      <c r="B120" s="209">
        <f>COUNTA($B$1:B119)</f>
        <v>111</v>
      </c>
      <c r="C120" s="210" t="s">
        <v>301</v>
      </c>
      <c r="D120" s="215"/>
      <c r="E120" s="212"/>
      <c r="F120" s="209"/>
      <c r="G120" s="210" t="s">
        <v>870</v>
      </c>
      <c r="H120" s="210"/>
      <c r="I120" s="210" t="s">
        <v>55</v>
      </c>
      <c r="J120" s="210" t="s">
        <v>107</v>
      </c>
      <c r="K120" s="209">
        <v>0</v>
      </c>
      <c r="L120" s="210" t="s">
        <v>98</v>
      </c>
      <c r="M120" s="214"/>
      <c r="N120" s="210" t="s">
        <v>99</v>
      </c>
      <c r="O120" s="210"/>
      <c r="P120" s="210"/>
      <c r="Q120" s="210"/>
      <c r="R120" s="210"/>
      <c r="S120" s="210"/>
      <c r="T120" s="210"/>
      <c r="U120" s="210"/>
      <c r="V120" s="210"/>
      <c r="W120" s="210"/>
      <c r="X120" s="210"/>
      <c r="Y120" s="210"/>
      <c r="Z120" s="210"/>
    </row>
    <row r="121" spans="1:26" s="213" customFormat="1">
      <c r="A121" s="220" t="s">
        <v>872</v>
      </c>
      <c r="B121" s="209">
        <f>COUNTA($B$1:B120)</f>
        <v>112</v>
      </c>
      <c r="C121" s="210" t="s">
        <v>924</v>
      </c>
      <c r="D121" s="215"/>
      <c r="E121" s="212"/>
      <c r="F121" s="209"/>
      <c r="G121" s="210" t="s">
        <v>870</v>
      </c>
      <c r="H121" s="210"/>
      <c r="I121" s="210" t="s">
        <v>55</v>
      </c>
      <c r="J121" s="210" t="s">
        <v>838</v>
      </c>
      <c r="K121" s="209">
        <v>0</v>
      </c>
      <c r="L121" s="210" t="s">
        <v>98</v>
      </c>
      <c r="M121" s="214"/>
      <c r="N121" s="210" t="s">
        <v>99</v>
      </c>
      <c r="O121" s="210"/>
      <c r="P121" s="210"/>
      <c r="Q121" s="210"/>
      <c r="R121" s="210"/>
      <c r="S121" s="210"/>
      <c r="T121" s="210"/>
      <c r="U121" s="210"/>
      <c r="V121" s="210"/>
      <c r="W121" s="210"/>
      <c r="X121" s="210"/>
      <c r="Y121" s="210"/>
      <c r="Z121" s="210"/>
    </row>
    <row r="122" spans="1:26" s="213" customFormat="1">
      <c r="A122" s="220" t="s">
        <v>872</v>
      </c>
      <c r="B122" s="209">
        <f>COUNTA($B$1:B121)</f>
        <v>113</v>
      </c>
      <c r="C122" s="210" t="s">
        <v>310</v>
      </c>
      <c r="D122" s="215"/>
      <c r="E122" s="212"/>
      <c r="F122" s="209"/>
      <c r="G122" s="210" t="s">
        <v>870</v>
      </c>
      <c r="H122" s="210"/>
      <c r="I122" s="210" t="s">
        <v>55</v>
      </c>
      <c r="J122" s="210" t="s">
        <v>574</v>
      </c>
      <c r="K122" s="209">
        <v>0</v>
      </c>
      <c r="L122" s="210" t="s">
        <v>98</v>
      </c>
      <c r="M122" s="214"/>
      <c r="N122" s="210" t="s">
        <v>99</v>
      </c>
      <c r="O122" s="210"/>
      <c r="P122" s="210"/>
      <c r="Q122" s="210"/>
      <c r="R122" s="210"/>
      <c r="S122" s="210"/>
      <c r="T122" s="210"/>
      <c r="U122" s="210"/>
      <c r="V122" s="210"/>
      <c r="W122" s="210"/>
      <c r="X122" s="210"/>
      <c r="Y122" s="210"/>
      <c r="Z122" s="210"/>
    </row>
    <row r="123" spans="1:26">
      <c r="A123" s="33" t="s">
        <v>872</v>
      </c>
      <c r="B123" s="198">
        <f>COUNTA($B$1:B122)</f>
        <v>114</v>
      </c>
      <c r="C123" s="35" t="s">
        <v>220</v>
      </c>
      <c r="D123" s="35"/>
      <c r="E123" s="35"/>
      <c r="F123" s="34"/>
      <c r="G123" s="35" t="s">
        <v>870</v>
      </c>
      <c r="H123" s="35"/>
      <c r="I123" s="35" t="s">
        <v>55</v>
      </c>
      <c r="J123" s="35" t="s">
        <v>221</v>
      </c>
      <c r="K123" s="34">
        <v>0</v>
      </c>
      <c r="L123" s="35" t="s">
        <v>0</v>
      </c>
      <c r="M123" s="50" t="s">
        <v>222</v>
      </c>
      <c r="N123" s="35"/>
      <c r="O123" s="35"/>
      <c r="P123" s="35"/>
      <c r="Q123" s="35"/>
      <c r="R123" s="52"/>
      <c r="S123" s="35"/>
      <c r="T123" s="35"/>
      <c r="U123" s="35"/>
      <c r="V123" s="35"/>
      <c r="W123" s="35"/>
      <c r="X123" s="35"/>
      <c r="Y123" s="35"/>
      <c r="Z123" s="35"/>
    </row>
    <row r="124" spans="1:26">
      <c r="A124" s="33" t="s">
        <v>872</v>
      </c>
      <c r="B124" s="34">
        <f>COUNTA($B$1:B123)</f>
        <v>115</v>
      </c>
      <c r="C124" s="35" t="s">
        <v>103</v>
      </c>
      <c r="D124" s="35"/>
      <c r="E124" s="35"/>
      <c r="F124" s="34"/>
      <c r="G124" s="35" t="s">
        <v>870</v>
      </c>
      <c r="H124" s="35"/>
      <c r="I124" s="35" t="s">
        <v>55</v>
      </c>
      <c r="J124" s="35" t="s">
        <v>105</v>
      </c>
      <c r="K124" s="34">
        <v>0</v>
      </c>
      <c r="L124" s="35" t="s">
        <v>0</v>
      </c>
      <c r="M124" s="50" t="s">
        <v>223</v>
      </c>
      <c r="N124" s="35"/>
      <c r="O124" s="35"/>
      <c r="P124" s="35"/>
      <c r="Q124" s="35"/>
      <c r="R124" s="52"/>
      <c r="S124" s="35"/>
      <c r="T124" s="35"/>
      <c r="U124" s="35"/>
      <c r="V124" s="35"/>
      <c r="W124" s="35"/>
      <c r="X124" s="35"/>
      <c r="Y124" s="35"/>
      <c r="Z124" s="35"/>
    </row>
    <row r="125" spans="1:26" s="182" customFormat="1">
      <c r="A125" s="33" t="s">
        <v>872</v>
      </c>
      <c r="B125" s="34">
        <f>COUNTA($B$1:B124)</f>
        <v>116</v>
      </c>
      <c r="C125" s="35" t="s">
        <v>224</v>
      </c>
      <c r="D125" s="35"/>
      <c r="E125" s="35"/>
      <c r="F125" s="34"/>
      <c r="G125" s="35" t="s">
        <v>870</v>
      </c>
      <c r="H125" s="35"/>
      <c r="I125" s="35" t="s">
        <v>55</v>
      </c>
      <c r="J125" s="35" t="s">
        <v>83</v>
      </c>
      <c r="K125" s="34">
        <v>0</v>
      </c>
      <c r="L125" s="35" t="s">
        <v>0</v>
      </c>
      <c r="M125" s="50" t="s">
        <v>225</v>
      </c>
      <c r="N125" s="35"/>
      <c r="O125" s="35"/>
      <c r="P125" s="35"/>
      <c r="Q125" s="35"/>
      <c r="R125" s="52"/>
      <c r="S125" s="35"/>
      <c r="T125" s="35"/>
      <c r="U125" s="35"/>
      <c r="V125" s="35"/>
      <c r="W125" s="35"/>
      <c r="X125" s="35"/>
      <c r="Y125" s="35"/>
      <c r="Z125" s="35"/>
    </row>
    <row r="126" spans="1:26" s="180" customFormat="1">
      <c r="A126" s="33" t="s">
        <v>872</v>
      </c>
      <c r="B126" s="34">
        <f>COUNTA($B$1:B125)</f>
        <v>117</v>
      </c>
      <c r="C126" s="35" t="s">
        <v>226</v>
      </c>
      <c r="D126" s="51"/>
      <c r="E126" s="52"/>
      <c r="F126" s="34"/>
      <c r="G126" s="35" t="s">
        <v>870</v>
      </c>
      <c r="H126" s="35"/>
      <c r="I126" s="35"/>
      <c r="J126" s="35"/>
      <c r="K126" s="34"/>
      <c r="L126" s="35" t="s">
        <v>227</v>
      </c>
      <c r="M126" s="36" t="s">
        <v>79</v>
      </c>
      <c r="N126" s="35"/>
      <c r="O126" s="35"/>
      <c r="P126" s="35"/>
      <c r="Q126" s="35"/>
      <c r="R126" s="35"/>
      <c r="S126" s="52"/>
      <c r="T126" s="35"/>
      <c r="U126" s="35"/>
      <c r="V126" s="35"/>
      <c r="W126" s="35"/>
      <c r="X126" s="52"/>
      <c r="Y126" s="52"/>
      <c r="Z126" s="52"/>
    </row>
    <row r="127" spans="1:26" s="180" customFormat="1">
      <c r="A127" s="33" t="s">
        <v>872</v>
      </c>
      <c r="B127" s="34">
        <f>COUNTA($B$1:B126)</f>
        <v>118</v>
      </c>
      <c r="C127" s="35" t="s">
        <v>67</v>
      </c>
      <c r="D127" s="35"/>
      <c r="E127" s="35"/>
      <c r="F127" s="34"/>
      <c r="G127" s="35" t="s">
        <v>870</v>
      </c>
      <c r="H127" s="35"/>
      <c r="I127" s="35"/>
      <c r="J127" s="35"/>
      <c r="K127" s="34"/>
      <c r="L127" s="35" t="s">
        <v>67</v>
      </c>
      <c r="M127" s="36">
        <v>2</v>
      </c>
      <c r="N127" s="35"/>
      <c r="O127" s="35"/>
      <c r="P127" s="35"/>
      <c r="Q127" s="35"/>
      <c r="R127" s="36"/>
      <c r="S127" s="35"/>
      <c r="T127" s="35"/>
      <c r="U127" s="35"/>
      <c r="V127" s="35"/>
      <c r="W127" s="35"/>
      <c r="X127" s="35"/>
      <c r="Y127" s="35"/>
      <c r="Z127" s="35"/>
    </row>
    <row r="128" spans="1:26" s="181" customFormat="1" outlineLevel="1">
      <c r="A128" s="33" t="s">
        <v>872</v>
      </c>
      <c r="B128" s="34">
        <f>COUNTA($B$1:B127)</f>
        <v>119</v>
      </c>
      <c r="C128" s="35" t="s">
        <v>228</v>
      </c>
      <c r="D128" s="35"/>
      <c r="E128" s="35"/>
      <c r="F128" s="34"/>
      <c r="G128" s="35" t="s">
        <v>870</v>
      </c>
      <c r="H128" s="35"/>
      <c r="I128" s="35" t="s">
        <v>55</v>
      </c>
      <c r="J128" s="35" t="s">
        <v>229</v>
      </c>
      <c r="K128" s="34">
        <v>0</v>
      </c>
      <c r="L128" s="35" t="s">
        <v>0</v>
      </c>
      <c r="M128" s="50" t="s">
        <v>230</v>
      </c>
      <c r="N128" s="35"/>
      <c r="O128" s="35"/>
      <c r="P128" s="35"/>
      <c r="Q128" s="35"/>
      <c r="R128" s="52"/>
      <c r="S128" s="35"/>
      <c r="T128" s="35"/>
      <c r="U128" s="35"/>
      <c r="V128" s="35"/>
      <c r="W128" s="35"/>
      <c r="X128" s="35"/>
      <c r="Y128" s="35"/>
      <c r="Z128" s="35"/>
    </row>
    <row r="129" spans="1:26">
      <c r="A129" s="33" t="s">
        <v>872</v>
      </c>
      <c r="B129" s="34">
        <f>COUNTA($B$1:B128)</f>
        <v>120</v>
      </c>
      <c r="C129" s="35" t="s">
        <v>89</v>
      </c>
      <c r="D129" s="35"/>
      <c r="E129" s="35"/>
      <c r="F129" s="34"/>
      <c r="G129" s="35" t="s">
        <v>870</v>
      </c>
      <c r="H129" s="35"/>
      <c r="I129" s="35" t="s">
        <v>55</v>
      </c>
      <c r="J129" s="35" t="s">
        <v>231</v>
      </c>
      <c r="K129" s="34">
        <v>0</v>
      </c>
      <c r="L129" s="35" t="s">
        <v>0</v>
      </c>
      <c r="M129" s="50" t="s">
        <v>104</v>
      </c>
      <c r="N129" s="35"/>
      <c r="O129" s="35"/>
      <c r="P129" s="35"/>
      <c r="Q129" s="35"/>
      <c r="R129" s="52"/>
      <c r="S129" s="35"/>
      <c r="T129" s="35"/>
      <c r="U129" s="35"/>
      <c r="V129" s="35"/>
      <c r="W129" s="35"/>
      <c r="X129" s="35"/>
      <c r="Y129" s="35"/>
      <c r="Z129" s="35"/>
    </row>
    <row r="130" spans="1:26" s="182" customFormat="1">
      <c r="A130" s="33" t="s">
        <v>872</v>
      </c>
      <c r="B130" s="34">
        <f>COUNTA($B$1:B129)</f>
        <v>121</v>
      </c>
      <c r="C130" s="35" t="s">
        <v>232</v>
      </c>
      <c r="D130" s="35"/>
      <c r="E130" s="35"/>
      <c r="F130" s="34"/>
      <c r="G130" s="35" t="s">
        <v>870</v>
      </c>
      <c r="H130" s="35"/>
      <c r="I130" s="35" t="s">
        <v>55</v>
      </c>
      <c r="J130" s="35" t="s">
        <v>233</v>
      </c>
      <c r="K130" s="34">
        <v>0</v>
      </c>
      <c r="L130" s="35" t="s">
        <v>0</v>
      </c>
      <c r="M130" s="50" t="s">
        <v>281</v>
      </c>
      <c r="N130" s="35"/>
      <c r="O130" s="35"/>
      <c r="P130" s="35"/>
      <c r="Q130" s="35"/>
      <c r="R130" s="52"/>
      <c r="S130" s="35"/>
      <c r="T130" s="35"/>
      <c r="U130" s="35"/>
      <c r="V130" s="35"/>
      <c r="W130" s="35"/>
      <c r="X130" s="35"/>
      <c r="Y130" s="35"/>
      <c r="Z130" s="35"/>
    </row>
    <row r="131" spans="1:26" s="180" customFormat="1">
      <c r="A131" s="33" t="s">
        <v>872</v>
      </c>
      <c r="B131" s="34">
        <f>COUNTA($B$1:B130)</f>
        <v>122</v>
      </c>
      <c r="C131" s="35" t="s">
        <v>235</v>
      </c>
      <c r="D131" s="35"/>
      <c r="E131" s="35"/>
      <c r="F131" s="34"/>
      <c r="G131" s="35" t="s">
        <v>870</v>
      </c>
      <c r="H131" s="35"/>
      <c r="I131" s="35" t="s">
        <v>55</v>
      </c>
      <c r="J131" s="35" t="s">
        <v>236</v>
      </c>
      <c r="K131" s="34">
        <v>0</v>
      </c>
      <c r="L131" s="35" t="s">
        <v>0</v>
      </c>
      <c r="M131" s="50" t="s">
        <v>282</v>
      </c>
      <c r="N131" s="35"/>
      <c r="O131" s="35"/>
      <c r="P131" s="35"/>
      <c r="Q131" s="35"/>
      <c r="R131" s="52"/>
      <c r="S131" s="35"/>
      <c r="T131" s="35"/>
      <c r="U131" s="35"/>
      <c r="V131" s="35"/>
      <c r="W131" s="35"/>
      <c r="X131" s="35"/>
      <c r="Y131" s="35"/>
      <c r="Z131" s="35"/>
    </row>
    <row r="132" spans="1:26">
      <c r="A132" s="33" t="s">
        <v>872</v>
      </c>
      <c r="B132" s="34">
        <f>COUNTA($B$1:B131)</f>
        <v>123</v>
      </c>
      <c r="C132" s="35" t="s">
        <v>238</v>
      </c>
      <c r="D132" s="35"/>
      <c r="E132" s="35"/>
      <c r="F132" s="34"/>
      <c r="G132" s="35" t="s">
        <v>870</v>
      </c>
      <c r="H132" s="35"/>
      <c r="I132" s="35" t="s">
        <v>55</v>
      </c>
      <c r="J132" s="35" t="s">
        <v>90</v>
      </c>
      <c r="K132" s="34">
        <v>0</v>
      </c>
      <c r="L132" s="35" t="s">
        <v>0</v>
      </c>
      <c r="M132" s="50" t="s">
        <v>283</v>
      </c>
      <c r="N132" s="35"/>
      <c r="O132" s="35"/>
      <c r="P132" s="35"/>
      <c r="Q132" s="35"/>
      <c r="R132" s="52"/>
      <c r="S132" s="35"/>
      <c r="T132" s="35"/>
      <c r="U132" s="35"/>
      <c r="V132" s="35"/>
      <c r="W132" s="35"/>
      <c r="X132" s="35"/>
      <c r="Y132" s="35"/>
      <c r="Z132" s="35"/>
    </row>
    <row r="133" spans="1:26">
      <c r="A133" s="33" t="s">
        <v>872</v>
      </c>
      <c r="B133" s="34">
        <f>COUNTA($B$1:B132)</f>
        <v>124</v>
      </c>
      <c r="C133" s="35" t="s">
        <v>876</v>
      </c>
      <c r="D133" s="35"/>
      <c r="E133" s="35"/>
      <c r="F133" s="34"/>
      <c r="G133" s="35" t="s">
        <v>870</v>
      </c>
      <c r="H133" s="35"/>
      <c r="I133" s="35" t="s">
        <v>55</v>
      </c>
      <c r="J133" s="35" t="s">
        <v>241</v>
      </c>
      <c r="K133" s="34">
        <v>0</v>
      </c>
      <c r="L133" s="35" t="s">
        <v>0</v>
      </c>
      <c r="M133" s="191" t="s">
        <v>877</v>
      </c>
      <c r="N133" s="35"/>
      <c r="O133" s="35"/>
      <c r="P133" s="35"/>
      <c r="Q133" s="35"/>
      <c r="R133" s="35"/>
      <c r="S133" s="35"/>
      <c r="T133" s="35"/>
      <c r="U133" s="35"/>
      <c r="V133" s="35"/>
      <c r="W133" s="35"/>
      <c r="X133" s="35"/>
      <c r="Y133" s="35"/>
      <c r="Z133" s="35"/>
    </row>
    <row r="134" spans="1:26">
      <c r="A134" s="33" t="s">
        <v>872</v>
      </c>
      <c r="B134" s="34">
        <f>COUNTA($B$1:B133)</f>
        <v>125</v>
      </c>
      <c r="C134" s="35" t="s">
        <v>286</v>
      </c>
      <c r="D134" s="35"/>
      <c r="E134" s="35"/>
      <c r="F134" s="34"/>
      <c r="G134" s="35" t="s">
        <v>870</v>
      </c>
      <c r="H134" s="35"/>
      <c r="I134" s="35" t="s">
        <v>55</v>
      </c>
      <c r="J134" s="35" t="s">
        <v>287</v>
      </c>
      <c r="K134" s="34">
        <v>0</v>
      </c>
      <c r="L134" s="35" t="s">
        <v>0</v>
      </c>
      <c r="M134" s="50" t="s">
        <v>288</v>
      </c>
      <c r="N134" s="35"/>
      <c r="O134" s="35"/>
      <c r="P134" s="35"/>
      <c r="Q134" s="35"/>
      <c r="R134" s="52"/>
      <c r="S134" s="35"/>
      <c r="T134" s="35"/>
      <c r="U134" s="35"/>
      <c r="V134" s="35"/>
      <c r="W134" s="35"/>
      <c r="X134" s="35"/>
      <c r="Y134" s="35"/>
      <c r="Z134" s="35"/>
    </row>
    <row r="135" spans="1:26">
      <c r="A135" s="33" t="s">
        <v>872</v>
      </c>
      <c r="B135" s="34">
        <f>COUNTA($B$1:B134)</f>
        <v>126</v>
      </c>
      <c r="C135" s="35" t="s">
        <v>289</v>
      </c>
      <c r="D135" s="35"/>
      <c r="E135" s="35"/>
      <c r="F135" s="34"/>
      <c r="G135" s="35" t="s">
        <v>870</v>
      </c>
      <c r="H135" s="35"/>
      <c r="I135" s="35" t="s">
        <v>55</v>
      </c>
      <c r="J135" s="35" t="s">
        <v>290</v>
      </c>
      <c r="K135" s="34">
        <v>0</v>
      </c>
      <c r="L135" s="35" t="s">
        <v>0</v>
      </c>
      <c r="M135" s="50" t="s">
        <v>291</v>
      </c>
      <c r="N135" s="35"/>
      <c r="O135" s="35"/>
      <c r="P135" s="35"/>
      <c r="Q135" s="35"/>
      <c r="R135" s="52"/>
      <c r="S135" s="35"/>
      <c r="T135" s="35"/>
      <c r="U135" s="35"/>
      <c r="V135" s="35"/>
      <c r="W135" s="35"/>
      <c r="X135" s="35"/>
      <c r="Y135" s="35"/>
      <c r="Z135" s="35"/>
    </row>
    <row r="136" spans="1:26">
      <c r="A136" s="33" t="s">
        <v>872</v>
      </c>
      <c r="B136" s="34">
        <f>COUNTA($B$1:B135)</f>
        <v>127</v>
      </c>
      <c r="C136" s="35" t="s">
        <v>292</v>
      </c>
      <c r="D136" s="35"/>
      <c r="E136" s="35"/>
      <c r="F136" s="34"/>
      <c r="G136" s="35" t="s">
        <v>870</v>
      </c>
      <c r="H136" s="35"/>
      <c r="I136" s="35" t="s">
        <v>55</v>
      </c>
      <c r="J136" s="35" t="s">
        <v>293</v>
      </c>
      <c r="K136" s="34">
        <v>0</v>
      </c>
      <c r="L136" s="35" t="s">
        <v>0</v>
      </c>
      <c r="M136" s="50" t="s">
        <v>698</v>
      </c>
      <c r="N136" s="35"/>
      <c r="O136" s="35"/>
      <c r="P136" s="35"/>
      <c r="Q136" s="35"/>
      <c r="R136" s="52"/>
      <c r="S136" s="35"/>
      <c r="T136" s="35"/>
      <c r="U136" s="35"/>
      <c r="V136" s="35"/>
      <c r="W136" s="35"/>
      <c r="X136" s="35"/>
      <c r="Y136" s="35"/>
      <c r="Z136" s="35"/>
    </row>
    <row r="137" spans="1:26">
      <c r="A137" s="33" t="s">
        <v>872</v>
      </c>
      <c r="B137" s="34">
        <f>COUNTA($B$1:B136)</f>
        <v>128</v>
      </c>
      <c r="C137" s="35" t="s">
        <v>190</v>
      </c>
      <c r="D137" s="35"/>
      <c r="E137" s="35"/>
      <c r="F137" s="34"/>
      <c r="G137" s="35" t="s">
        <v>870</v>
      </c>
      <c r="H137" s="35"/>
      <c r="I137" s="35" t="s">
        <v>55</v>
      </c>
      <c r="J137" s="35" t="s">
        <v>87</v>
      </c>
      <c r="K137" s="34">
        <v>0</v>
      </c>
      <c r="L137" s="35" t="s">
        <v>147</v>
      </c>
      <c r="M137" s="36"/>
      <c r="N137" s="35"/>
      <c r="O137" s="35"/>
      <c r="P137" s="35"/>
      <c r="Q137" s="35"/>
      <c r="R137" s="35"/>
      <c r="S137" s="35"/>
      <c r="T137" s="35"/>
      <c r="U137" s="35"/>
      <c r="V137" s="35"/>
      <c r="W137" s="35"/>
      <c r="X137" s="35"/>
      <c r="Y137" s="35"/>
      <c r="Z137" s="35"/>
    </row>
    <row r="138" spans="1:26">
      <c r="A138" s="33" t="s">
        <v>872</v>
      </c>
      <c r="B138" s="34">
        <f>COUNTA($B$1:B137)</f>
        <v>129</v>
      </c>
      <c r="C138" s="35" t="s">
        <v>67</v>
      </c>
      <c r="D138" s="35"/>
      <c r="E138" s="35"/>
      <c r="F138" s="34"/>
      <c r="G138" s="35" t="s">
        <v>870</v>
      </c>
      <c r="H138" s="35"/>
      <c r="I138" s="35"/>
      <c r="J138" s="35"/>
      <c r="K138" s="34"/>
      <c r="L138" s="35" t="s">
        <v>67</v>
      </c>
      <c r="M138" s="36">
        <v>2</v>
      </c>
      <c r="N138" s="35"/>
      <c r="O138" s="35"/>
      <c r="P138" s="35"/>
      <c r="Q138" s="35"/>
      <c r="R138" s="35"/>
      <c r="S138" s="35"/>
      <c r="T138" s="35"/>
      <c r="U138" s="35"/>
      <c r="V138" s="35"/>
      <c r="W138" s="35"/>
      <c r="X138" s="35"/>
      <c r="Y138" s="35"/>
      <c r="Z138" s="35"/>
    </row>
    <row r="139" spans="1:26">
      <c r="A139" s="30" t="s">
        <v>91</v>
      </c>
      <c r="B139" s="190"/>
      <c r="C139" s="31"/>
      <c r="D139" s="32"/>
      <c r="E139" s="32"/>
      <c r="F139" s="31"/>
      <c r="G139" s="32"/>
      <c r="H139" s="32"/>
      <c r="I139" s="32"/>
      <c r="J139" s="32"/>
      <c r="K139" s="31"/>
      <c r="L139" s="32"/>
      <c r="M139" s="32"/>
      <c r="N139" s="32"/>
      <c r="O139" s="32"/>
      <c r="P139" s="32"/>
      <c r="Q139" s="32"/>
      <c r="R139" s="32"/>
      <c r="S139" s="32"/>
      <c r="T139" s="32"/>
      <c r="U139" s="32"/>
      <c r="V139" s="32"/>
      <c r="W139" s="32"/>
      <c r="X139" s="32"/>
      <c r="Y139" s="32"/>
      <c r="Z139" s="32"/>
    </row>
    <row r="140" spans="1:26" s="213" customFormat="1">
      <c r="A140" s="208" t="s">
        <v>872</v>
      </c>
      <c r="B140" s="209">
        <f>COUNTA($B$1:B139)</f>
        <v>130</v>
      </c>
      <c r="C140" s="210" t="s">
        <v>295</v>
      </c>
      <c r="D140" s="215"/>
      <c r="E140" s="212"/>
      <c r="F140" s="209"/>
      <c r="G140" s="210" t="s">
        <v>870</v>
      </c>
      <c r="H140" s="210"/>
      <c r="I140" s="210" t="s">
        <v>55</v>
      </c>
      <c r="J140" s="210" t="s">
        <v>296</v>
      </c>
      <c r="K140" s="209">
        <v>0</v>
      </c>
      <c r="L140" s="210" t="s">
        <v>98</v>
      </c>
      <c r="M140" s="214"/>
      <c r="N140" s="210" t="s">
        <v>99</v>
      </c>
      <c r="O140" s="210"/>
      <c r="P140" s="210"/>
      <c r="Q140" s="210"/>
      <c r="R140" s="210" t="str">
        <f>TEXT(S115,"")</f>
        <v/>
      </c>
      <c r="S140" s="210"/>
      <c r="T140" s="210" t="s">
        <v>2</v>
      </c>
      <c r="U140" s="210"/>
      <c r="V140" s="210"/>
      <c r="W140" s="210"/>
      <c r="X140" s="210"/>
      <c r="Y140" s="210"/>
      <c r="Z140" s="210"/>
    </row>
    <row r="141" spans="1:26" s="213" customFormat="1">
      <c r="A141" s="208" t="str">
        <f>IF(OR(Global!B2="PROD",Global!B2="UAT"),"N","bln694769")</f>
        <v>N</v>
      </c>
      <c r="B141" s="209">
        <f>COUNTA($B$1:B140)</f>
        <v>131</v>
      </c>
      <c r="C141" s="210" t="s">
        <v>954</v>
      </c>
      <c r="D141" s="215"/>
      <c r="E141" s="212"/>
      <c r="F141" s="209"/>
      <c r="G141" s="210" t="s">
        <v>870</v>
      </c>
      <c r="H141" s="210"/>
      <c r="I141" s="210" t="s">
        <v>55</v>
      </c>
      <c r="J141" s="210" t="s">
        <v>298</v>
      </c>
      <c r="K141" s="209">
        <v>2</v>
      </c>
      <c r="L141" s="210" t="s">
        <v>98</v>
      </c>
      <c r="M141" s="214"/>
      <c r="N141" s="210" t="s">
        <v>99</v>
      </c>
      <c r="O141" s="210"/>
      <c r="P141" s="210"/>
      <c r="Q141" s="210"/>
      <c r="R141" s="210" t="str">
        <f>TEXT(S116,"mm/dd/yyyy")</f>
        <v>01/00/1900</v>
      </c>
      <c r="S141" s="210"/>
      <c r="T141" s="210" t="s">
        <v>2</v>
      </c>
      <c r="U141" s="210"/>
      <c r="V141" s="210"/>
      <c r="W141" s="210"/>
      <c r="X141" s="210"/>
      <c r="Y141" s="210"/>
      <c r="Z141" s="210"/>
    </row>
    <row r="142" spans="1:26" s="213" customFormat="1">
      <c r="A142" s="208" t="str">
        <f>IF(OR(Global!B2="PROD",Global!B2="UAT"),"N","bln694769")</f>
        <v>N</v>
      </c>
      <c r="B142" s="209">
        <f>COUNTA($B$1:B141)</f>
        <v>132</v>
      </c>
      <c r="C142" s="210" t="s">
        <v>955</v>
      </c>
      <c r="D142" s="215"/>
      <c r="E142" s="212"/>
      <c r="F142" s="209"/>
      <c r="G142" s="210" t="s">
        <v>870</v>
      </c>
      <c r="H142" s="210"/>
      <c r="I142" s="210" t="s">
        <v>55</v>
      </c>
      <c r="J142" s="210" t="s">
        <v>300</v>
      </c>
      <c r="K142" s="209">
        <v>2</v>
      </c>
      <c r="L142" s="210" t="s">
        <v>98</v>
      </c>
      <c r="M142" s="214"/>
      <c r="N142" s="210" t="s">
        <v>99</v>
      </c>
      <c r="O142" s="210"/>
      <c r="P142" s="210"/>
      <c r="Q142" s="210"/>
      <c r="R142" s="210" t="str">
        <f>TEXT(S117,"mm/dd/yyyy")</f>
        <v>01/00/1900</v>
      </c>
      <c r="S142" s="210"/>
      <c r="T142" s="210" t="s">
        <v>2</v>
      </c>
      <c r="U142" s="210"/>
      <c r="V142" s="210"/>
      <c r="W142" s="210"/>
      <c r="X142" s="210"/>
      <c r="Y142" s="210"/>
      <c r="Z142" s="210"/>
    </row>
    <row r="143" spans="1:26" s="213" customFormat="1">
      <c r="A143" s="208" t="str">
        <f>IF(OR(Global!B2="QA"),"N","bln694769")</f>
        <v>bln694769</v>
      </c>
      <c r="B143" s="209">
        <f>COUNTA($B$1:B142)</f>
        <v>133</v>
      </c>
      <c r="C143" s="210" t="s">
        <v>956</v>
      </c>
      <c r="D143" s="215"/>
      <c r="E143" s="212"/>
      <c r="F143" s="209"/>
      <c r="G143" s="210" t="s">
        <v>870</v>
      </c>
      <c r="H143" s="210"/>
      <c r="I143" s="210" t="s">
        <v>55</v>
      </c>
      <c r="J143" s="210" t="s">
        <v>298</v>
      </c>
      <c r="K143" s="209">
        <v>1</v>
      </c>
      <c r="L143" s="210" t="s">
        <v>98</v>
      </c>
      <c r="M143" s="214"/>
      <c r="N143" s="210" t="s">
        <v>99</v>
      </c>
      <c r="O143" s="210"/>
      <c r="P143" s="210"/>
      <c r="Q143" s="210"/>
      <c r="R143" s="210" t="str">
        <f>TEXT(S116,"mm/dd/yyyy")</f>
        <v>01/00/1900</v>
      </c>
      <c r="S143" s="210"/>
      <c r="T143" s="210" t="s">
        <v>2</v>
      </c>
      <c r="U143" s="210"/>
      <c r="V143" s="210"/>
      <c r="W143" s="210"/>
      <c r="X143" s="210"/>
      <c r="Y143" s="210"/>
      <c r="Z143" s="210"/>
    </row>
    <row r="144" spans="1:26" s="213" customFormat="1">
      <c r="A144" s="208" t="str">
        <f>IF(OR(Global!B2="QA"),"N","bln694769")</f>
        <v>bln694769</v>
      </c>
      <c r="B144" s="209">
        <f>COUNTA($B$1:B143)</f>
        <v>134</v>
      </c>
      <c r="C144" s="210" t="s">
        <v>957</v>
      </c>
      <c r="D144" s="215"/>
      <c r="E144" s="212"/>
      <c r="F144" s="209"/>
      <c r="G144" s="210" t="s">
        <v>870</v>
      </c>
      <c r="H144" s="210"/>
      <c r="I144" s="210" t="s">
        <v>55</v>
      </c>
      <c r="J144" s="210" t="s">
        <v>300</v>
      </c>
      <c r="K144" s="209">
        <v>1</v>
      </c>
      <c r="L144" s="210" t="s">
        <v>98</v>
      </c>
      <c r="M144" s="214"/>
      <c r="N144" s="210" t="s">
        <v>99</v>
      </c>
      <c r="O144" s="210"/>
      <c r="P144" s="210"/>
      <c r="Q144" s="210"/>
      <c r="R144" s="210" t="str">
        <f>TEXT(S117,"mm/dd/yyyy")</f>
        <v>01/00/1900</v>
      </c>
      <c r="S144" s="210"/>
      <c r="T144" s="210" t="s">
        <v>2</v>
      </c>
      <c r="U144" s="210"/>
      <c r="V144" s="210"/>
      <c r="W144" s="210"/>
      <c r="X144" s="210"/>
      <c r="Y144" s="210"/>
      <c r="Z144" s="210"/>
    </row>
    <row r="145" spans="1:26" s="213" customFormat="1">
      <c r="A145" s="208" t="s">
        <v>872</v>
      </c>
      <c r="B145" s="209">
        <f>COUNTA($B$1:B144)</f>
        <v>135</v>
      </c>
      <c r="C145" s="210" t="s">
        <v>936</v>
      </c>
      <c r="D145" s="215"/>
      <c r="E145" s="212"/>
      <c r="F145" s="209"/>
      <c r="G145" s="210" t="s">
        <v>870</v>
      </c>
      <c r="H145" s="210"/>
      <c r="I145" s="210" t="s">
        <v>55</v>
      </c>
      <c r="J145" s="210" t="s">
        <v>935</v>
      </c>
      <c r="K145" s="209">
        <v>0</v>
      </c>
      <c r="L145" s="210" t="s">
        <v>98</v>
      </c>
      <c r="M145" s="214"/>
      <c r="N145" s="210" t="s">
        <v>99</v>
      </c>
      <c r="O145" s="210"/>
      <c r="P145" s="210"/>
      <c r="Q145" s="210"/>
      <c r="R145" s="210"/>
      <c r="S145" s="210"/>
      <c r="T145" s="210"/>
      <c r="U145" s="210"/>
      <c r="V145" s="210"/>
      <c r="W145" s="210"/>
      <c r="X145" s="210"/>
      <c r="Y145" s="210"/>
      <c r="Z145" s="210"/>
    </row>
    <row r="146" spans="1:26" s="213" customFormat="1">
      <c r="A146" s="208" t="s">
        <v>872</v>
      </c>
      <c r="B146" s="209">
        <f>COUNTA($B$1:B145)</f>
        <v>136</v>
      </c>
      <c r="C146" s="210" t="s">
        <v>937</v>
      </c>
      <c r="D146" s="211"/>
      <c r="E146" s="212" t="s">
        <v>154</v>
      </c>
      <c r="F146" s="209"/>
      <c r="G146" s="210" t="s">
        <v>870</v>
      </c>
      <c r="H146" s="210"/>
      <c r="I146" s="210" t="s">
        <v>55</v>
      </c>
      <c r="J146" s="210" t="s">
        <v>935</v>
      </c>
      <c r="K146" s="209">
        <v>1</v>
      </c>
      <c r="L146" s="210" t="s">
        <v>98</v>
      </c>
      <c r="M146" s="214"/>
      <c r="N146" s="210" t="s">
        <v>99</v>
      </c>
      <c r="O146" s="210"/>
      <c r="P146" s="210"/>
      <c r="Q146" s="210"/>
      <c r="R146" s="214"/>
      <c r="S146" s="212"/>
      <c r="T146" s="210"/>
      <c r="U146" s="210"/>
      <c r="V146" s="210"/>
      <c r="W146" s="210"/>
      <c r="X146" s="210"/>
      <c r="Y146" s="210"/>
      <c r="Z146" s="210"/>
    </row>
    <row r="147" spans="1:26" s="213" customFormat="1">
      <c r="A147" s="208" t="s">
        <v>872</v>
      </c>
      <c r="B147" s="209">
        <f>COUNTA($B$1:B146)</f>
        <v>137</v>
      </c>
      <c r="C147" s="210" t="s">
        <v>938</v>
      </c>
      <c r="D147" s="211"/>
      <c r="E147" s="212" t="s">
        <v>154</v>
      </c>
      <c r="F147" s="209"/>
      <c r="G147" s="210" t="s">
        <v>870</v>
      </c>
      <c r="H147" s="210"/>
      <c r="I147" s="210" t="s">
        <v>55</v>
      </c>
      <c r="J147" s="210" t="s">
        <v>901</v>
      </c>
      <c r="K147" s="209">
        <v>1</v>
      </c>
      <c r="L147" s="210" t="s">
        <v>98</v>
      </c>
      <c r="M147" s="214"/>
      <c r="N147" s="210" t="s">
        <v>99</v>
      </c>
      <c r="O147" s="210"/>
      <c r="P147" s="210"/>
      <c r="Q147" s="210"/>
      <c r="R147" s="214">
        <f>S119</f>
        <v>0</v>
      </c>
      <c r="S147" s="212"/>
      <c r="T147" s="210" t="s">
        <v>2</v>
      </c>
      <c r="U147" s="210"/>
      <c r="V147" s="210"/>
      <c r="W147" s="210"/>
      <c r="X147" s="210"/>
      <c r="Y147" s="210"/>
      <c r="Z147" s="210"/>
    </row>
    <row r="148" spans="1:26" s="213" customFormat="1">
      <c r="A148" s="208" t="str">
        <f>IF(OR(Global!B2="PROD",Global!B2="UAT"),"N","bln694769")</f>
        <v>N</v>
      </c>
      <c r="B148" s="209">
        <f>COUNTA($B$1:B147)</f>
        <v>138</v>
      </c>
      <c r="C148" s="210" t="s">
        <v>958</v>
      </c>
      <c r="D148" s="211"/>
      <c r="E148" s="212" t="s">
        <v>154</v>
      </c>
      <c r="F148" s="209"/>
      <c r="G148" s="210" t="s">
        <v>870</v>
      </c>
      <c r="H148" s="210"/>
      <c r="I148" s="210" t="s">
        <v>55</v>
      </c>
      <c r="J148" s="210" t="s">
        <v>107</v>
      </c>
      <c r="K148" s="209">
        <v>2</v>
      </c>
      <c r="L148" s="210" t="s">
        <v>98</v>
      </c>
      <c r="M148" s="214"/>
      <c r="N148" s="210" t="s">
        <v>99</v>
      </c>
      <c r="O148" s="210"/>
      <c r="P148" s="210"/>
      <c r="Q148" s="210"/>
      <c r="R148" s="214" t="s">
        <v>873</v>
      </c>
      <c r="S148" s="212"/>
      <c r="T148" s="210" t="s">
        <v>2</v>
      </c>
      <c r="U148" s="210"/>
      <c r="V148" s="210"/>
      <c r="W148" s="210"/>
      <c r="X148" s="210"/>
      <c r="Y148" s="210"/>
      <c r="Z148" s="210"/>
    </row>
    <row r="149" spans="1:26" s="213" customFormat="1">
      <c r="A149" s="208" t="str">
        <f>IF(OR(Global!B2="QA"),"N","bln694769")</f>
        <v>bln694769</v>
      </c>
      <c r="B149" s="209">
        <f>COUNTA($B$1:B148)</f>
        <v>139</v>
      </c>
      <c r="C149" s="210" t="s">
        <v>959</v>
      </c>
      <c r="D149" s="211"/>
      <c r="E149" s="212" t="s">
        <v>154</v>
      </c>
      <c r="F149" s="209"/>
      <c r="G149" s="210" t="s">
        <v>870</v>
      </c>
      <c r="H149" s="210"/>
      <c r="I149" s="210" t="s">
        <v>55</v>
      </c>
      <c r="J149" s="210" t="s">
        <v>107</v>
      </c>
      <c r="K149" s="209">
        <v>1</v>
      </c>
      <c r="L149" s="210" t="s">
        <v>98</v>
      </c>
      <c r="M149" s="214"/>
      <c r="N149" s="210" t="s">
        <v>99</v>
      </c>
      <c r="O149" s="210"/>
      <c r="P149" s="210"/>
      <c r="Q149" s="210"/>
      <c r="R149" s="214" t="s">
        <v>873</v>
      </c>
      <c r="S149" s="212"/>
      <c r="T149" s="210" t="s">
        <v>2</v>
      </c>
      <c r="U149" s="210"/>
      <c r="V149" s="210"/>
      <c r="W149" s="210"/>
      <c r="X149" s="210"/>
      <c r="Y149" s="210"/>
      <c r="Z149" s="210"/>
    </row>
    <row r="150" spans="1:26" s="213" customFormat="1">
      <c r="A150" s="208" t="s">
        <v>872</v>
      </c>
      <c r="B150" s="209">
        <f>COUNTA($B$1:B149)</f>
        <v>140</v>
      </c>
      <c r="C150" s="210" t="s">
        <v>310</v>
      </c>
      <c r="D150" s="211"/>
      <c r="E150" s="212"/>
      <c r="F150" s="209"/>
      <c r="G150" s="210" t="s">
        <v>870</v>
      </c>
      <c r="H150" s="210"/>
      <c r="I150" s="210" t="s">
        <v>55</v>
      </c>
      <c r="J150" s="210" t="s">
        <v>311</v>
      </c>
      <c r="K150" s="209">
        <v>0</v>
      </c>
      <c r="L150" s="210" t="s">
        <v>98</v>
      </c>
      <c r="M150" s="214"/>
      <c r="N150" s="210" t="s">
        <v>99</v>
      </c>
      <c r="O150" s="210"/>
      <c r="P150" s="210"/>
      <c r="Q150" s="210"/>
      <c r="R150" s="214">
        <f>S122</f>
        <v>0</v>
      </c>
      <c r="S150" s="210"/>
      <c r="T150" s="210"/>
      <c r="U150" s="210"/>
      <c r="V150" s="210"/>
      <c r="W150" s="210"/>
      <c r="X150" s="210"/>
      <c r="Y150" s="210"/>
      <c r="Z150" s="210"/>
    </row>
    <row r="151" spans="1:26">
      <c r="A151" s="33" t="s">
        <v>872</v>
      </c>
      <c r="B151" s="198">
        <f>COUNTA($B$1:B150)</f>
        <v>141</v>
      </c>
      <c r="C151" s="35" t="s">
        <v>93</v>
      </c>
      <c r="D151" s="35"/>
      <c r="E151" s="35"/>
      <c r="F151" s="34"/>
      <c r="G151" s="35" t="s">
        <v>870</v>
      </c>
      <c r="H151" s="35"/>
      <c r="I151" s="35" t="s">
        <v>55</v>
      </c>
      <c r="J151" s="35" t="s">
        <v>92</v>
      </c>
      <c r="K151" s="34">
        <v>0</v>
      </c>
      <c r="L151" s="35" t="s">
        <v>0</v>
      </c>
      <c r="M151" s="50" t="s">
        <v>261</v>
      </c>
      <c r="N151" s="35"/>
      <c r="O151" s="35"/>
      <c r="P151" s="35"/>
      <c r="Q151" s="35"/>
      <c r="R151" s="52"/>
      <c r="S151" s="35"/>
      <c r="T151" s="35"/>
      <c r="U151" s="35"/>
      <c r="V151" s="35"/>
      <c r="W151" s="35"/>
      <c r="X151" s="35"/>
      <c r="Y151" s="35"/>
      <c r="Z151" s="35"/>
    </row>
    <row r="152" spans="1:26">
      <c r="A152" s="33" t="s">
        <v>872</v>
      </c>
      <c r="B152" s="34">
        <f>COUNTA($B$1:B151)</f>
        <v>142</v>
      </c>
      <c r="C152" s="35" t="s">
        <v>262</v>
      </c>
      <c r="D152" s="35"/>
      <c r="E152" s="35"/>
      <c r="F152" s="34"/>
      <c r="G152" s="35" t="s">
        <v>870</v>
      </c>
      <c r="H152" s="35"/>
      <c r="I152" s="35"/>
      <c r="J152" s="35"/>
      <c r="K152" s="34">
        <v>0</v>
      </c>
      <c r="L152" s="35" t="s">
        <v>95</v>
      </c>
      <c r="M152" s="35"/>
      <c r="N152" s="35"/>
      <c r="O152" s="35"/>
      <c r="P152" s="35"/>
      <c r="Q152" s="35"/>
      <c r="R152" s="52"/>
      <c r="S152" s="35"/>
      <c r="T152" s="35"/>
      <c r="U152" s="35"/>
      <c r="V152" s="35"/>
      <c r="W152" s="35"/>
      <c r="X152" s="35"/>
      <c r="Y152" s="35"/>
      <c r="Z152" s="35"/>
    </row>
    <row r="153" spans="1:26">
      <c r="A153" s="33" t="s">
        <v>872</v>
      </c>
      <c r="B153" s="34">
        <f>COUNTA($B$1:B152)</f>
        <v>143</v>
      </c>
      <c r="C153" s="35" t="s">
        <v>94</v>
      </c>
      <c r="D153" s="35"/>
      <c r="E153" s="35"/>
      <c r="F153" s="34"/>
      <c r="G153" s="35" t="s">
        <v>870</v>
      </c>
      <c r="H153" s="35"/>
      <c r="I153" s="35" t="s">
        <v>55</v>
      </c>
      <c r="J153" s="35" t="s">
        <v>263</v>
      </c>
      <c r="K153" s="34">
        <v>0</v>
      </c>
      <c r="L153" s="35" t="s">
        <v>0</v>
      </c>
      <c r="M153" s="50" t="s">
        <v>264</v>
      </c>
      <c r="N153" s="35"/>
      <c r="O153" s="35"/>
      <c r="P153" s="35"/>
      <c r="Q153" s="35"/>
      <c r="R153" s="52"/>
      <c r="S153" s="35"/>
      <c r="T153" s="35"/>
      <c r="U153" s="35"/>
      <c r="V153" s="35"/>
      <c r="W153" s="35"/>
      <c r="X153" s="35"/>
      <c r="Y153" s="35"/>
      <c r="Z153" s="35"/>
    </row>
    <row r="154" spans="1:26">
      <c r="A154" s="33" t="s">
        <v>872</v>
      </c>
      <c r="B154" s="34">
        <f>COUNTA($B$1:B153)</f>
        <v>144</v>
      </c>
      <c r="C154" s="35" t="s">
        <v>262</v>
      </c>
      <c r="D154" s="35"/>
      <c r="E154" s="35"/>
      <c r="F154" s="34"/>
      <c r="G154" s="35" t="s">
        <v>870</v>
      </c>
      <c r="H154" s="35"/>
      <c r="I154" s="35"/>
      <c r="J154" s="35"/>
      <c r="K154" s="34">
        <v>0</v>
      </c>
      <c r="L154" s="35" t="s">
        <v>96</v>
      </c>
      <c r="M154" s="35"/>
      <c r="N154" s="35"/>
      <c r="O154" s="35"/>
      <c r="P154" s="35"/>
      <c r="Q154" s="35"/>
      <c r="R154" s="52"/>
      <c r="S154" s="35"/>
      <c r="T154" s="35"/>
      <c r="U154" s="35"/>
      <c r="V154" s="35"/>
      <c r="W154" s="35"/>
      <c r="X154" s="35"/>
      <c r="Y154" s="35"/>
      <c r="Z154" s="35"/>
    </row>
    <row r="155" spans="1:26">
      <c r="A155" s="33" t="s">
        <v>872</v>
      </c>
      <c r="B155" s="34">
        <f>COUNTA($B$1:B154)</f>
        <v>145</v>
      </c>
      <c r="C155" s="35" t="s">
        <v>262</v>
      </c>
      <c r="D155" s="35"/>
      <c r="E155" s="35"/>
      <c r="F155" s="34"/>
      <c r="G155" s="35" t="s">
        <v>870</v>
      </c>
      <c r="H155" s="35"/>
      <c r="I155" s="35"/>
      <c r="J155" s="35"/>
      <c r="K155" s="34">
        <v>0</v>
      </c>
      <c r="L155" s="35" t="s">
        <v>95</v>
      </c>
      <c r="M155" s="35"/>
      <c r="N155" s="35"/>
      <c r="O155" s="35"/>
      <c r="P155" s="35"/>
      <c r="Q155" s="35"/>
      <c r="R155" s="52"/>
      <c r="S155" s="35"/>
      <c r="T155" s="35"/>
      <c r="U155" s="35"/>
      <c r="V155" s="35"/>
      <c r="W155" s="35"/>
      <c r="X155" s="35"/>
      <c r="Y155" s="35"/>
      <c r="Z155" s="35"/>
    </row>
    <row r="156" spans="1:26">
      <c r="A156" s="217" t="s">
        <v>21</v>
      </c>
      <c r="B156" s="218">
        <f>COUNTA($B$1:B155)</f>
        <v>146</v>
      </c>
      <c r="C156" s="219" t="s">
        <v>226</v>
      </c>
      <c r="D156" s="51"/>
      <c r="E156" s="52"/>
      <c r="F156" s="34"/>
      <c r="G156" s="35" t="s">
        <v>870</v>
      </c>
      <c r="H156" s="35"/>
      <c r="I156" s="35"/>
      <c r="J156" s="35"/>
      <c r="K156" s="34"/>
      <c r="L156" s="35" t="s">
        <v>227</v>
      </c>
      <c r="M156" s="36" t="s">
        <v>79</v>
      </c>
      <c r="N156" s="35"/>
      <c r="O156" s="35"/>
      <c r="P156" s="35"/>
      <c r="Q156" s="35"/>
      <c r="R156" s="35"/>
      <c r="S156" s="35"/>
      <c r="T156" s="35"/>
      <c r="U156" s="35"/>
      <c r="V156" s="35"/>
      <c r="W156" s="35"/>
      <c r="X156" s="35"/>
      <c r="Y156" s="35"/>
      <c r="Z156" s="35"/>
    </row>
    <row r="157" spans="1:26">
      <c r="A157" s="217" t="s">
        <v>21</v>
      </c>
      <c r="B157" s="218">
        <f>COUNTA($B$1:B156)</f>
        <v>147</v>
      </c>
      <c r="C157" s="219" t="s">
        <v>265</v>
      </c>
      <c r="D157" s="35"/>
      <c r="E157" s="35"/>
      <c r="F157" s="34"/>
      <c r="G157" s="35" t="s">
        <v>870</v>
      </c>
      <c r="H157" s="35"/>
      <c r="I157" s="35"/>
      <c r="J157" s="35"/>
      <c r="K157" s="34"/>
      <c r="L157" s="35" t="s">
        <v>227</v>
      </c>
      <c r="M157" s="50" t="s">
        <v>266</v>
      </c>
      <c r="N157" s="35"/>
      <c r="O157" s="35"/>
      <c r="P157" s="35"/>
      <c r="Q157" s="35"/>
      <c r="R157" s="52"/>
      <c r="S157" s="35"/>
      <c r="T157" s="35"/>
      <c r="U157" s="35"/>
      <c r="V157" s="35"/>
      <c r="W157" s="35"/>
      <c r="X157" s="35"/>
      <c r="Y157" s="35"/>
      <c r="Z157" s="35"/>
    </row>
    <row r="158" spans="1:26">
      <c r="A158" s="217" t="s">
        <v>21</v>
      </c>
      <c r="B158" s="218">
        <f>COUNTA($B$1:B157)</f>
        <v>148</v>
      </c>
      <c r="C158" s="219" t="s">
        <v>267</v>
      </c>
      <c r="D158" s="35"/>
      <c r="E158" s="35"/>
      <c r="F158" s="34"/>
      <c r="G158" s="35" t="s">
        <v>870</v>
      </c>
      <c r="H158" s="35"/>
      <c r="I158" s="35"/>
      <c r="J158" s="35"/>
      <c r="K158" s="34"/>
      <c r="L158" s="35" t="s">
        <v>227</v>
      </c>
      <c r="M158" s="50" t="s">
        <v>268</v>
      </c>
      <c r="N158" s="35"/>
      <c r="O158" s="35"/>
      <c r="P158" s="35"/>
      <c r="Q158" s="35"/>
      <c r="R158" s="52"/>
      <c r="S158" s="35"/>
      <c r="T158" s="35"/>
      <c r="U158" s="35"/>
      <c r="V158" s="35"/>
      <c r="W158" s="35"/>
      <c r="X158" s="35"/>
      <c r="Y158" s="35"/>
      <c r="Z158" s="35"/>
    </row>
    <row r="159" spans="1:26" s="19" customFormat="1" outlineLevel="1">
      <c r="A159" s="33" t="s">
        <v>872</v>
      </c>
      <c r="B159" s="34">
        <f>COUNTA($B$1:B158)</f>
        <v>149</v>
      </c>
      <c r="C159" s="35" t="s">
        <v>948</v>
      </c>
      <c r="D159" s="35"/>
      <c r="E159" s="35"/>
      <c r="F159" s="34"/>
      <c r="G159" s="35" t="s">
        <v>870</v>
      </c>
      <c r="H159" s="35"/>
      <c r="I159" s="35" t="s">
        <v>55</v>
      </c>
      <c r="J159" s="35" t="s">
        <v>949</v>
      </c>
      <c r="K159" s="34">
        <v>0</v>
      </c>
      <c r="L159" s="35" t="s">
        <v>34</v>
      </c>
      <c r="M159" s="35"/>
      <c r="N159" s="35"/>
      <c r="O159" s="35"/>
      <c r="P159" s="35"/>
      <c r="Q159" s="35"/>
      <c r="R159" s="35"/>
      <c r="S159" s="35"/>
      <c r="T159" s="35"/>
      <c r="U159" s="35"/>
      <c r="V159" s="35"/>
      <c r="W159" s="35"/>
      <c r="X159" s="35"/>
      <c r="Y159" s="35"/>
      <c r="Z159" s="35"/>
    </row>
    <row r="160" spans="1:26" s="19" customFormat="1" outlineLevel="1">
      <c r="A160" s="33" t="s">
        <v>872</v>
      </c>
      <c r="B160" s="34">
        <f>COUNTA($B$1:B159)</f>
        <v>150</v>
      </c>
      <c r="C160" s="35" t="s">
        <v>67</v>
      </c>
      <c r="D160" s="35"/>
      <c r="E160" s="35"/>
      <c r="F160" s="34"/>
      <c r="G160" s="35" t="s">
        <v>870</v>
      </c>
      <c r="H160" s="35"/>
      <c r="I160" s="35"/>
      <c r="J160" s="35"/>
      <c r="K160" s="34"/>
      <c r="L160" s="35" t="s">
        <v>67</v>
      </c>
      <c r="M160" s="36">
        <v>2</v>
      </c>
      <c r="N160" s="35"/>
      <c r="O160" s="35"/>
      <c r="P160" s="35"/>
      <c r="Q160" s="35"/>
      <c r="R160" s="35"/>
      <c r="S160" s="35"/>
      <c r="T160" s="35"/>
      <c r="U160" s="35"/>
      <c r="V160" s="35"/>
      <c r="W160" s="35"/>
      <c r="X160" s="35"/>
      <c r="Y160" s="35"/>
      <c r="Z160" s="35"/>
    </row>
    <row r="161" spans="1:26" s="19" customFormat="1" outlineLevel="1">
      <c r="A161" s="33" t="s">
        <v>872</v>
      </c>
      <c r="B161" s="34">
        <f>COUNTA($B$1:B160)</f>
        <v>151</v>
      </c>
      <c r="C161" s="35" t="s">
        <v>952</v>
      </c>
      <c r="D161" s="35"/>
      <c r="E161" s="35"/>
      <c r="F161" s="34"/>
      <c r="G161" s="35" t="s">
        <v>870</v>
      </c>
      <c r="H161" s="35"/>
      <c r="I161" s="35" t="s">
        <v>55</v>
      </c>
      <c r="J161" s="35" t="s">
        <v>949</v>
      </c>
      <c r="K161" s="34">
        <v>0</v>
      </c>
      <c r="L161" s="35" t="s">
        <v>951</v>
      </c>
      <c r="M161" s="50" t="s">
        <v>266</v>
      </c>
      <c r="N161" s="35"/>
      <c r="O161" s="35"/>
      <c r="P161" s="35"/>
      <c r="Q161" s="35"/>
      <c r="R161" s="35"/>
      <c r="S161" s="35"/>
      <c r="T161" s="35"/>
      <c r="U161" s="35"/>
      <c r="V161" s="35"/>
      <c r="W161" s="35"/>
      <c r="X161" s="35"/>
      <c r="Y161" s="35"/>
      <c r="Z161" s="35"/>
    </row>
    <row r="162" spans="1:26" s="19" customFormat="1" outlineLevel="1">
      <c r="A162" s="33" t="s">
        <v>872</v>
      </c>
      <c r="B162" s="34">
        <f>COUNTA($B$1:B161)</f>
        <v>152</v>
      </c>
      <c r="C162" s="35" t="s">
        <v>953</v>
      </c>
      <c r="D162" s="35"/>
      <c r="E162" s="35"/>
      <c r="F162" s="34"/>
      <c r="G162" s="35" t="s">
        <v>870</v>
      </c>
      <c r="H162" s="35"/>
      <c r="I162" s="35" t="s">
        <v>55</v>
      </c>
      <c r="J162" s="35" t="s">
        <v>949</v>
      </c>
      <c r="K162" s="34">
        <v>0</v>
      </c>
      <c r="L162" s="35" t="s">
        <v>951</v>
      </c>
      <c r="M162" s="50" t="s">
        <v>268</v>
      </c>
      <c r="N162" s="35"/>
      <c r="O162" s="35"/>
      <c r="P162" s="35"/>
      <c r="Q162" s="35"/>
      <c r="R162" s="35"/>
      <c r="S162" s="35"/>
      <c r="T162" s="35"/>
      <c r="U162" s="35"/>
      <c r="V162" s="35"/>
      <c r="W162" s="35"/>
      <c r="X162" s="35"/>
      <c r="Y162" s="35"/>
      <c r="Z162" s="35"/>
    </row>
    <row r="163" spans="1:26" s="19" customFormat="1" outlineLevel="1">
      <c r="A163" s="33" t="s">
        <v>872</v>
      </c>
      <c r="B163" s="34">
        <f>COUNTA($B$1:B162)</f>
        <v>153</v>
      </c>
      <c r="C163" s="35" t="s">
        <v>67</v>
      </c>
      <c r="D163" s="35"/>
      <c r="E163" s="35"/>
      <c r="F163" s="34"/>
      <c r="G163" s="35" t="s">
        <v>870</v>
      </c>
      <c r="H163" s="35"/>
      <c r="I163" s="35"/>
      <c r="J163" s="35"/>
      <c r="K163" s="34"/>
      <c r="L163" s="35" t="s">
        <v>67</v>
      </c>
      <c r="M163" s="36">
        <v>2</v>
      </c>
      <c r="N163" s="35"/>
      <c r="O163" s="35"/>
      <c r="P163" s="35"/>
      <c r="Q163" s="35"/>
      <c r="R163" s="35"/>
      <c r="S163" s="35"/>
      <c r="T163" s="35"/>
      <c r="U163" s="35"/>
      <c r="V163" s="35"/>
      <c r="W163" s="35"/>
      <c r="X163" s="35"/>
      <c r="Y163" s="35"/>
      <c r="Z163" s="35"/>
    </row>
    <row r="164" spans="1:26">
      <c r="A164" s="33" t="s">
        <v>872</v>
      </c>
      <c r="B164" s="34">
        <f>COUNTA($B$1:B163)</f>
        <v>154</v>
      </c>
      <c r="C164" s="35" t="s">
        <v>262</v>
      </c>
      <c r="D164" s="35"/>
      <c r="E164" s="35"/>
      <c r="F164" s="34"/>
      <c r="G164" s="35" t="s">
        <v>870</v>
      </c>
      <c r="H164" s="35"/>
      <c r="I164" s="35"/>
      <c r="J164" s="35"/>
      <c r="K164" s="34">
        <v>0</v>
      </c>
      <c r="L164" s="35" t="s">
        <v>96</v>
      </c>
      <c r="M164" s="35"/>
      <c r="N164" s="35"/>
      <c r="O164" s="35"/>
      <c r="P164" s="35"/>
      <c r="Q164" s="35"/>
      <c r="R164" s="52"/>
      <c r="S164" s="35"/>
      <c r="T164" s="35"/>
      <c r="U164" s="35"/>
      <c r="V164" s="35"/>
      <c r="W164" s="35"/>
      <c r="X164" s="35"/>
      <c r="Y164" s="35"/>
      <c r="Z164" s="35"/>
    </row>
    <row r="165" spans="1:26">
      <c r="A165" s="33" t="s">
        <v>872</v>
      </c>
      <c r="B165" s="34">
        <f>COUNTA($B$1:B164)</f>
        <v>155</v>
      </c>
      <c r="C165" s="35" t="s">
        <v>67</v>
      </c>
      <c r="D165" s="35"/>
      <c r="E165" s="35"/>
      <c r="F165" s="34"/>
      <c r="G165" s="35" t="s">
        <v>870</v>
      </c>
      <c r="H165" s="35"/>
      <c r="I165" s="35"/>
      <c r="J165" s="35"/>
      <c r="K165" s="34"/>
      <c r="L165" s="35" t="s">
        <v>67</v>
      </c>
      <c r="M165" s="36">
        <v>2</v>
      </c>
      <c r="N165" s="35"/>
      <c r="O165" s="35"/>
      <c r="P165" s="35"/>
      <c r="Q165" s="35"/>
      <c r="R165" s="36"/>
      <c r="S165" s="35"/>
      <c r="T165" s="35"/>
      <c r="U165" s="35"/>
      <c r="V165" s="35"/>
      <c r="W165" s="35"/>
      <c r="X165" s="35"/>
      <c r="Y165" s="35"/>
      <c r="Z165" s="35"/>
    </row>
    <row r="166" spans="1:26">
      <c r="A166" s="33" t="s">
        <v>872</v>
      </c>
      <c r="B166" s="34">
        <f>COUNTA($B$1:B165)</f>
        <v>156</v>
      </c>
      <c r="C166" s="35" t="s">
        <v>312</v>
      </c>
      <c r="D166" s="51"/>
      <c r="E166" s="52" t="s">
        <v>154</v>
      </c>
      <c r="F166" s="34"/>
      <c r="G166" s="35" t="s">
        <v>870</v>
      </c>
      <c r="H166" s="35"/>
      <c r="I166" s="35" t="s">
        <v>55</v>
      </c>
      <c r="J166" s="35" t="s">
        <v>313</v>
      </c>
      <c r="K166" s="34">
        <v>0</v>
      </c>
      <c r="L166" s="35" t="s">
        <v>878</v>
      </c>
      <c r="M166" s="36"/>
      <c r="N166" s="35"/>
      <c r="O166" s="35"/>
      <c r="P166" s="35"/>
      <c r="Q166" s="35"/>
      <c r="R166" s="35"/>
      <c r="S166" s="35"/>
      <c r="T166" s="35"/>
      <c r="U166" s="35"/>
      <c r="V166" s="35"/>
      <c r="W166" s="35"/>
      <c r="X166" s="35"/>
      <c r="Y166" s="35"/>
      <c r="Z166" s="35"/>
    </row>
    <row r="167" spans="1:26">
      <c r="A167" s="33" t="s">
        <v>872</v>
      </c>
      <c r="B167" s="34">
        <f>COUNTA($B$1:B166)</f>
        <v>157</v>
      </c>
      <c r="C167" s="35" t="s">
        <v>67</v>
      </c>
      <c r="D167" s="35"/>
      <c r="E167" s="35"/>
      <c r="F167" s="34"/>
      <c r="G167" s="35" t="s">
        <v>870</v>
      </c>
      <c r="H167" s="35"/>
      <c r="I167" s="35"/>
      <c r="J167" s="35"/>
      <c r="K167" s="34"/>
      <c r="L167" s="35" t="s">
        <v>67</v>
      </c>
      <c r="M167" s="36">
        <v>2</v>
      </c>
      <c r="N167" s="35"/>
      <c r="O167" s="35"/>
      <c r="P167" s="35"/>
      <c r="Q167" s="35"/>
      <c r="R167" s="36"/>
      <c r="S167" s="35"/>
      <c r="T167" s="35"/>
      <c r="U167" s="35"/>
      <c r="V167" s="35"/>
      <c r="W167" s="35"/>
      <c r="X167" s="35"/>
      <c r="Y167" s="35"/>
      <c r="Z167" s="35"/>
    </row>
    <row r="168" spans="1:26">
      <c r="A168" s="223" t="str" cm="1">
        <f t="array" ref="A168">_xlfn.IFS(Global!B2="QA","bln694769",Global!B2="UAT","bln694769",Global!B2="PROD","N")</f>
        <v>bln694769</v>
      </c>
      <c r="B168" s="34">
        <f>COUNTA($B$1:B167)</f>
        <v>158</v>
      </c>
      <c r="C168" s="35" t="s">
        <v>190</v>
      </c>
      <c r="D168" s="35"/>
      <c r="E168" s="35"/>
      <c r="F168" s="34"/>
      <c r="G168" s="35" t="s">
        <v>870</v>
      </c>
      <c r="H168" s="35"/>
      <c r="I168" s="35" t="s">
        <v>55</v>
      </c>
      <c r="J168" s="35" t="s">
        <v>87</v>
      </c>
      <c r="K168" s="34">
        <v>0</v>
      </c>
      <c r="L168" s="35" t="s">
        <v>147</v>
      </c>
      <c r="M168" s="36"/>
      <c r="N168" s="35"/>
      <c r="O168" s="35"/>
      <c r="P168" s="35"/>
      <c r="Q168" s="35"/>
      <c r="R168" s="35"/>
      <c r="S168" s="35"/>
      <c r="T168" s="35"/>
      <c r="U168" s="35"/>
      <c r="V168" s="35"/>
      <c r="W168" s="35"/>
      <c r="X168" s="35"/>
      <c r="Y168" s="35"/>
      <c r="Z168" s="35"/>
    </row>
    <row r="169" spans="1:26">
      <c r="A169" s="33" t="str">
        <f>A168</f>
        <v>bln694769</v>
      </c>
      <c r="B169" s="34">
        <f>COUNTA($B$1:B168)</f>
        <v>159</v>
      </c>
      <c r="C169" s="35" t="s">
        <v>67</v>
      </c>
      <c r="D169" s="35"/>
      <c r="E169" s="35"/>
      <c r="F169" s="34"/>
      <c r="G169" s="35" t="s">
        <v>870</v>
      </c>
      <c r="H169" s="35"/>
      <c r="I169" s="35"/>
      <c r="J169" s="35"/>
      <c r="K169" s="34"/>
      <c r="L169" s="35" t="s">
        <v>67</v>
      </c>
      <c r="M169" s="36">
        <v>10</v>
      </c>
      <c r="N169" s="35"/>
      <c r="O169" s="35"/>
      <c r="P169" s="35"/>
      <c r="Q169" s="35"/>
      <c r="R169" s="36"/>
      <c r="S169" s="35"/>
      <c r="T169" s="35"/>
      <c r="U169" s="35"/>
      <c r="V169" s="35"/>
      <c r="W169" s="35"/>
      <c r="X169" s="35"/>
      <c r="Y169" s="35"/>
      <c r="Z169" s="35"/>
    </row>
    <row r="170" spans="1:26">
      <c r="A170" s="30" t="s">
        <v>100</v>
      </c>
      <c r="B170" s="193"/>
      <c r="C170" s="31"/>
      <c r="D170" s="32"/>
      <c r="E170" s="32"/>
      <c r="F170" s="31"/>
      <c r="G170" s="32"/>
      <c r="H170" s="32"/>
      <c r="I170" s="32"/>
      <c r="J170" s="32"/>
      <c r="K170" s="31"/>
      <c r="L170" s="32"/>
      <c r="M170" s="32"/>
      <c r="N170" s="32"/>
      <c r="O170" s="32"/>
      <c r="P170" s="32"/>
      <c r="Q170" s="32"/>
      <c r="R170" s="32"/>
      <c r="S170" s="32"/>
      <c r="T170" s="32"/>
      <c r="U170" s="32"/>
      <c r="V170" s="32"/>
      <c r="W170" s="32"/>
      <c r="X170" s="32"/>
      <c r="Y170" s="32"/>
      <c r="Z170" s="32"/>
    </row>
    <row r="171" spans="1:26">
      <c r="A171" s="45" t="str">
        <f>A169</f>
        <v>bln694769</v>
      </c>
      <c r="B171" s="47">
        <f>COUNTA($B$1:B170)</f>
        <v>160</v>
      </c>
      <c r="C171" s="46" t="s">
        <v>140</v>
      </c>
      <c r="D171" s="46"/>
      <c r="E171" s="46"/>
      <c r="F171" s="47"/>
      <c r="G171" s="46" t="s">
        <v>870</v>
      </c>
      <c r="H171" s="46"/>
      <c r="I171" s="46" t="s">
        <v>55</v>
      </c>
      <c r="J171" s="46" t="s">
        <v>141</v>
      </c>
      <c r="K171" s="47"/>
      <c r="L171" s="46" t="s">
        <v>142</v>
      </c>
      <c r="M171" s="48"/>
      <c r="N171" s="46"/>
      <c r="O171" s="46" t="s">
        <v>2</v>
      </c>
      <c r="P171" s="46"/>
      <c r="Q171" s="46"/>
      <c r="R171" s="49"/>
      <c r="S171" s="46"/>
      <c r="T171" s="46"/>
      <c r="U171" s="46"/>
      <c r="V171" s="46"/>
      <c r="W171" s="46"/>
      <c r="X171" s="46"/>
      <c r="Y171" s="46"/>
      <c r="Z171" s="46"/>
    </row>
    <row r="172" spans="1:26">
      <c r="A172" s="45" t="str">
        <f>A171</f>
        <v>bln694769</v>
      </c>
      <c r="B172" s="47">
        <f>COUNTA($B$1:B171)</f>
        <v>161</v>
      </c>
      <c r="C172" s="46" t="s">
        <v>143</v>
      </c>
      <c r="D172" s="46"/>
      <c r="E172" s="46"/>
      <c r="F172" s="47"/>
      <c r="G172" s="46" t="s">
        <v>870</v>
      </c>
      <c r="H172" s="46"/>
      <c r="I172" s="46" t="s">
        <v>55</v>
      </c>
      <c r="J172" s="46" t="s">
        <v>141</v>
      </c>
      <c r="K172" s="47"/>
      <c r="L172" s="46" t="s">
        <v>98</v>
      </c>
      <c r="M172" s="48"/>
      <c r="N172" s="46" t="s">
        <v>99</v>
      </c>
      <c r="O172" s="46" t="s">
        <v>2</v>
      </c>
      <c r="P172" s="46"/>
      <c r="Q172" s="46"/>
      <c r="R172" s="49" t="s">
        <v>144</v>
      </c>
      <c r="S172" s="46"/>
      <c r="T172" s="46"/>
      <c r="U172" s="46"/>
      <c r="V172" s="46"/>
      <c r="W172" s="46"/>
      <c r="X172" s="46"/>
      <c r="Y172" s="46"/>
      <c r="Z172" s="46"/>
    </row>
    <row r="173" spans="1:26">
      <c r="A173" s="45" t="str">
        <f t="shared" ref="A173" si="1">A171</f>
        <v>bln694769</v>
      </c>
      <c r="B173" s="47">
        <f>COUNTA($B$1:B172)</f>
        <v>162</v>
      </c>
      <c r="C173" s="46" t="s">
        <v>145</v>
      </c>
      <c r="D173" s="46"/>
      <c r="E173" s="46"/>
      <c r="F173" s="47"/>
      <c r="G173" s="46" t="s">
        <v>870</v>
      </c>
      <c r="H173" s="46"/>
      <c r="I173" s="46" t="s">
        <v>55</v>
      </c>
      <c r="J173" s="46" t="s">
        <v>146</v>
      </c>
      <c r="K173" s="47"/>
      <c r="L173" s="46" t="s">
        <v>147</v>
      </c>
      <c r="M173" s="48"/>
      <c r="N173" s="46"/>
      <c r="O173" s="46" t="s">
        <v>2</v>
      </c>
      <c r="P173" s="46"/>
      <c r="Q173" s="46"/>
      <c r="R173" s="48"/>
      <c r="S173" s="46"/>
      <c r="T173" s="46"/>
      <c r="U173" s="46"/>
      <c r="V173" s="46"/>
      <c r="W173" s="46"/>
      <c r="X173" s="46"/>
      <c r="Y173" s="46"/>
      <c r="Z173" s="46"/>
    </row>
    <row r="174" spans="1:26">
      <c r="A174" s="33" t="str">
        <f>A173</f>
        <v>bln694769</v>
      </c>
      <c r="B174" s="34">
        <f>COUNTA($B$1:B173)</f>
        <v>163</v>
      </c>
      <c r="C174" s="194" t="s">
        <v>884</v>
      </c>
      <c r="D174" s="35"/>
      <c r="E174" s="35"/>
      <c r="F174" s="34"/>
      <c r="G174" s="35" t="s">
        <v>870</v>
      </c>
      <c r="H174" s="35"/>
      <c r="I174" s="35"/>
      <c r="J174" s="35"/>
      <c r="K174" s="42"/>
      <c r="L174" s="35" t="s">
        <v>393</v>
      </c>
      <c r="M174" s="70" t="str">
        <f>Global!B9 &amp; "AirNewZealandLogo.png"</f>
        <v>Travel EX Migration_AEM Regression_UATAirNewZealandLogo.png</v>
      </c>
      <c r="N174" s="35"/>
      <c r="O174" s="35"/>
      <c r="P174" s="35"/>
      <c r="Q174" s="35"/>
      <c r="R174" s="55"/>
      <c r="S174" s="35"/>
      <c r="T174" s="35"/>
      <c r="U174" s="35"/>
      <c r="V174" s="35"/>
      <c r="W174" s="35"/>
      <c r="X174" s="35"/>
      <c r="Y174" s="35"/>
      <c r="Z174" s="35"/>
    </row>
    <row r="175" spans="1:26">
      <c r="A175" s="33" t="str">
        <f t="shared" ref="A175:A199" si="2">A174</f>
        <v>bln694769</v>
      </c>
      <c r="B175" s="34">
        <f>COUNTA($B$1:B174)</f>
        <v>164</v>
      </c>
      <c r="C175" s="195" t="s">
        <v>317</v>
      </c>
      <c r="D175" s="57"/>
      <c r="E175" s="58" t="s">
        <v>154</v>
      </c>
      <c r="F175" s="59"/>
      <c r="G175" s="35" t="s">
        <v>870</v>
      </c>
      <c r="H175" s="56"/>
      <c r="I175" s="56" t="s">
        <v>55</v>
      </c>
      <c r="J175" s="56" t="s">
        <v>456</v>
      </c>
      <c r="K175" s="34">
        <v>0</v>
      </c>
      <c r="L175" s="56" t="s">
        <v>98</v>
      </c>
      <c r="M175" s="56"/>
      <c r="N175" s="56" t="s">
        <v>99</v>
      </c>
      <c r="O175" s="56"/>
      <c r="P175" s="56"/>
      <c r="Q175" s="56"/>
      <c r="R175" s="58" t="s">
        <v>319</v>
      </c>
      <c r="S175" s="58" t="s">
        <v>319</v>
      </c>
      <c r="T175" s="56" t="s">
        <v>2</v>
      </c>
      <c r="U175" s="56"/>
      <c r="V175" s="56"/>
      <c r="W175" s="35"/>
      <c r="X175" s="35"/>
      <c r="Y175" s="35"/>
      <c r="Z175" s="35"/>
    </row>
    <row r="176" spans="1:26">
      <c r="A176" s="33" t="str">
        <f t="shared" si="2"/>
        <v>bln694769</v>
      </c>
      <c r="B176" s="34">
        <f>COUNTA($B$1:B175)</f>
        <v>165</v>
      </c>
      <c r="C176" s="195" t="s">
        <v>320</v>
      </c>
      <c r="D176" s="57"/>
      <c r="E176" s="58" t="s">
        <v>154</v>
      </c>
      <c r="F176" s="59"/>
      <c r="G176" s="35" t="s">
        <v>870</v>
      </c>
      <c r="H176" s="56"/>
      <c r="I176" s="56" t="s">
        <v>55</v>
      </c>
      <c r="J176" s="56" t="s">
        <v>885</v>
      </c>
      <c r="K176" s="34">
        <v>0</v>
      </c>
      <c r="L176" s="56" t="s">
        <v>98</v>
      </c>
      <c r="M176" s="56"/>
      <c r="N176" s="56" t="s">
        <v>99</v>
      </c>
      <c r="O176" s="56"/>
      <c r="P176" s="56"/>
      <c r="Q176" s="56"/>
      <c r="R176" s="58" t="s">
        <v>322</v>
      </c>
      <c r="S176" s="58" t="s">
        <v>322</v>
      </c>
      <c r="T176" s="56" t="s">
        <v>2</v>
      </c>
      <c r="U176" s="56"/>
      <c r="V176" s="56"/>
      <c r="W176" s="35"/>
      <c r="X176" s="35"/>
      <c r="Y176" s="35"/>
      <c r="Z176" s="35"/>
    </row>
    <row r="177" spans="1:26">
      <c r="A177" s="33" t="str">
        <f t="shared" si="2"/>
        <v>bln694769</v>
      </c>
      <c r="B177" s="34">
        <f>COUNTA($B$1:B176)</f>
        <v>166</v>
      </c>
      <c r="C177" s="195" t="s">
        <v>323</v>
      </c>
      <c r="D177" s="57"/>
      <c r="E177" s="58"/>
      <c r="F177" s="59"/>
      <c r="G177" s="35" t="s">
        <v>870</v>
      </c>
      <c r="H177" s="56"/>
      <c r="I177" s="56" t="s">
        <v>55</v>
      </c>
      <c r="J177" s="56" t="s">
        <v>534</v>
      </c>
      <c r="K177" s="34">
        <v>0</v>
      </c>
      <c r="L177" s="56" t="s">
        <v>98</v>
      </c>
      <c r="M177" s="56"/>
      <c r="N177" s="56" t="s">
        <v>99</v>
      </c>
      <c r="O177" s="56"/>
      <c r="P177" s="56"/>
      <c r="Q177" s="56"/>
      <c r="R177" s="58" t="s">
        <v>101</v>
      </c>
      <c r="S177" s="56"/>
      <c r="T177" s="56" t="s">
        <v>2</v>
      </c>
      <c r="U177" s="56"/>
      <c r="V177" s="56"/>
      <c r="W177" s="35"/>
      <c r="X177" s="35"/>
      <c r="Y177" s="35"/>
      <c r="Z177" s="35"/>
    </row>
    <row r="178" spans="1:26">
      <c r="A178" s="33" t="str">
        <f t="shared" si="2"/>
        <v>bln694769</v>
      </c>
      <c r="B178" s="34">
        <f>COUNTA($B$1:B177)</f>
        <v>167</v>
      </c>
      <c r="C178" s="195" t="s">
        <v>325</v>
      </c>
      <c r="D178" s="57"/>
      <c r="E178" s="58"/>
      <c r="F178" s="59"/>
      <c r="G178" s="35" t="s">
        <v>870</v>
      </c>
      <c r="H178" s="56"/>
      <c r="I178" s="56" t="s">
        <v>55</v>
      </c>
      <c r="J178" s="56" t="s">
        <v>326</v>
      </c>
      <c r="K178" s="34">
        <v>0</v>
      </c>
      <c r="L178" s="56" t="s">
        <v>98</v>
      </c>
      <c r="M178" s="56"/>
      <c r="N178" s="56" t="s">
        <v>99</v>
      </c>
      <c r="O178" s="56"/>
      <c r="P178" s="56"/>
      <c r="Q178" s="56"/>
      <c r="R178" s="58" t="s">
        <v>322</v>
      </c>
      <c r="S178" s="56"/>
      <c r="T178" s="56" t="s">
        <v>2</v>
      </c>
      <c r="U178" s="56"/>
      <c r="V178" s="56"/>
      <c r="W178" s="35"/>
      <c r="X178" s="52"/>
      <c r="Y178" s="52"/>
      <c r="Z178" s="52"/>
    </row>
    <row r="179" spans="1:26">
      <c r="A179" s="33" t="str">
        <f t="shared" si="2"/>
        <v>bln694769</v>
      </c>
      <c r="B179" s="34">
        <f>COUNTA($B$1:B178)</f>
        <v>168</v>
      </c>
      <c r="C179" s="194" t="s">
        <v>327</v>
      </c>
      <c r="D179" s="51"/>
      <c r="E179" s="52"/>
      <c r="F179" s="34"/>
      <c r="G179" s="35" t="s">
        <v>870</v>
      </c>
      <c r="H179" s="35"/>
      <c r="I179" s="35" t="s">
        <v>55</v>
      </c>
      <c r="J179" s="35" t="s">
        <v>328</v>
      </c>
      <c r="K179" s="34">
        <v>0</v>
      </c>
      <c r="L179" s="35" t="s">
        <v>98</v>
      </c>
      <c r="M179" s="35"/>
      <c r="N179" s="35" t="s">
        <v>99</v>
      </c>
      <c r="O179" s="35"/>
      <c r="P179" s="35"/>
      <c r="Q179" s="35"/>
      <c r="R179" s="35"/>
      <c r="S179" s="196" t="s">
        <v>329</v>
      </c>
      <c r="T179" s="35"/>
      <c r="U179" s="35"/>
      <c r="V179" s="35"/>
      <c r="W179" s="35"/>
      <c r="X179" s="35"/>
      <c r="Y179" s="35"/>
      <c r="Z179" s="35"/>
    </row>
    <row r="180" spans="1:26">
      <c r="A180" s="33" t="str">
        <f t="shared" si="2"/>
        <v>bln694769</v>
      </c>
      <c r="B180" s="34">
        <f>COUNTA($B$1:B179)</f>
        <v>169</v>
      </c>
      <c r="C180" s="194" t="s">
        <v>330</v>
      </c>
      <c r="D180" s="35"/>
      <c r="E180" s="35"/>
      <c r="F180" s="34"/>
      <c r="G180" s="35" t="s">
        <v>870</v>
      </c>
      <c r="H180" s="35"/>
      <c r="I180" s="35" t="s">
        <v>55</v>
      </c>
      <c r="J180" s="35" t="s">
        <v>430</v>
      </c>
      <c r="K180" s="34">
        <v>0</v>
      </c>
      <c r="L180" s="35" t="s">
        <v>98</v>
      </c>
      <c r="M180" s="36"/>
      <c r="N180" s="35" t="s">
        <v>99</v>
      </c>
      <c r="O180" s="35"/>
      <c r="P180" s="35"/>
      <c r="Q180" s="35"/>
      <c r="R180" s="55"/>
      <c r="S180" s="35"/>
      <c r="T180" s="35"/>
      <c r="U180" s="35"/>
      <c r="V180" s="35"/>
      <c r="W180" s="35"/>
      <c r="X180" s="52"/>
      <c r="Y180" s="52"/>
      <c r="Z180" s="52"/>
    </row>
    <row r="181" spans="1:26">
      <c r="A181" s="33" t="str">
        <f t="shared" si="2"/>
        <v>bln694769</v>
      </c>
      <c r="B181" s="34">
        <f>COUNTA($B$1:B180)</f>
        <v>170</v>
      </c>
      <c r="C181" s="194" t="s">
        <v>331</v>
      </c>
      <c r="D181" s="35"/>
      <c r="E181" s="35"/>
      <c r="F181" s="34"/>
      <c r="G181" s="35" t="s">
        <v>870</v>
      </c>
      <c r="H181" s="35"/>
      <c r="I181" s="35" t="s">
        <v>55</v>
      </c>
      <c r="J181" s="35" t="s">
        <v>886</v>
      </c>
      <c r="K181" s="34">
        <v>0</v>
      </c>
      <c r="L181" s="35" t="s">
        <v>98</v>
      </c>
      <c r="M181" s="36"/>
      <c r="N181" s="35" t="s">
        <v>99</v>
      </c>
      <c r="O181" s="35"/>
      <c r="P181" s="35"/>
      <c r="Q181" s="35"/>
      <c r="R181" s="52" t="s">
        <v>887</v>
      </c>
      <c r="S181" s="35"/>
      <c r="T181" s="56" t="s">
        <v>2</v>
      </c>
      <c r="U181" s="35"/>
      <c r="V181" s="35"/>
      <c r="W181" s="35"/>
      <c r="X181" s="35"/>
      <c r="Y181" s="35"/>
      <c r="Z181" s="35"/>
    </row>
    <row r="182" spans="1:26">
      <c r="A182" s="33" t="str">
        <f t="shared" si="2"/>
        <v>bln694769</v>
      </c>
      <c r="B182" s="34">
        <f>COUNTA($B$1:B181)</f>
        <v>171</v>
      </c>
      <c r="C182" s="194" t="s">
        <v>334</v>
      </c>
      <c r="D182" s="35"/>
      <c r="E182" s="35"/>
      <c r="F182" s="34"/>
      <c r="G182" s="35" t="s">
        <v>870</v>
      </c>
      <c r="H182" s="35"/>
      <c r="I182" s="35" t="s">
        <v>55</v>
      </c>
      <c r="J182" s="35" t="s">
        <v>460</v>
      </c>
      <c r="K182" s="34">
        <v>0</v>
      </c>
      <c r="L182" s="35" t="s">
        <v>98</v>
      </c>
      <c r="M182" s="36"/>
      <c r="N182" s="35" t="s">
        <v>99</v>
      </c>
      <c r="O182" s="35"/>
      <c r="P182" s="35"/>
      <c r="Q182" s="35"/>
      <c r="R182" s="52" t="s">
        <v>888</v>
      </c>
      <c r="S182" s="35"/>
      <c r="T182" s="56" t="s">
        <v>2</v>
      </c>
      <c r="U182" s="35"/>
      <c r="V182" s="35"/>
      <c r="W182" s="35"/>
      <c r="X182" s="52"/>
      <c r="Y182" s="52"/>
      <c r="Z182" s="52"/>
    </row>
    <row r="183" spans="1:26">
      <c r="A183" s="33" t="str">
        <f t="shared" si="2"/>
        <v>bln694769</v>
      </c>
      <c r="B183" s="34">
        <f>COUNTA($B$1:B182)</f>
        <v>172</v>
      </c>
      <c r="C183" s="194" t="s">
        <v>337</v>
      </c>
      <c r="D183" s="35"/>
      <c r="E183" s="35"/>
      <c r="F183" s="34"/>
      <c r="G183" s="35" t="s">
        <v>870</v>
      </c>
      <c r="H183" s="35"/>
      <c r="I183" s="35" t="s">
        <v>55</v>
      </c>
      <c r="J183" s="35" t="s">
        <v>463</v>
      </c>
      <c r="K183" s="34">
        <v>0</v>
      </c>
      <c r="L183" s="35" t="s">
        <v>98</v>
      </c>
      <c r="M183" s="36"/>
      <c r="N183" s="35" t="s">
        <v>99</v>
      </c>
      <c r="O183" s="35"/>
      <c r="P183" s="35"/>
      <c r="Q183" s="35"/>
      <c r="R183" s="52" t="s">
        <v>889</v>
      </c>
      <c r="S183" s="35"/>
      <c r="T183" s="56" t="s">
        <v>2</v>
      </c>
      <c r="U183" s="35"/>
      <c r="V183" s="35"/>
      <c r="W183" s="35"/>
      <c r="X183" s="35"/>
      <c r="Y183" s="35"/>
      <c r="Z183" s="35"/>
    </row>
    <row r="184" spans="1:26">
      <c r="A184" s="33" t="str">
        <f t="shared" si="2"/>
        <v>bln694769</v>
      </c>
      <c r="B184" s="34">
        <f>COUNTA($B$1:B183)</f>
        <v>173</v>
      </c>
      <c r="C184" s="194" t="s">
        <v>340</v>
      </c>
      <c r="D184" s="35"/>
      <c r="E184" s="35"/>
      <c r="F184" s="34"/>
      <c r="G184" s="35" t="s">
        <v>870</v>
      </c>
      <c r="H184" s="35"/>
      <c r="I184" s="35" t="s">
        <v>55</v>
      </c>
      <c r="J184" s="35" t="s">
        <v>466</v>
      </c>
      <c r="K184" s="34">
        <v>0</v>
      </c>
      <c r="L184" s="35" t="s">
        <v>98</v>
      </c>
      <c r="M184" s="36"/>
      <c r="N184" s="35" t="s">
        <v>99</v>
      </c>
      <c r="O184" s="35"/>
      <c r="P184" s="35"/>
      <c r="Q184" s="35"/>
      <c r="R184" s="52" t="s">
        <v>890</v>
      </c>
      <c r="S184" s="35"/>
      <c r="T184" s="56" t="s">
        <v>2</v>
      </c>
      <c r="U184" s="35"/>
      <c r="V184" s="35"/>
      <c r="W184" s="35"/>
      <c r="X184" s="52"/>
      <c r="Y184" s="52"/>
      <c r="Z184" s="52"/>
    </row>
    <row r="185" spans="1:26">
      <c r="A185" s="33" t="str">
        <f t="shared" si="2"/>
        <v>bln694769</v>
      </c>
      <c r="B185" s="34">
        <f>COUNTA($B$1:B184)</f>
        <v>174</v>
      </c>
      <c r="C185" s="194" t="s">
        <v>343</v>
      </c>
      <c r="D185" s="35"/>
      <c r="E185" s="35"/>
      <c r="F185" s="34"/>
      <c r="G185" s="35" t="s">
        <v>870</v>
      </c>
      <c r="H185" s="35"/>
      <c r="I185" s="35" t="s">
        <v>55</v>
      </c>
      <c r="J185" s="35" t="s">
        <v>469</v>
      </c>
      <c r="K185" s="34">
        <v>0</v>
      </c>
      <c r="L185" s="35" t="s">
        <v>98</v>
      </c>
      <c r="M185" s="36"/>
      <c r="N185" s="35" t="s">
        <v>99</v>
      </c>
      <c r="O185" s="35"/>
      <c r="P185" s="35"/>
      <c r="Q185" s="35"/>
      <c r="R185" s="52" t="s">
        <v>342</v>
      </c>
      <c r="S185" s="35"/>
      <c r="T185" s="56" t="s">
        <v>2</v>
      </c>
      <c r="U185" s="35"/>
      <c r="V185" s="35"/>
      <c r="W185" s="35"/>
      <c r="X185" s="35"/>
      <c r="Y185" s="35"/>
      <c r="Z185" s="35"/>
    </row>
    <row r="186" spans="1:26">
      <c r="A186" s="33" t="str">
        <f t="shared" si="2"/>
        <v>bln694769</v>
      </c>
      <c r="B186" s="34">
        <f>COUNTA($B$1:B185)</f>
        <v>175</v>
      </c>
      <c r="C186" s="194" t="s">
        <v>346</v>
      </c>
      <c r="D186" s="35"/>
      <c r="E186" s="35"/>
      <c r="F186" s="34"/>
      <c r="G186" s="35" t="s">
        <v>870</v>
      </c>
      <c r="H186" s="35"/>
      <c r="I186" s="35" t="s">
        <v>55</v>
      </c>
      <c r="J186" s="35" t="s">
        <v>472</v>
      </c>
      <c r="K186" s="34">
        <v>0</v>
      </c>
      <c r="L186" s="35" t="s">
        <v>98</v>
      </c>
      <c r="M186" s="36"/>
      <c r="N186" s="35" t="s">
        <v>99</v>
      </c>
      <c r="O186" s="35"/>
      <c r="P186" s="35"/>
      <c r="Q186" s="35"/>
      <c r="R186" s="52" t="s">
        <v>891</v>
      </c>
      <c r="S186" s="35"/>
      <c r="T186" s="56" t="s">
        <v>2</v>
      </c>
      <c r="U186" s="35"/>
      <c r="V186" s="35"/>
      <c r="W186" s="35"/>
      <c r="X186" s="52"/>
      <c r="Y186" s="52"/>
      <c r="Z186" s="52"/>
    </row>
    <row r="187" spans="1:26">
      <c r="A187" s="33" t="str">
        <f t="shared" si="2"/>
        <v>bln694769</v>
      </c>
      <c r="B187" s="34">
        <f>COUNTA($B$1:B186)</f>
        <v>176</v>
      </c>
      <c r="C187" s="194" t="s">
        <v>349</v>
      </c>
      <c r="D187" s="35"/>
      <c r="E187" s="35"/>
      <c r="F187" s="34"/>
      <c r="G187" s="35" t="s">
        <v>870</v>
      </c>
      <c r="H187" s="35"/>
      <c r="I187" s="35" t="s">
        <v>55</v>
      </c>
      <c r="J187" s="35" t="s">
        <v>892</v>
      </c>
      <c r="K187" s="34">
        <v>0</v>
      </c>
      <c r="L187" s="35" t="s">
        <v>98</v>
      </c>
      <c r="M187" s="36"/>
      <c r="N187" s="35" t="s">
        <v>99</v>
      </c>
      <c r="O187" s="35"/>
      <c r="P187" s="35"/>
      <c r="Q187" s="35"/>
      <c r="R187" s="52" t="s">
        <v>591</v>
      </c>
      <c r="S187" s="35"/>
      <c r="T187" s="56" t="s">
        <v>2</v>
      </c>
      <c r="U187" s="35"/>
      <c r="V187" s="35"/>
      <c r="W187" s="35"/>
      <c r="X187" s="35"/>
      <c r="Y187" s="35"/>
      <c r="Z187" s="35"/>
    </row>
    <row r="188" spans="1:26">
      <c r="A188" s="33" t="str">
        <f t="shared" si="2"/>
        <v>bln694769</v>
      </c>
      <c r="B188" s="34">
        <f>COUNTA($B$1:B187)</f>
        <v>177</v>
      </c>
      <c r="C188" s="194" t="s">
        <v>352</v>
      </c>
      <c r="D188" s="35"/>
      <c r="E188" s="35"/>
      <c r="F188" s="34"/>
      <c r="G188" s="35" t="s">
        <v>870</v>
      </c>
      <c r="H188" s="35"/>
      <c r="I188" s="35" t="s">
        <v>55</v>
      </c>
      <c r="J188" s="35" t="s">
        <v>423</v>
      </c>
      <c r="K188" s="34">
        <v>0</v>
      </c>
      <c r="L188" s="35" t="s">
        <v>98</v>
      </c>
      <c r="M188" s="36"/>
      <c r="N188" s="35" t="s">
        <v>99</v>
      </c>
      <c r="O188" s="35"/>
      <c r="P188" s="35"/>
      <c r="Q188" s="35"/>
      <c r="R188" s="36" t="str">
        <f>TEXT(M87,"0")</f>
        <v>Destination1</v>
      </c>
      <c r="S188" s="35"/>
      <c r="T188" s="56" t="s">
        <v>2</v>
      </c>
      <c r="U188" s="35"/>
      <c r="V188" s="35"/>
      <c r="W188" s="35"/>
      <c r="X188" s="35"/>
      <c r="Y188" s="35"/>
      <c r="Z188" s="35"/>
    </row>
    <row r="189" spans="1:26">
      <c r="A189" s="33" t="str">
        <f t="shared" si="2"/>
        <v>bln694769</v>
      </c>
      <c r="B189" s="34">
        <f>COUNTA($B$1:B188)</f>
        <v>178</v>
      </c>
      <c r="C189" s="194" t="s">
        <v>354</v>
      </c>
      <c r="D189" s="35"/>
      <c r="E189" s="35"/>
      <c r="F189" s="34"/>
      <c r="G189" s="35" t="s">
        <v>870</v>
      </c>
      <c r="H189" s="35"/>
      <c r="I189" s="35" t="s">
        <v>55</v>
      </c>
      <c r="J189" s="35" t="s">
        <v>355</v>
      </c>
      <c r="K189" s="34">
        <v>0</v>
      </c>
      <c r="L189" s="35" t="s">
        <v>98</v>
      </c>
      <c r="M189" s="36"/>
      <c r="N189" s="35" t="s">
        <v>99</v>
      </c>
      <c r="O189" s="35"/>
      <c r="P189" s="35"/>
      <c r="Q189" s="35"/>
      <c r="R189" s="36" t="str">
        <f>TEXT(M90,"mm/dd/yyyy")</f>
        <v>DepDate1</v>
      </c>
      <c r="S189" s="35"/>
      <c r="T189" s="56" t="s">
        <v>2</v>
      </c>
      <c r="U189" s="35"/>
      <c r="V189" s="35"/>
      <c r="W189" s="35"/>
      <c r="X189" s="35"/>
      <c r="Y189" s="35"/>
      <c r="Z189" s="35"/>
    </row>
    <row r="190" spans="1:26">
      <c r="A190" s="33" t="str">
        <f t="shared" si="2"/>
        <v>bln694769</v>
      </c>
      <c r="B190" s="34">
        <f>COUNTA($B$1:B189)</f>
        <v>179</v>
      </c>
      <c r="C190" s="194" t="s">
        <v>356</v>
      </c>
      <c r="D190" s="35"/>
      <c r="E190" s="35"/>
      <c r="F190" s="34"/>
      <c r="G190" s="35" t="s">
        <v>870</v>
      </c>
      <c r="H190" s="35"/>
      <c r="I190" s="35" t="s">
        <v>55</v>
      </c>
      <c r="J190" s="35" t="s">
        <v>357</v>
      </c>
      <c r="K190" s="34">
        <v>0</v>
      </c>
      <c r="L190" s="35" t="s">
        <v>98</v>
      </c>
      <c r="M190" s="36"/>
      <c r="N190" s="35" t="s">
        <v>99</v>
      </c>
      <c r="O190" s="35"/>
      <c r="P190" s="35"/>
      <c r="Q190" s="35"/>
      <c r="R190" s="36" t="str">
        <f>TEXT(M91,"mm/dd/yyyy")</f>
        <v>RetDate1</v>
      </c>
      <c r="S190" s="35"/>
      <c r="T190" s="56" t="s">
        <v>2</v>
      </c>
      <c r="U190" s="35"/>
      <c r="V190" s="35"/>
      <c r="W190" s="35"/>
      <c r="X190" s="35"/>
      <c r="Y190" s="35"/>
      <c r="Z190" s="35"/>
    </row>
    <row r="191" spans="1:26">
      <c r="A191" s="33" t="str">
        <f t="shared" si="2"/>
        <v>bln694769</v>
      </c>
      <c r="B191" s="34">
        <f>COUNTA($B$1:B190)</f>
        <v>180</v>
      </c>
      <c r="C191" s="194" t="s">
        <v>539</v>
      </c>
      <c r="D191" s="35"/>
      <c r="E191" s="35"/>
      <c r="F191" s="34"/>
      <c r="G191" s="35" t="s">
        <v>870</v>
      </c>
      <c r="H191" s="35"/>
      <c r="I191" s="35" t="s">
        <v>55</v>
      </c>
      <c r="J191" s="35" t="s">
        <v>480</v>
      </c>
      <c r="K191" s="34">
        <v>0</v>
      </c>
      <c r="L191" s="35" t="s">
        <v>98</v>
      </c>
      <c r="M191" s="36"/>
      <c r="N191" s="35" t="s">
        <v>99</v>
      </c>
      <c r="O191" s="35"/>
      <c r="P191" s="35"/>
      <c r="Q191" s="35"/>
      <c r="R191" s="36"/>
      <c r="S191" s="52"/>
      <c r="T191" s="35"/>
      <c r="U191" s="35"/>
      <c r="V191" s="35"/>
      <c r="W191" s="35"/>
      <c r="X191" s="35"/>
      <c r="Y191" s="35"/>
      <c r="Z191" s="35"/>
    </row>
    <row r="192" spans="1:26">
      <c r="A192" s="33" t="str">
        <f t="shared" si="2"/>
        <v>bln694769</v>
      </c>
      <c r="B192" s="34">
        <f>COUNTA($B$1:B191)</f>
        <v>181</v>
      </c>
      <c r="C192" s="194" t="s">
        <v>360</v>
      </c>
      <c r="D192" s="35"/>
      <c r="E192" s="35"/>
      <c r="F192" s="34"/>
      <c r="G192" s="35" t="s">
        <v>870</v>
      </c>
      <c r="H192" s="35"/>
      <c r="I192" s="35" t="s">
        <v>55</v>
      </c>
      <c r="J192" s="35" t="s">
        <v>481</v>
      </c>
      <c r="K192" s="34">
        <v>0</v>
      </c>
      <c r="L192" s="35" t="s">
        <v>98</v>
      </c>
      <c r="M192" s="36"/>
      <c r="N192" s="35" t="s">
        <v>99</v>
      </c>
      <c r="O192" s="35"/>
      <c r="P192" s="35"/>
      <c r="Q192" s="35"/>
      <c r="R192" s="36"/>
      <c r="S192" s="35"/>
      <c r="T192" s="35"/>
      <c r="U192" s="35"/>
      <c r="V192" s="35"/>
      <c r="W192" s="35"/>
      <c r="X192" s="35"/>
      <c r="Y192" s="35"/>
      <c r="Z192" s="35"/>
    </row>
    <row r="193" spans="1:26">
      <c r="A193" s="33" t="str">
        <f t="shared" si="2"/>
        <v>bln694769</v>
      </c>
      <c r="B193" s="34">
        <f>COUNTA($B$1:B192)</f>
        <v>182</v>
      </c>
      <c r="C193" s="194" t="s">
        <v>362</v>
      </c>
      <c r="D193" s="35"/>
      <c r="E193" s="35"/>
      <c r="F193" s="34"/>
      <c r="G193" s="35" t="s">
        <v>870</v>
      </c>
      <c r="H193" s="35"/>
      <c r="I193" s="35" t="s">
        <v>55</v>
      </c>
      <c r="J193" s="35" t="s">
        <v>482</v>
      </c>
      <c r="K193" s="34">
        <v>0</v>
      </c>
      <c r="L193" s="35" t="s">
        <v>98</v>
      </c>
      <c r="M193" s="36"/>
      <c r="N193" s="35" t="s">
        <v>99</v>
      </c>
      <c r="O193" s="35"/>
      <c r="P193" s="35"/>
      <c r="Q193" s="35"/>
      <c r="R193" s="36"/>
      <c r="S193" s="35"/>
      <c r="T193" s="35"/>
      <c r="U193" s="35"/>
      <c r="V193" s="35"/>
      <c r="W193" s="35"/>
      <c r="X193" s="35"/>
      <c r="Y193" s="35"/>
      <c r="Z193" s="35"/>
    </row>
    <row r="194" spans="1:26">
      <c r="A194" s="33" t="str">
        <f t="shared" si="2"/>
        <v>bln694769</v>
      </c>
      <c r="B194" s="34">
        <f>COUNTA($B$1:B193)</f>
        <v>183</v>
      </c>
      <c r="C194" s="194" t="s">
        <v>364</v>
      </c>
      <c r="D194" s="35"/>
      <c r="E194" s="35"/>
      <c r="F194" s="34"/>
      <c r="G194" s="35" t="s">
        <v>870</v>
      </c>
      <c r="H194" s="35"/>
      <c r="I194" s="35" t="s">
        <v>55</v>
      </c>
      <c r="J194" s="35" t="s">
        <v>365</v>
      </c>
      <c r="K194" s="34">
        <v>0</v>
      </c>
      <c r="L194" s="35" t="s">
        <v>98</v>
      </c>
      <c r="M194" s="36"/>
      <c r="N194" s="35" t="s">
        <v>99</v>
      </c>
      <c r="O194" s="35"/>
      <c r="P194" s="35"/>
      <c r="Q194" s="35"/>
      <c r="R194" s="52" t="str">
        <f>M125</f>
        <v>BirthDate</v>
      </c>
      <c r="S194" s="35"/>
      <c r="T194" s="56" t="s">
        <v>2</v>
      </c>
      <c r="U194" s="35"/>
      <c r="V194" s="35"/>
      <c r="W194" s="35"/>
      <c r="X194" s="35"/>
      <c r="Y194" s="35"/>
      <c r="Z194" s="35"/>
    </row>
    <row r="195" spans="1:26">
      <c r="A195" s="33" t="str">
        <f t="shared" si="2"/>
        <v>bln694769</v>
      </c>
      <c r="B195" s="34">
        <f>COUNTA($B$1:B194)</f>
        <v>184</v>
      </c>
      <c r="C195" s="194" t="s">
        <v>366</v>
      </c>
      <c r="D195" s="35"/>
      <c r="E195" s="35"/>
      <c r="F195" s="34"/>
      <c r="G195" s="35" t="s">
        <v>870</v>
      </c>
      <c r="H195" s="35"/>
      <c r="I195" s="35" t="s">
        <v>55</v>
      </c>
      <c r="J195" s="35" t="s">
        <v>367</v>
      </c>
      <c r="K195" s="34">
        <v>0</v>
      </c>
      <c r="L195" s="35" t="s">
        <v>98</v>
      </c>
      <c r="M195" s="36"/>
      <c r="N195" s="35" t="s">
        <v>99</v>
      </c>
      <c r="O195" s="35"/>
      <c r="P195" s="35"/>
      <c r="Q195" s="35"/>
      <c r="R195" s="55" t="str">
        <f>M131</f>
        <v>Phone1</v>
      </c>
      <c r="S195" s="35"/>
      <c r="T195" s="56" t="s">
        <v>2</v>
      </c>
      <c r="U195" s="35"/>
      <c r="V195" s="35"/>
      <c r="W195" s="35"/>
      <c r="X195" s="35"/>
      <c r="Y195" s="35"/>
      <c r="Z195" s="35"/>
    </row>
    <row r="196" spans="1:26" s="201" customFormat="1">
      <c r="A196" s="33" t="str">
        <f t="shared" si="2"/>
        <v>bln694769</v>
      </c>
      <c r="B196" s="34">
        <f>COUNTA($B$1:B195)</f>
        <v>185</v>
      </c>
      <c r="C196" s="199" t="s">
        <v>540</v>
      </c>
      <c r="D196" s="224"/>
      <c r="E196" s="225"/>
      <c r="F196" s="198"/>
      <c r="G196" s="199" t="s">
        <v>870</v>
      </c>
      <c r="H196" s="199"/>
      <c r="I196" s="199" t="s">
        <v>55</v>
      </c>
      <c r="J196" s="199" t="s">
        <v>901</v>
      </c>
      <c r="K196" s="198">
        <v>0</v>
      </c>
      <c r="L196" s="199" t="s">
        <v>98</v>
      </c>
      <c r="M196" s="200"/>
      <c r="N196" s="199" t="s">
        <v>99</v>
      </c>
      <c r="O196" s="199"/>
      <c r="P196" s="199"/>
      <c r="Q196" s="199"/>
      <c r="R196" s="199">
        <f>S147</f>
        <v>0</v>
      </c>
      <c r="S196" s="199"/>
      <c r="T196" s="199" t="s">
        <v>2</v>
      </c>
      <c r="U196" s="199"/>
      <c r="V196" s="199"/>
      <c r="W196" s="199"/>
      <c r="X196" s="199"/>
      <c r="Y196" s="199"/>
      <c r="Z196" s="199"/>
    </row>
    <row r="197" spans="1:26">
      <c r="A197" s="33" t="str">
        <f t="shared" si="2"/>
        <v>bln694769</v>
      </c>
      <c r="B197" s="34">
        <f>COUNTA($B$1:B196)</f>
        <v>186</v>
      </c>
      <c r="C197" s="194" t="s">
        <v>592</v>
      </c>
      <c r="D197" s="35"/>
      <c r="E197" s="35"/>
      <c r="F197" s="34"/>
      <c r="G197" s="35" t="s">
        <v>870</v>
      </c>
      <c r="H197" s="35"/>
      <c r="I197" s="35" t="s">
        <v>55</v>
      </c>
      <c r="J197" s="35" t="s">
        <v>485</v>
      </c>
      <c r="K197" s="34">
        <v>0</v>
      </c>
      <c r="L197" s="35" t="s">
        <v>98</v>
      </c>
      <c r="M197" s="36"/>
      <c r="N197" s="35" t="s">
        <v>99</v>
      </c>
      <c r="O197" s="35"/>
      <c r="P197" s="35"/>
      <c r="Q197" s="35"/>
      <c r="R197" s="36"/>
      <c r="S197" s="35"/>
      <c r="T197" s="56"/>
      <c r="U197" s="35"/>
      <c r="V197" s="35"/>
      <c r="W197" s="35"/>
      <c r="X197" s="35"/>
      <c r="Y197" s="35"/>
      <c r="Z197" s="35"/>
    </row>
    <row r="198" spans="1:26">
      <c r="A198" s="33" t="str">
        <f t="shared" si="2"/>
        <v>bln694769</v>
      </c>
      <c r="B198" s="34">
        <f>COUNTA($B$1:B197)</f>
        <v>187</v>
      </c>
      <c r="C198" s="194" t="s">
        <v>383</v>
      </c>
      <c r="D198" s="35"/>
      <c r="E198" s="35"/>
      <c r="F198" s="34"/>
      <c r="G198" s="35" t="s">
        <v>870</v>
      </c>
      <c r="H198" s="35"/>
      <c r="I198" s="35" t="s">
        <v>55</v>
      </c>
      <c r="J198" s="35" t="s">
        <v>893</v>
      </c>
      <c r="K198" s="34">
        <v>0</v>
      </c>
      <c r="L198" s="35" t="s">
        <v>98</v>
      </c>
      <c r="M198" s="36"/>
      <c r="N198" s="35" t="s">
        <v>99</v>
      </c>
      <c r="O198" s="35"/>
      <c r="P198" s="35"/>
      <c r="Q198" s="35"/>
      <c r="R198" s="36"/>
      <c r="S198" s="35"/>
      <c r="T198" s="35"/>
      <c r="U198" s="35"/>
      <c r="V198" s="35"/>
      <c r="W198" s="35"/>
      <c r="X198" s="35"/>
      <c r="Y198" s="35"/>
      <c r="Z198" s="35"/>
    </row>
    <row r="199" spans="1:26">
      <c r="A199" s="33" t="str">
        <f t="shared" si="2"/>
        <v>bln694769</v>
      </c>
      <c r="B199" s="34">
        <f>COUNTA($B$1:B198)</f>
        <v>188</v>
      </c>
      <c r="C199" s="56" t="s">
        <v>67</v>
      </c>
      <c r="D199" s="57"/>
      <c r="E199" s="58" t="s">
        <v>154</v>
      </c>
      <c r="F199" s="59"/>
      <c r="G199" s="35" t="s">
        <v>870</v>
      </c>
      <c r="H199" s="56"/>
      <c r="I199" s="56"/>
      <c r="J199" s="56"/>
      <c r="K199" s="59"/>
      <c r="L199" s="56" t="s">
        <v>67</v>
      </c>
      <c r="M199" s="60">
        <v>4</v>
      </c>
      <c r="N199" s="35"/>
      <c r="O199" s="35"/>
      <c r="P199" s="35"/>
      <c r="Q199" s="35"/>
      <c r="R199" s="36"/>
      <c r="S199" s="52"/>
      <c r="T199" s="35"/>
      <c r="U199" s="35"/>
      <c r="V199" s="35"/>
      <c r="W199" s="35"/>
      <c r="X199" s="52"/>
      <c r="Y199" s="52"/>
      <c r="Z199" s="52"/>
    </row>
    <row r="200" spans="1:26">
      <c r="A200" s="33" t="str">
        <f t="shared" ref="A200:A214" si="3">A199</f>
        <v>bln694769</v>
      </c>
      <c r="B200" s="34">
        <f>COUNTA($B$1:B199)</f>
        <v>189</v>
      </c>
      <c r="C200" s="195" t="s">
        <v>327</v>
      </c>
      <c r="D200" s="57"/>
      <c r="E200" s="58" t="s">
        <v>154</v>
      </c>
      <c r="F200" s="59"/>
      <c r="G200" s="35" t="s">
        <v>870</v>
      </c>
      <c r="H200" s="56"/>
      <c r="I200" s="56"/>
      <c r="J200" s="56"/>
      <c r="K200" s="59"/>
      <c r="L200" s="56" t="s">
        <v>396</v>
      </c>
      <c r="M200" s="56" t="s">
        <v>397</v>
      </c>
      <c r="N200" s="56"/>
      <c r="O200" s="56"/>
      <c r="P200" s="56"/>
      <c r="Q200" s="56"/>
      <c r="R200" s="56"/>
      <c r="S200" s="58"/>
      <c r="T200" s="56"/>
      <c r="U200" s="56"/>
      <c r="V200" s="56"/>
      <c r="W200" s="35"/>
      <c r="X200" s="52"/>
      <c r="Y200" s="52"/>
      <c r="Z200" s="52"/>
    </row>
    <row r="201" spans="1:26">
      <c r="A201" s="33" t="str">
        <f t="shared" si="3"/>
        <v>bln694769</v>
      </c>
      <c r="B201" s="34">
        <f>COUNTA($B$1:B200)</f>
        <v>190</v>
      </c>
      <c r="C201" s="195" t="s">
        <v>327</v>
      </c>
      <c r="D201" s="57"/>
      <c r="E201" s="58" t="s">
        <v>154</v>
      </c>
      <c r="F201" s="59"/>
      <c r="G201" s="35" t="s">
        <v>870</v>
      </c>
      <c r="H201" s="56"/>
      <c r="I201" s="56"/>
      <c r="J201" s="56"/>
      <c r="K201" s="59"/>
      <c r="L201" s="56" t="s">
        <v>398</v>
      </c>
      <c r="M201" s="56" t="s">
        <v>399</v>
      </c>
      <c r="N201" s="56"/>
      <c r="O201" s="56"/>
      <c r="P201" s="56"/>
      <c r="Q201" s="56"/>
      <c r="R201" s="56"/>
      <c r="S201" s="58"/>
      <c r="T201" s="56"/>
      <c r="U201" s="56"/>
      <c r="V201" s="56"/>
      <c r="W201" s="35"/>
      <c r="X201" s="52"/>
      <c r="Y201" s="52"/>
      <c r="Z201" s="52"/>
    </row>
    <row r="202" spans="1:26">
      <c r="A202" s="33" t="str">
        <f t="shared" si="3"/>
        <v>bln694769</v>
      </c>
      <c r="B202" s="34">
        <f>COUNTA($B$1:B201)</f>
        <v>191</v>
      </c>
      <c r="C202" s="195" t="s">
        <v>327</v>
      </c>
      <c r="D202" s="57"/>
      <c r="E202" s="58" t="s">
        <v>154</v>
      </c>
      <c r="F202" s="59"/>
      <c r="G202" s="35" t="s">
        <v>870</v>
      </c>
      <c r="H202" s="56"/>
      <c r="I202" s="56"/>
      <c r="J202" s="56"/>
      <c r="K202" s="59"/>
      <c r="L202" s="56" t="s">
        <v>393</v>
      </c>
      <c r="M202" s="56" t="str">
        <f>Global!B9 &amp; "ConfirmationPage.png"</f>
        <v>Travel EX Migration_AEM Regression_UATConfirmationPage.png</v>
      </c>
      <c r="N202" s="56"/>
      <c r="O202" s="56"/>
      <c r="P202" s="56"/>
      <c r="Q202" s="56"/>
      <c r="R202" s="56"/>
      <c r="S202" s="58"/>
      <c r="T202" s="56"/>
      <c r="U202" s="56"/>
      <c r="V202" s="56"/>
      <c r="W202" s="35"/>
      <c r="X202" s="52"/>
      <c r="Y202" s="52"/>
      <c r="Z202" s="52"/>
    </row>
    <row r="203" spans="1:26">
      <c r="A203" s="33" t="str">
        <f t="shared" si="3"/>
        <v>bln694769</v>
      </c>
      <c r="B203" s="34">
        <f>COUNTA($B$1:B202)</f>
        <v>192</v>
      </c>
      <c r="C203" s="56" t="s">
        <v>67</v>
      </c>
      <c r="D203" s="57"/>
      <c r="E203" s="58" t="s">
        <v>154</v>
      </c>
      <c r="F203" s="59"/>
      <c r="G203" s="35" t="s">
        <v>870</v>
      </c>
      <c r="H203" s="56"/>
      <c r="I203" s="56"/>
      <c r="J203" s="56"/>
      <c r="K203" s="59"/>
      <c r="L203" s="56" t="s">
        <v>67</v>
      </c>
      <c r="M203" s="60">
        <v>4</v>
      </c>
      <c r="N203" s="35"/>
      <c r="O203" s="35"/>
      <c r="P203" s="35"/>
      <c r="Q203" s="35"/>
      <c r="R203" s="36"/>
      <c r="S203" s="52"/>
      <c r="T203" s="35"/>
      <c r="U203" s="35"/>
      <c r="V203" s="35"/>
      <c r="W203" s="35"/>
      <c r="X203" s="52"/>
      <c r="Y203" s="52"/>
      <c r="Z203" s="52"/>
    </row>
    <row r="204" spans="1:26">
      <c r="A204" s="33" t="str">
        <f t="shared" si="3"/>
        <v>bln694769</v>
      </c>
      <c r="B204" s="34">
        <f>COUNTA($B$1:B203)</f>
        <v>193</v>
      </c>
      <c r="C204" s="56" t="s">
        <v>402</v>
      </c>
      <c r="D204" s="57"/>
      <c r="E204" s="58" t="s">
        <v>154</v>
      </c>
      <c r="F204" s="59"/>
      <c r="G204" s="35" t="s">
        <v>870</v>
      </c>
      <c r="H204" s="56"/>
      <c r="I204" s="56"/>
      <c r="J204" s="56"/>
      <c r="K204" s="59"/>
      <c r="L204" s="56" t="s">
        <v>398</v>
      </c>
      <c r="M204" s="56" t="s">
        <v>403</v>
      </c>
      <c r="N204" s="56"/>
      <c r="O204" s="56"/>
      <c r="P204" s="56"/>
      <c r="Q204" s="56"/>
      <c r="R204" s="56"/>
      <c r="S204" s="58"/>
      <c r="T204" s="56"/>
      <c r="U204" s="56"/>
      <c r="V204" s="56"/>
      <c r="W204" s="35"/>
      <c r="X204" s="35"/>
      <c r="Y204" s="35"/>
      <c r="Z204" s="35"/>
    </row>
    <row r="205" spans="1:26">
      <c r="A205" s="33" t="s">
        <v>21</v>
      </c>
      <c r="B205" s="34">
        <f>COUNTA($B$1:B204)</f>
        <v>194</v>
      </c>
      <c r="C205" s="195" t="s">
        <v>404</v>
      </c>
      <c r="D205" s="57"/>
      <c r="E205" s="58" t="s">
        <v>154</v>
      </c>
      <c r="F205" s="59"/>
      <c r="G205" s="35" t="s">
        <v>870</v>
      </c>
      <c r="H205" s="56"/>
      <c r="I205" s="56"/>
      <c r="J205" s="56"/>
      <c r="K205" s="59"/>
      <c r="L205" s="56" t="s">
        <v>393</v>
      </c>
      <c r="M205" s="56" t="str">
        <f>Global!B9 &amp; "ConfirmationMessage1.png"</f>
        <v>Travel EX Migration_AEM Regression_UATConfirmationMessage1.png</v>
      </c>
      <c r="N205" s="56"/>
      <c r="O205" s="56"/>
      <c r="P205" s="56"/>
      <c r="Q205" s="56"/>
      <c r="R205" s="56"/>
      <c r="S205" s="58"/>
      <c r="T205" s="56"/>
      <c r="U205" s="56"/>
      <c r="V205" s="56"/>
      <c r="W205" s="35"/>
      <c r="X205" s="35"/>
      <c r="Y205" s="35"/>
      <c r="Z205" s="35"/>
    </row>
    <row r="206" spans="1:26">
      <c r="A206" s="33" t="str">
        <f t="shared" si="3"/>
        <v>N</v>
      </c>
      <c r="B206" s="34">
        <f>COUNTA($B$1:B205)</f>
        <v>195</v>
      </c>
      <c r="C206" s="56" t="s">
        <v>67</v>
      </c>
      <c r="D206" s="57"/>
      <c r="E206" s="58" t="s">
        <v>154</v>
      </c>
      <c r="F206" s="59"/>
      <c r="G206" s="35" t="s">
        <v>870</v>
      </c>
      <c r="H206" s="56"/>
      <c r="I206" s="56"/>
      <c r="J206" s="56"/>
      <c r="K206" s="59"/>
      <c r="L206" s="56" t="s">
        <v>67</v>
      </c>
      <c r="M206" s="60">
        <v>5</v>
      </c>
      <c r="N206" s="56"/>
      <c r="O206" s="56"/>
      <c r="P206" s="56"/>
      <c r="Q206" s="56"/>
      <c r="R206" s="60"/>
      <c r="S206" s="58"/>
      <c r="T206" s="56"/>
      <c r="U206" s="56"/>
      <c r="V206" s="56"/>
      <c r="W206" s="35"/>
      <c r="X206" s="52"/>
      <c r="Y206" s="52"/>
      <c r="Z206" s="52"/>
    </row>
    <row r="207" spans="1:26">
      <c r="A207" s="33" t="str">
        <f t="shared" si="3"/>
        <v>N</v>
      </c>
      <c r="B207" s="34">
        <f>COUNTA($B$1:B206)</f>
        <v>196</v>
      </c>
      <c r="C207" s="56" t="s">
        <v>405</v>
      </c>
      <c r="D207" s="57"/>
      <c r="E207" s="58" t="s">
        <v>154</v>
      </c>
      <c r="F207" s="59"/>
      <c r="G207" s="35" t="s">
        <v>870</v>
      </c>
      <c r="H207" s="56"/>
      <c r="I207" s="56"/>
      <c r="J207" s="56"/>
      <c r="K207" s="59"/>
      <c r="L207" s="56" t="s">
        <v>398</v>
      </c>
      <c r="M207" s="56" t="s">
        <v>406</v>
      </c>
      <c r="N207" s="56"/>
      <c r="O207" s="56"/>
      <c r="P207" s="56"/>
      <c r="Q207" s="56"/>
      <c r="R207" s="56"/>
      <c r="S207" s="58"/>
      <c r="T207" s="56"/>
      <c r="U207" s="56"/>
      <c r="V207" s="56"/>
      <c r="W207" s="35"/>
      <c r="X207" s="35"/>
      <c r="Y207" s="35"/>
      <c r="Z207" s="35"/>
    </row>
    <row r="208" spans="1:26">
      <c r="A208" s="33" t="str">
        <f t="shared" si="3"/>
        <v>N</v>
      </c>
      <c r="B208" s="34">
        <f>COUNTA($B$1:B207)</f>
        <v>197</v>
      </c>
      <c r="C208" s="195" t="s">
        <v>407</v>
      </c>
      <c r="D208" s="57"/>
      <c r="E208" s="58" t="s">
        <v>154</v>
      </c>
      <c r="F208" s="59"/>
      <c r="G208" s="35" t="s">
        <v>870</v>
      </c>
      <c r="H208" s="56"/>
      <c r="I208" s="56"/>
      <c r="J208" s="56"/>
      <c r="K208" s="59"/>
      <c r="L208" s="56" t="s">
        <v>393</v>
      </c>
      <c r="M208" s="56" t="str">
        <f>Global!B9 &amp; "ConfirmationMessage2.png"</f>
        <v>Travel EX Migration_AEM Regression_UATConfirmationMessage2.png</v>
      </c>
      <c r="N208" s="56"/>
      <c r="O208" s="56"/>
      <c r="P208" s="56"/>
      <c r="Q208" s="56"/>
      <c r="R208" s="56"/>
      <c r="S208" s="58"/>
      <c r="T208" s="56"/>
      <c r="U208" s="56"/>
      <c r="V208" s="56"/>
      <c r="W208" s="35"/>
      <c r="X208" s="35"/>
      <c r="Y208" s="35"/>
      <c r="Z208" s="35"/>
    </row>
    <row r="209" spans="1:26">
      <c r="A209" s="33" t="str">
        <f t="shared" si="3"/>
        <v>N</v>
      </c>
      <c r="B209" s="34">
        <f>COUNTA($B$1:B208)</f>
        <v>198</v>
      </c>
      <c r="C209" s="56" t="s">
        <v>67</v>
      </c>
      <c r="D209" s="57"/>
      <c r="E209" s="58" t="s">
        <v>154</v>
      </c>
      <c r="F209" s="59"/>
      <c r="G209" s="35" t="s">
        <v>870</v>
      </c>
      <c r="H209" s="56"/>
      <c r="I209" s="56"/>
      <c r="J209" s="56"/>
      <c r="K209" s="59"/>
      <c r="L209" s="56" t="s">
        <v>67</v>
      </c>
      <c r="M209" s="60">
        <v>5</v>
      </c>
      <c r="N209" s="56"/>
      <c r="O209" s="56"/>
      <c r="P209" s="56"/>
      <c r="Q209" s="56"/>
      <c r="R209" s="60"/>
      <c r="S209" s="58"/>
      <c r="T209" s="56"/>
      <c r="U209" s="56"/>
      <c r="V209" s="56"/>
      <c r="W209" s="35"/>
      <c r="X209" s="35"/>
      <c r="Y209" s="35"/>
      <c r="Z209" s="35"/>
    </row>
    <row r="210" spans="1:26">
      <c r="A210" s="33" t="str">
        <f t="shared" si="3"/>
        <v>N</v>
      </c>
      <c r="B210" s="34">
        <f>COUNTA($B$1:B209)</f>
        <v>199</v>
      </c>
      <c r="C210" s="56" t="s">
        <v>405</v>
      </c>
      <c r="D210" s="57"/>
      <c r="E210" s="58" t="s">
        <v>154</v>
      </c>
      <c r="F210" s="59"/>
      <c r="G210" s="35" t="s">
        <v>870</v>
      </c>
      <c r="H210" s="56"/>
      <c r="I210" s="56"/>
      <c r="J210" s="56"/>
      <c r="K210" s="59"/>
      <c r="L210" s="56" t="s">
        <v>398</v>
      </c>
      <c r="M210" s="56" t="s">
        <v>406</v>
      </c>
      <c r="N210" s="56"/>
      <c r="O210" s="56"/>
      <c r="P210" s="56"/>
      <c r="Q210" s="56"/>
      <c r="R210" s="56"/>
      <c r="S210" s="58"/>
      <c r="T210" s="56"/>
      <c r="U210" s="56"/>
      <c r="V210" s="56"/>
      <c r="W210" s="35"/>
      <c r="X210" s="35"/>
      <c r="Y210" s="35"/>
      <c r="Z210" s="35"/>
    </row>
    <row r="211" spans="1:26">
      <c r="A211" s="33" t="str">
        <f t="shared" si="3"/>
        <v>N</v>
      </c>
      <c r="B211" s="34">
        <f>COUNTA($B$1:B210)</f>
        <v>200</v>
      </c>
      <c r="C211" s="195" t="s">
        <v>408</v>
      </c>
      <c r="D211" s="57"/>
      <c r="E211" s="58" t="s">
        <v>154</v>
      </c>
      <c r="F211" s="59"/>
      <c r="G211" s="35" t="s">
        <v>870</v>
      </c>
      <c r="H211" s="56"/>
      <c r="I211" s="56"/>
      <c r="J211" s="56"/>
      <c r="K211" s="59"/>
      <c r="L211" s="56" t="s">
        <v>393</v>
      </c>
      <c r="M211" s="56" t="str">
        <f>Global!B9 &amp; "ConfirmationMessage3.png"</f>
        <v>Travel EX Migration_AEM Regression_UATConfirmationMessage3.png</v>
      </c>
      <c r="N211" s="56"/>
      <c r="O211" s="56"/>
      <c r="P211" s="56"/>
      <c r="Q211" s="56"/>
      <c r="R211" s="56"/>
      <c r="S211" s="58"/>
      <c r="T211" s="56"/>
      <c r="U211" s="56"/>
      <c r="V211" s="56"/>
      <c r="W211" s="35"/>
      <c r="X211" s="35"/>
      <c r="Y211" s="35"/>
      <c r="Z211" s="35"/>
    </row>
    <row r="212" spans="1:26">
      <c r="A212" s="33" t="str">
        <f t="shared" si="3"/>
        <v>N</v>
      </c>
      <c r="B212" s="34">
        <f>COUNTA($B$1:B211)</f>
        <v>201</v>
      </c>
      <c r="C212" s="56" t="s">
        <v>67</v>
      </c>
      <c r="D212" s="57"/>
      <c r="E212" s="58" t="s">
        <v>154</v>
      </c>
      <c r="F212" s="59"/>
      <c r="G212" s="35" t="s">
        <v>870</v>
      </c>
      <c r="H212" s="56"/>
      <c r="I212" s="56"/>
      <c r="J212" s="56"/>
      <c r="K212" s="59"/>
      <c r="L212" s="56" t="s">
        <v>67</v>
      </c>
      <c r="M212" s="60">
        <v>5</v>
      </c>
      <c r="N212" s="56"/>
      <c r="O212" s="56"/>
      <c r="P212" s="56"/>
      <c r="Q212" s="56"/>
      <c r="R212" s="60"/>
      <c r="S212" s="58"/>
      <c r="T212" s="56"/>
      <c r="U212" s="56"/>
      <c r="V212" s="56"/>
      <c r="W212" s="35"/>
      <c r="X212" s="52"/>
      <c r="Y212" s="52"/>
      <c r="Z212" s="52"/>
    </row>
    <row r="213" spans="1:26">
      <c r="A213" s="33" t="str">
        <f t="shared" si="3"/>
        <v>N</v>
      </c>
      <c r="B213" s="34">
        <f>COUNTA($B$1:B212)</f>
        <v>202</v>
      </c>
      <c r="C213" s="56" t="s">
        <v>405</v>
      </c>
      <c r="D213" s="57"/>
      <c r="E213" s="58" t="s">
        <v>154</v>
      </c>
      <c r="F213" s="59"/>
      <c r="G213" s="35" t="s">
        <v>870</v>
      </c>
      <c r="H213" s="56"/>
      <c r="I213" s="56"/>
      <c r="J213" s="56"/>
      <c r="K213" s="59"/>
      <c r="L213" s="56" t="s">
        <v>398</v>
      </c>
      <c r="M213" s="56" t="s">
        <v>409</v>
      </c>
      <c r="N213" s="56"/>
      <c r="O213" s="56"/>
      <c r="P213" s="56"/>
      <c r="Q213" s="56"/>
      <c r="R213" s="56"/>
      <c r="S213" s="58"/>
      <c r="T213" s="56"/>
      <c r="U213" s="56"/>
      <c r="V213" s="56"/>
      <c r="W213" s="35"/>
      <c r="X213" s="35"/>
      <c r="Y213" s="35"/>
      <c r="Z213" s="35"/>
    </row>
    <row r="214" spans="1:26">
      <c r="A214" s="33" t="str">
        <f t="shared" si="3"/>
        <v>N</v>
      </c>
      <c r="B214" s="34">
        <f>COUNTA($B$1:B213)</f>
        <v>203</v>
      </c>
      <c r="C214" s="195" t="s">
        <v>410</v>
      </c>
      <c r="D214" s="57"/>
      <c r="E214" s="58" t="s">
        <v>154</v>
      </c>
      <c r="F214" s="59"/>
      <c r="G214" s="35" t="s">
        <v>870</v>
      </c>
      <c r="H214" s="56"/>
      <c r="I214" s="56"/>
      <c r="J214" s="56"/>
      <c r="K214" s="59"/>
      <c r="L214" s="56" t="s">
        <v>393</v>
      </c>
      <c r="M214" s="56" t="str">
        <f>Global!B9 &amp; "ConfirmationMessage4.png"</f>
        <v>Travel EX Migration_AEM Regression_UATConfirmationMessage4.png</v>
      </c>
      <c r="N214" s="56"/>
      <c r="O214" s="56"/>
      <c r="P214" s="56"/>
      <c r="Q214" s="56"/>
      <c r="R214" s="56"/>
      <c r="S214" s="58"/>
      <c r="T214" s="56"/>
      <c r="U214" s="56"/>
      <c r="V214" s="56"/>
      <c r="W214" s="35"/>
      <c r="X214" s="35"/>
      <c r="Y214" s="35"/>
      <c r="Z214" s="35"/>
    </row>
    <row r="215" spans="1:26">
      <c r="A215" s="30" t="s">
        <v>411</v>
      </c>
      <c r="B215" s="193"/>
      <c r="C215" s="31"/>
      <c r="D215" s="32"/>
      <c r="E215" s="32"/>
      <c r="F215" s="31"/>
      <c r="G215" s="32"/>
      <c r="H215" s="32"/>
      <c r="I215" s="32"/>
      <c r="J215" s="32"/>
      <c r="K215" s="31"/>
      <c r="L215" s="32"/>
      <c r="M215" s="32"/>
      <c r="N215" s="32"/>
      <c r="O215" s="32"/>
      <c r="P215" s="32"/>
      <c r="Q215" s="32"/>
      <c r="R215" s="32"/>
      <c r="S215" s="32"/>
      <c r="T215" s="32"/>
      <c r="U215" s="32"/>
      <c r="V215" s="32"/>
      <c r="W215" s="32"/>
      <c r="X215" s="32"/>
      <c r="Y215" s="32"/>
      <c r="Z215" s="32"/>
    </row>
    <row r="216" spans="1:26">
      <c r="A216" s="33" t="s">
        <v>872</v>
      </c>
      <c r="B216" s="34">
        <f>COUNTA($B$1:B215)</f>
        <v>204</v>
      </c>
      <c r="C216" s="61" t="s">
        <v>97</v>
      </c>
      <c r="D216" s="61"/>
      <c r="E216" s="61"/>
      <c r="F216" s="62"/>
      <c r="G216" s="35" t="s">
        <v>870</v>
      </c>
      <c r="H216" s="61"/>
      <c r="I216" s="61"/>
      <c r="J216" s="61"/>
      <c r="K216" s="62"/>
      <c r="L216" s="61" t="s">
        <v>97</v>
      </c>
      <c r="M216" s="63"/>
      <c r="N216" s="61"/>
      <c r="O216" s="61"/>
      <c r="P216" s="61"/>
      <c r="Q216" s="61"/>
      <c r="R216" s="61"/>
      <c r="S216" s="61"/>
      <c r="T216" s="61"/>
      <c r="U216" s="35"/>
      <c r="V216" s="35"/>
      <c r="W216" s="35"/>
      <c r="X216" s="35"/>
      <c r="Y216" s="35"/>
      <c r="Z216" s="35"/>
    </row>
  </sheetData>
  <pageMargins left="0.7" right="0.7" top="0.75" bottom="0.75" header="0.3" footer="0.3"/>
  <pageSetup orientation="portrait" r:id="rId1"/>
  <headerFooter>
    <oddFooter>&amp;L_x000D_&amp;1#&amp;"Aptos"&amp;10&amp;K000000 INTERNAL USE ONLY</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B246D-3B2A-4825-BA9D-22DFFA418C7A}">
  <sheetPr>
    <tabColor theme="5"/>
  </sheetPr>
  <dimension ref="A1:IM2"/>
  <sheetViews>
    <sheetView showGridLines="0" zoomScale="92" zoomScaleNormal="92" workbookViewId="0">
      <pane xSplit="2" ySplit="1" topLeftCell="G2" activePane="bottomRight" state="frozen"/>
      <selection pane="topRight" activeCell="C1" sqref="C1"/>
      <selection pane="bottomLeft" activeCell="A2" sqref="A2"/>
      <selection pane="bottomRight" activeCell="H2" sqref="H2"/>
    </sheetView>
  </sheetViews>
  <sheetFormatPr defaultColWidth="9.140625" defaultRowHeight="12.75"/>
  <cols>
    <col min="1" max="1" width="23.42578125" style="15" bestFit="1" customWidth="1"/>
    <col min="2" max="2" width="12" style="15" bestFit="1" customWidth="1"/>
    <col min="3" max="3" width="11.140625" style="15" customWidth="1"/>
    <col min="4" max="4" width="8.140625" style="15" bestFit="1" customWidth="1"/>
    <col min="5" max="5" width="18.42578125" style="15" bestFit="1" customWidth="1"/>
    <col min="6" max="7" width="18.42578125" style="15" customWidth="1"/>
    <col min="8" max="8" width="36.85546875" style="15" bestFit="1" customWidth="1"/>
    <col min="9" max="10" width="13.85546875" style="15" bestFit="1" customWidth="1"/>
    <col min="11" max="11" width="41.42578125" style="15" bestFit="1" customWidth="1"/>
    <col min="12" max="12" width="19.140625" style="15" bestFit="1" customWidth="1"/>
    <col min="13" max="13" width="12.42578125" style="15" bestFit="1" customWidth="1"/>
    <col min="14" max="14" width="11.140625" style="15" bestFit="1" customWidth="1"/>
    <col min="15" max="15" width="14.5703125" style="15" bestFit="1" customWidth="1"/>
    <col min="16" max="16" width="14" style="15" bestFit="1" customWidth="1"/>
    <col min="17" max="17" width="13.42578125" style="15" bestFit="1" customWidth="1"/>
    <col min="18" max="18" width="9.7109375" style="15" bestFit="1" customWidth="1"/>
    <col min="19" max="19" width="12.28515625" style="15" bestFit="1" customWidth="1"/>
    <col min="20" max="20" width="9.7109375" style="15" bestFit="1" customWidth="1"/>
    <col min="21" max="21" width="9.5703125" style="15" customWidth="1"/>
    <col min="22" max="22" width="15.85546875" style="15" customWidth="1"/>
    <col min="23" max="24" width="11.7109375" style="15" customWidth="1"/>
    <col min="25" max="25" width="7.85546875" style="15" bestFit="1" customWidth="1"/>
    <col min="26" max="26" width="9.7109375" style="15" bestFit="1" customWidth="1"/>
    <col min="27" max="27" width="7.85546875" style="15" bestFit="1" customWidth="1"/>
    <col min="28" max="29" width="14.85546875" style="15" bestFit="1" customWidth="1"/>
    <col min="30" max="33" width="17.85546875" style="15" customWidth="1"/>
    <col min="34" max="35" width="17.85546875" style="15" bestFit="1" customWidth="1"/>
    <col min="36" max="53" width="17.85546875" style="15" customWidth="1"/>
    <col min="54" max="57" width="22.85546875" style="15" bestFit="1" customWidth="1"/>
    <col min="58" max="59" width="18.42578125" style="15" bestFit="1" customWidth="1"/>
    <col min="60" max="60" width="28.5703125" style="15" bestFit="1" customWidth="1"/>
    <col min="61" max="61" width="27.28515625" style="15" bestFit="1" customWidth="1"/>
    <col min="62" max="64" width="18.42578125" style="15" customWidth="1"/>
    <col min="65" max="65" width="18.42578125" style="15" bestFit="1" customWidth="1"/>
    <col min="66" max="66" width="16.140625" style="15" bestFit="1" customWidth="1"/>
    <col min="67" max="16384" width="9.140625" style="15"/>
  </cols>
  <sheetData>
    <row r="1" spans="1:247" s="146" customFormat="1" ht="14.1" customHeight="1">
      <c r="A1" s="141" t="s">
        <v>78</v>
      </c>
      <c r="B1" s="142" t="s">
        <v>5</v>
      </c>
      <c r="C1" s="143" t="s">
        <v>84</v>
      </c>
      <c r="D1" s="143" t="s">
        <v>76</v>
      </c>
      <c r="E1" s="142" t="s">
        <v>872</v>
      </c>
      <c r="F1" s="142" t="s">
        <v>134</v>
      </c>
      <c r="G1" s="142" t="s">
        <v>11</v>
      </c>
      <c r="H1" s="142" t="s">
        <v>57</v>
      </c>
      <c r="I1" s="142" t="s">
        <v>604</v>
      </c>
      <c r="J1" s="142" t="s">
        <v>329</v>
      </c>
      <c r="K1" s="142" t="s">
        <v>139</v>
      </c>
      <c r="L1" s="142" t="s">
        <v>605</v>
      </c>
      <c r="M1" s="142" t="s">
        <v>152</v>
      </c>
      <c r="N1" s="142" t="s">
        <v>606</v>
      </c>
      <c r="O1" s="142" t="s">
        <v>274</v>
      </c>
      <c r="P1" s="142" t="s">
        <v>607</v>
      </c>
      <c r="Q1" s="142" t="s">
        <v>608</v>
      </c>
      <c r="R1" s="142" t="s">
        <v>609</v>
      </c>
      <c r="S1" s="142" t="s">
        <v>610</v>
      </c>
      <c r="T1" s="142" t="s">
        <v>611</v>
      </c>
      <c r="U1" s="142" t="s">
        <v>612</v>
      </c>
      <c r="V1" s="142" t="s">
        <v>613</v>
      </c>
      <c r="W1" s="142" t="s">
        <v>614</v>
      </c>
      <c r="X1" s="142" t="s">
        <v>615</v>
      </c>
      <c r="Y1" s="142" t="s">
        <v>616</v>
      </c>
      <c r="Z1" s="142" t="s">
        <v>617</v>
      </c>
      <c r="AA1" s="142" t="s">
        <v>618</v>
      </c>
      <c r="AB1" s="142" t="s">
        <v>619</v>
      </c>
      <c r="AC1" s="142" t="s">
        <v>620</v>
      </c>
      <c r="AD1" s="142" t="s">
        <v>621</v>
      </c>
      <c r="AE1" s="142" t="s">
        <v>622</v>
      </c>
      <c r="AF1" s="142" t="s">
        <v>623</v>
      </c>
      <c r="AG1" s="142" t="s">
        <v>624</v>
      </c>
      <c r="AH1" s="142" t="s">
        <v>625</v>
      </c>
      <c r="AI1" s="142" t="s">
        <v>626</v>
      </c>
      <c r="AJ1" s="142" t="s">
        <v>627</v>
      </c>
      <c r="AK1" s="142" t="s">
        <v>628</v>
      </c>
      <c r="AL1" s="142" t="s">
        <v>629</v>
      </c>
      <c r="AM1" s="142" t="s">
        <v>630</v>
      </c>
      <c r="AN1" s="142" t="s">
        <v>631</v>
      </c>
      <c r="AO1" s="142" t="s">
        <v>632</v>
      </c>
      <c r="AP1" s="142" t="s">
        <v>633</v>
      </c>
      <c r="AQ1" s="142" t="s">
        <v>634</v>
      </c>
      <c r="AR1" s="142" t="s">
        <v>635</v>
      </c>
      <c r="AS1" s="142" t="s">
        <v>636</v>
      </c>
      <c r="AT1" s="142" t="s">
        <v>637</v>
      </c>
      <c r="AU1" s="142" t="s">
        <v>638</v>
      </c>
      <c r="AV1" s="142" t="s">
        <v>155</v>
      </c>
      <c r="AW1" s="142" t="s">
        <v>440</v>
      </c>
      <c r="AX1" s="142" t="s">
        <v>275</v>
      </c>
      <c r="AY1" s="142" t="s">
        <v>157</v>
      </c>
      <c r="AZ1" s="142" t="s">
        <v>441</v>
      </c>
      <c r="BA1" s="142" t="s">
        <v>276</v>
      </c>
      <c r="BB1" s="142" t="s">
        <v>160</v>
      </c>
      <c r="BC1" s="142" t="s">
        <v>639</v>
      </c>
      <c r="BD1" s="142" t="s">
        <v>640</v>
      </c>
      <c r="BE1" s="142" t="s">
        <v>641</v>
      </c>
      <c r="BF1" s="142" t="s">
        <v>642</v>
      </c>
      <c r="BG1" s="142" t="s">
        <v>643</v>
      </c>
      <c r="BH1" s="142" t="s">
        <v>644</v>
      </c>
      <c r="BI1" s="142" t="s">
        <v>164</v>
      </c>
      <c r="BJ1" s="142" t="s">
        <v>278</v>
      </c>
      <c r="BK1" s="142" t="s">
        <v>645</v>
      </c>
      <c r="BL1" s="142" t="s">
        <v>646</v>
      </c>
      <c r="BM1" s="142" t="s">
        <v>647</v>
      </c>
      <c r="BN1" s="142" t="s">
        <v>648</v>
      </c>
      <c r="BO1" s="142" t="s">
        <v>649</v>
      </c>
      <c r="BP1" s="142" t="s">
        <v>650</v>
      </c>
      <c r="BQ1" s="142" t="s">
        <v>651</v>
      </c>
      <c r="BR1" s="142" t="s">
        <v>652</v>
      </c>
      <c r="BS1" s="142" t="s">
        <v>653</v>
      </c>
      <c r="BT1" s="142" t="s">
        <v>654</v>
      </c>
      <c r="BU1" s="142" t="s">
        <v>655</v>
      </c>
      <c r="BV1" s="142" t="s">
        <v>656</v>
      </c>
      <c r="BW1" s="142" t="s">
        <v>657</v>
      </c>
      <c r="BX1" s="142" t="s">
        <v>658</v>
      </c>
      <c r="BY1" s="142" t="s">
        <v>659</v>
      </c>
      <c r="BZ1" s="142" t="s">
        <v>660</v>
      </c>
      <c r="CA1" s="142" t="s">
        <v>661</v>
      </c>
      <c r="CB1" s="142" t="s">
        <v>662</v>
      </c>
      <c r="CC1" s="142" t="s">
        <v>663</v>
      </c>
      <c r="CD1" s="142" t="s">
        <v>664</v>
      </c>
      <c r="CE1" s="142" t="s">
        <v>665</v>
      </c>
      <c r="CF1" s="142" t="s">
        <v>666</v>
      </c>
      <c r="CG1" s="142" t="s">
        <v>667</v>
      </c>
      <c r="CH1" s="142" t="s">
        <v>668</v>
      </c>
      <c r="CI1" s="142" t="s">
        <v>669</v>
      </c>
      <c r="CJ1" s="142" t="s">
        <v>670</v>
      </c>
      <c r="CK1" s="142" t="s">
        <v>671</v>
      </c>
      <c r="CL1" s="142" t="s">
        <v>672</v>
      </c>
      <c r="CM1" s="142" t="s">
        <v>673</v>
      </c>
      <c r="CN1" s="142" t="s">
        <v>674</v>
      </c>
      <c r="CO1" s="142" t="s">
        <v>675</v>
      </c>
      <c r="CP1" s="142" t="s">
        <v>676</v>
      </c>
      <c r="CQ1" s="142" t="s">
        <v>677</v>
      </c>
      <c r="CR1" s="142" t="s">
        <v>678</v>
      </c>
      <c r="CS1" s="142" t="s">
        <v>679</v>
      </c>
      <c r="CT1" s="142" t="s">
        <v>680</v>
      </c>
      <c r="CU1" s="142" t="s">
        <v>681</v>
      </c>
      <c r="CV1" s="142" t="s">
        <v>682</v>
      </c>
      <c r="CW1" s="142" t="s">
        <v>683</v>
      </c>
      <c r="CX1" s="142" t="s">
        <v>684</v>
      </c>
      <c r="CY1" s="142" t="s">
        <v>685</v>
      </c>
      <c r="CZ1" s="142" t="s">
        <v>686</v>
      </c>
      <c r="DA1" s="142" t="s">
        <v>687</v>
      </c>
      <c r="DB1" s="142" t="s">
        <v>688</v>
      </c>
      <c r="DC1" s="142" t="s">
        <v>689</v>
      </c>
      <c r="DD1" s="142" t="s">
        <v>690</v>
      </c>
      <c r="DE1" s="142" t="s">
        <v>691</v>
      </c>
      <c r="DF1" s="142" t="s">
        <v>692</v>
      </c>
      <c r="DG1" s="142" t="s">
        <v>693</v>
      </c>
      <c r="DH1" s="142" t="s">
        <v>694</v>
      </c>
      <c r="DI1" s="142" t="s">
        <v>695</v>
      </c>
      <c r="DJ1" s="142" t="s">
        <v>696</v>
      </c>
      <c r="DK1" s="142" t="s">
        <v>167</v>
      </c>
      <c r="DL1" s="142" t="s">
        <v>170</v>
      </c>
      <c r="DM1" s="142" t="s">
        <v>697</v>
      </c>
      <c r="DN1" s="142" t="s">
        <v>174</v>
      </c>
      <c r="DO1" s="142" t="s">
        <v>177</v>
      </c>
      <c r="DP1" s="142" t="s">
        <v>288</v>
      </c>
      <c r="DQ1" s="142" t="s">
        <v>291</v>
      </c>
      <c r="DR1" s="142" t="s">
        <v>698</v>
      </c>
      <c r="DS1" s="142" t="s">
        <v>180</v>
      </c>
      <c r="DT1" s="142" t="s">
        <v>183</v>
      </c>
      <c r="DU1" s="142" t="s">
        <v>245</v>
      </c>
      <c r="DV1" s="142" t="s">
        <v>248</v>
      </c>
      <c r="DW1" s="142" t="s">
        <v>251</v>
      </c>
      <c r="DX1" s="142" t="s">
        <v>186</v>
      </c>
      <c r="DY1" s="142" t="s">
        <v>189</v>
      </c>
      <c r="DZ1" s="142" t="s">
        <v>254</v>
      </c>
      <c r="EA1" s="142" t="s">
        <v>257</v>
      </c>
      <c r="EB1" s="142" t="s">
        <v>260</v>
      </c>
      <c r="EC1" s="142" t="s">
        <v>699</v>
      </c>
      <c r="ED1" s="142" t="s">
        <v>700</v>
      </c>
      <c r="EE1" s="142" t="s">
        <v>701</v>
      </c>
      <c r="EF1" s="142" t="s">
        <v>702</v>
      </c>
      <c r="EG1" s="142" t="s">
        <v>703</v>
      </c>
      <c r="EH1" s="142" t="s">
        <v>704</v>
      </c>
      <c r="EI1" s="142" t="s">
        <v>705</v>
      </c>
      <c r="EJ1" s="142" t="s">
        <v>706</v>
      </c>
      <c r="EK1" s="142" t="s">
        <v>707</v>
      </c>
      <c r="EL1" s="142" t="s">
        <v>708</v>
      </c>
      <c r="EM1" s="142" t="s">
        <v>709</v>
      </c>
      <c r="EN1" s="142" t="s">
        <v>710</v>
      </c>
      <c r="EO1" s="142" t="s">
        <v>711</v>
      </c>
      <c r="EP1" s="142" t="s">
        <v>712</v>
      </c>
      <c r="EQ1" s="142" t="s">
        <v>713</v>
      </c>
      <c r="ER1" s="142" t="s">
        <v>714</v>
      </c>
      <c r="ES1" s="142" t="s">
        <v>715</v>
      </c>
      <c r="ET1" s="142" t="s">
        <v>716</v>
      </c>
      <c r="EU1" s="142" t="s">
        <v>717</v>
      </c>
      <c r="EV1" s="142" t="s">
        <v>718</v>
      </c>
      <c r="EW1" s="142" t="s">
        <v>719</v>
      </c>
      <c r="EX1" s="142" t="s">
        <v>720</v>
      </c>
      <c r="EY1" s="142" t="s">
        <v>721</v>
      </c>
      <c r="EZ1" s="142" t="s">
        <v>722</v>
      </c>
      <c r="FA1" s="142" t="s">
        <v>723</v>
      </c>
      <c r="FB1" s="142" t="s">
        <v>724</v>
      </c>
      <c r="FC1" s="142" t="s">
        <v>725</v>
      </c>
      <c r="FD1" s="142" t="s">
        <v>726</v>
      </c>
      <c r="FE1" s="142" t="s">
        <v>727</v>
      </c>
      <c r="FF1" s="142" t="s">
        <v>728</v>
      </c>
      <c r="FG1" s="142" t="s">
        <v>203</v>
      </c>
      <c r="FH1" s="142" t="s">
        <v>206</v>
      </c>
      <c r="FI1" s="142" t="s">
        <v>211</v>
      </c>
      <c r="FJ1" s="142" t="s">
        <v>212</v>
      </c>
      <c r="FK1" s="142" t="s">
        <v>214</v>
      </c>
      <c r="FL1" s="142" t="s">
        <v>215</v>
      </c>
      <c r="FM1" s="142" t="s">
        <v>527</v>
      </c>
      <c r="FN1" s="142" t="s">
        <v>528</v>
      </c>
      <c r="FO1" s="142" t="s">
        <v>529</v>
      </c>
      <c r="FP1" s="142" t="s">
        <v>530</v>
      </c>
      <c r="FQ1" s="142" t="s">
        <v>222</v>
      </c>
      <c r="FR1" s="142" t="s">
        <v>223</v>
      </c>
      <c r="FS1" s="142" t="s">
        <v>225</v>
      </c>
      <c r="FT1" s="142" t="s">
        <v>729</v>
      </c>
      <c r="FU1" s="142" t="s">
        <v>294</v>
      </c>
      <c r="FV1" s="142" t="s">
        <v>230</v>
      </c>
      <c r="FW1" s="142" t="s">
        <v>104</v>
      </c>
      <c r="FX1" s="142" t="s">
        <v>234</v>
      </c>
      <c r="FY1" s="142" t="s">
        <v>818</v>
      </c>
      <c r="FZ1" s="142" t="s">
        <v>816</v>
      </c>
      <c r="GA1" s="142" t="s">
        <v>281</v>
      </c>
      <c r="GB1" s="142" t="s">
        <v>237</v>
      </c>
      <c r="GC1" s="142" t="s">
        <v>282</v>
      </c>
      <c r="GD1" s="142" t="s">
        <v>239</v>
      </c>
      <c r="GE1" s="142" t="s">
        <v>283</v>
      </c>
      <c r="GF1" s="142" t="s">
        <v>242</v>
      </c>
      <c r="GG1" s="142" t="s">
        <v>525</v>
      </c>
      <c r="GH1" s="142" t="s">
        <v>261</v>
      </c>
      <c r="GI1" s="142" t="s">
        <v>264</v>
      </c>
      <c r="GJ1" s="142" t="s">
        <v>730</v>
      </c>
      <c r="GK1" s="142" t="s">
        <v>266</v>
      </c>
      <c r="GL1" s="142" t="s">
        <v>268</v>
      </c>
      <c r="GM1" s="144" t="s">
        <v>731</v>
      </c>
      <c r="GN1" s="144" t="s">
        <v>732</v>
      </c>
      <c r="GO1" s="144" t="s">
        <v>733</v>
      </c>
      <c r="GP1" s="144" t="s">
        <v>734</v>
      </c>
      <c r="GQ1" s="144" t="s">
        <v>605</v>
      </c>
      <c r="GR1" s="144" t="s">
        <v>735</v>
      </c>
      <c r="GS1" s="144" t="s">
        <v>736</v>
      </c>
      <c r="GT1" s="144" t="s">
        <v>737</v>
      </c>
      <c r="GU1" s="144" t="s">
        <v>738</v>
      </c>
      <c r="GV1" s="144" t="s">
        <v>736</v>
      </c>
      <c r="GW1" s="144" t="s">
        <v>739</v>
      </c>
      <c r="GX1" s="144" t="s">
        <v>740</v>
      </c>
      <c r="GY1" s="144" t="s">
        <v>736</v>
      </c>
      <c r="GZ1" s="144" t="s">
        <v>741</v>
      </c>
      <c r="HA1" s="144" t="s">
        <v>742</v>
      </c>
      <c r="HB1" s="144" t="s">
        <v>743</v>
      </c>
      <c r="HC1" s="144" t="s">
        <v>744</v>
      </c>
      <c r="HD1" s="144" t="s">
        <v>745</v>
      </c>
      <c r="HE1" s="144" t="s">
        <v>743</v>
      </c>
      <c r="HF1" s="144" t="s">
        <v>746</v>
      </c>
      <c r="HG1" s="144" t="s">
        <v>747</v>
      </c>
      <c r="HH1" s="144" t="s">
        <v>743</v>
      </c>
      <c r="HI1" s="144" t="s">
        <v>748</v>
      </c>
      <c r="HJ1" s="144" t="s">
        <v>749</v>
      </c>
      <c r="HK1" s="144" t="s">
        <v>743</v>
      </c>
      <c r="HL1" s="144" t="s">
        <v>750</v>
      </c>
      <c r="HM1" s="144" t="s">
        <v>751</v>
      </c>
      <c r="HN1" s="144" t="s">
        <v>752</v>
      </c>
      <c r="HO1" s="144" t="s">
        <v>753</v>
      </c>
      <c r="HP1" s="144" t="s">
        <v>754</v>
      </c>
      <c r="HQ1" s="144" t="s">
        <v>755</v>
      </c>
      <c r="HR1" s="144" t="s">
        <v>756</v>
      </c>
      <c r="HS1" s="144" t="s">
        <v>757</v>
      </c>
      <c r="HT1" s="144" t="s">
        <v>758</v>
      </c>
      <c r="HU1" s="144" t="s">
        <v>759</v>
      </c>
      <c r="HV1" s="144" t="s">
        <v>760</v>
      </c>
      <c r="HW1" s="144" t="s">
        <v>761</v>
      </c>
      <c r="HX1" s="144" t="s">
        <v>762</v>
      </c>
      <c r="HY1" s="144" t="s">
        <v>763</v>
      </c>
      <c r="HZ1" s="144" t="s">
        <v>764</v>
      </c>
      <c r="IA1" s="144" t="s">
        <v>765</v>
      </c>
      <c r="IB1" s="144" t="s">
        <v>766</v>
      </c>
      <c r="IC1" s="144" t="s">
        <v>767</v>
      </c>
      <c r="ID1" s="144" t="s">
        <v>768</v>
      </c>
      <c r="IE1" s="144" t="s">
        <v>769</v>
      </c>
      <c r="IF1" s="144" t="s">
        <v>770</v>
      </c>
      <c r="IG1" s="144" t="s">
        <v>771</v>
      </c>
      <c r="IH1" s="144" t="s">
        <v>772</v>
      </c>
      <c r="II1" s="144" t="s">
        <v>773</v>
      </c>
      <c r="IJ1" s="145" t="s">
        <v>774</v>
      </c>
      <c r="IK1" s="145" t="s">
        <v>775</v>
      </c>
      <c r="IL1" s="145" t="s">
        <v>776</v>
      </c>
      <c r="IM1" s="145" t="s">
        <v>777</v>
      </c>
    </row>
    <row r="2" spans="1:247" s="160" customFormat="1" ht="12.75" customHeight="1">
      <c r="A2" s="142" t="s">
        <v>872</v>
      </c>
      <c r="B2" s="142" t="s">
        <v>2</v>
      </c>
      <c r="C2" s="142" t="s">
        <v>2</v>
      </c>
      <c r="D2" s="142" t="s">
        <v>2</v>
      </c>
      <c r="E2" s="147" t="s">
        <v>2</v>
      </c>
      <c r="F2" s="147" t="s">
        <v>778</v>
      </c>
      <c r="G2" s="148" t="s">
        <v>871</v>
      </c>
      <c r="H2" s="185" t="str" cm="1">
        <f t="array" ref="H2">_xlfn.IFS(Global!B2="QA","https://flightinsurance.qa.travelexinsurance.net/",Global!B2="UAT","https://flightinsurance.uat.travelexinsurance.net/",Global!B2="PROD","https://flightinsurance.travelexinsurance.com/")</f>
        <v>https://flightinsurance.uat.travelexinsurance.net/</v>
      </c>
      <c r="I2" s="149">
        <f t="shared" ref="I2" ca="1" si="0">TODAY()</f>
        <v>46266</v>
      </c>
      <c r="J2" s="149"/>
      <c r="K2" s="150"/>
      <c r="L2" s="150" t="s">
        <v>873</v>
      </c>
      <c r="M2" s="150" t="s">
        <v>781</v>
      </c>
      <c r="N2" s="150"/>
      <c r="O2" s="150" t="s">
        <v>782</v>
      </c>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c r="AP2" s="150"/>
      <c r="AQ2" s="150"/>
      <c r="AR2" s="150"/>
      <c r="AS2" s="150"/>
      <c r="AT2" s="150"/>
      <c r="AU2" s="150"/>
      <c r="AV2" s="151" t="str">
        <f t="shared" ref="AV2" ca="1" si="1">TEXT(I2+1,"mm/dd/yyyy")</f>
        <v>09/02/2026</v>
      </c>
      <c r="AW2" s="152" t="str">
        <f t="shared" ref="AW2" ca="1" si="2">TEXT(I2+7,"mm/dd/yyyy")</f>
        <v>09/08/2026</v>
      </c>
      <c r="AX2" s="153" t="str">
        <f t="shared" ref="AX2" ca="1" si="3">TEXT(I2+7,"mm/dd/yyyy")</f>
        <v>09/08/2026</v>
      </c>
      <c r="AY2" s="154" t="str">
        <f t="shared" ref="AY2" ca="1" si="4">TEXT(AV2+89,"mm/dd/yyyy")</f>
        <v>11/30/2026</v>
      </c>
      <c r="AZ2" s="152" t="str">
        <f t="shared" ref="AZ2" ca="1" si="5">TEXT(AW2+14,"mm/dd/yyyy")</f>
        <v>09/22/2026</v>
      </c>
      <c r="BA2" s="153" t="str">
        <f t="shared" ref="BA2" ca="1" si="6">TEXT(AV2+14,"mm/dd/yyyy")</f>
        <v>09/16/2026</v>
      </c>
      <c r="BB2" s="155" t="str">
        <f t="shared" ref="BB2" ca="1" si="7">TEXT(I2-1,"mm/dd/yyyy")</f>
        <v>08/31/2026</v>
      </c>
      <c r="BC2" s="155"/>
      <c r="BD2" s="155"/>
      <c r="BE2" s="155"/>
      <c r="BF2" s="155"/>
      <c r="BG2" s="155"/>
      <c r="BH2" s="155"/>
      <c r="BI2" s="156" t="s">
        <v>783</v>
      </c>
      <c r="BJ2" s="147" t="s">
        <v>784</v>
      </c>
      <c r="BK2" s="147" t="s">
        <v>785</v>
      </c>
      <c r="BL2" s="156"/>
      <c r="BM2" s="147"/>
      <c r="BN2" s="147"/>
      <c r="BO2" s="156"/>
      <c r="BP2" s="147"/>
      <c r="BQ2" s="147"/>
      <c r="BR2" s="156"/>
      <c r="BS2" s="147"/>
      <c r="BT2" s="147"/>
      <c r="BU2" s="156"/>
      <c r="BV2" s="147"/>
      <c r="BW2" s="147"/>
      <c r="BX2" s="156"/>
      <c r="BY2" s="147"/>
      <c r="BZ2" s="147"/>
      <c r="CA2" s="156"/>
      <c r="CB2" s="147"/>
      <c r="CC2" s="147"/>
      <c r="CD2" s="156"/>
      <c r="CE2" s="147"/>
      <c r="CF2" s="147"/>
      <c r="CG2" s="156"/>
      <c r="CH2" s="147"/>
      <c r="CI2" s="147"/>
      <c r="CJ2" s="156"/>
      <c r="CK2" s="147"/>
      <c r="CL2" s="147"/>
      <c r="CM2" s="156"/>
      <c r="CN2" s="147"/>
      <c r="CO2" s="147"/>
      <c r="CP2" s="156"/>
      <c r="CQ2" s="147"/>
      <c r="CR2" s="147"/>
      <c r="CS2" s="156"/>
      <c r="CT2" s="147"/>
      <c r="CU2" s="147"/>
      <c r="CV2" s="156"/>
      <c r="CW2" s="147"/>
      <c r="CX2" s="147"/>
      <c r="CY2" s="156"/>
      <c r="CZ2" s="147"/>
      <c r="DA2" s="147"/>
      <c r="DB2" s="156"/>
      <c r="DC2" s="147"/>
      <c r="DD2" s="147"/>
      <c r="DE2" s="156"/>
      <c r="DF2" s="147"/>
      <c r="DG2" s="147"/>
      <c r="DH2" s="156"/>
      <c r="DI2" s="147"/>
      <c r="DJ2" s="147"/>
      <c r="DK2" s="156" t="s">
        <v>786</v>
      </c>
      <c r="DL2" s="156" t="s">
        <v>787</v>
      </c>
      <c r="DM2" s="157" t="s">
        <v>88</v>
      </c>
      <c r="DN2" s="156" t="s">
        <v>86</v>
      </c>
      <c r="DO2" s="156" t="s">
        <v>788</v>
      </c>
      <c r="DP2" s="156" t="str">
        <f t="shared" ref="DP2" ca="1" si="8">"QAFIRSTNAME"&amp;CHAR(RANDBETWEEN(65,90))&amp;CHAR(RANDBETWEEN(65,90))</f>
        <v>QAFIRSTNAMEED</v>
      </c>
      <c r="DQ2" s="156" t="str">
        <f t="shared" ref="DQ2" ca="1" si="9">"QALASTNAME"&amp;CHAR(RANDBETWEEN(65,90))&amp;CHAR(RANDBETWEEN(65,90))</f>
        <v>QALASTNAMEUP</v>
      </c>
      <c r="DR2" s="156" t="str">
        <f ca="1">TEXT(DATE(YEAR(TODAY())-DN2,MONTH(TODAY()),DAY(TODAY())),"MM/DD/YYYY")</f>
        <v>09/01/2008</v>
      </c>
      <c r="DS2" s="156"/>
      <c r="DT2" s="156"/>
      <c r="DU2" s="156"/>
      <c r="DV2" s="156"/>
      <c r="DW2" s="156"/>
      <c r="DX2" s="156"/>
      <c r="DY2" s="156"/>
      <c r="DZ2" s="156"/>
      <c r="EA2" s="156"/>
      <c r="EB2" s="156"/>
      <c r="EC2" s="156"/>
      <c r="ED2" s="156"/>
      <c r="EE2" s="156"/>
      <c r="EF2" s="156"/>
      <c r="EG2" s="156"/>
      <c r="EH2" s="156"/>
      <c r="EI2" s="156"/>
      <c r="EJ2" s="156"/>
      <c r="EK2" s="156"/>
      <c r="EL2" s="156"/>
      <c r="EM2" s="156"/>
      <c r="EN2" s="156"/>
      <c r="EO2" s="156"/>
      <c r="EP2" s="156"/>
      <c r="EQ2" s="156"/>
      <c r="ER2" s="156"/>
      <c r="ES2" s="156"/>
      <c r="ET2" s="156"/>
      <c r="EU2" s="156"/>
      <c r="EV2" s="156"/>
      <c r="EW2" s="156"/>
      <c r="EX2" s="156"/>
      <c r="EY2" s="156"/>
      <c r="EZ2" s="156"/>
      <c r="FA2" s="156"/>
      <c r="FB2" s="156"/>
      <c r="FC2" s="156"/>
      <c r="FD2" s="156"/>
      <c r="FE2" s="156"/>
      <c r="FF2" s="156"/>
      <c r="FG2" s="147" t="str">
        <f t="shared" ref="FG2" ca="1" si="10">TEXT(AV2,"mm/dd/yyyy")</f>
        <v>09/02/2026</v>
      </c>
      <c r="FH2" s="147" t="str">
        <f t="shared" ref="FH2" ca="1" si="11">TEXT(AV2+1,"mm/dd/yyyy")</f>
        <v>09/03/2026</v>
      </c>
      <c r="FI2" s="147" t="str">
        <f t="shared" ref="FI2:FL2" ca="1" si="12">TEXT(FH2+1,"mm/dd/yyyy")</f>
        <v>09/04/2026</v>
      </c>
      <c r="FJ2" s="147" t="str">
        <f t="shared" ca="1" si="12"/>
        <v>09/05/2026</v>
      </c>
      <c r="FK2" s="147" t="str">
        <f t="shared" ca="1" si="12"/>
        <v>09/06/2026</v>
      </c>
      <c r="FL2" s="147" t="str">
        <f t="shared" ca="1" si="12"/>
        <v>09/07/2026</v>
      </c>
      <c r="FM2" s="147" t="str">
        <f t="shared" ref="FM2" ca="1" si="13">TEXT(FL2+7,"mm/dd/yyyy")</f>
        <v>09/14/2026</v>
      </c>
      <c r="FN2" s="147" t="str">
        <f t="shared" ref="FN2:FP2" ca="1" si="14">TEXT(FM2+1,"mm/dd/yyyy")</f>
        <v>09/15/2026</v>
      </c>
      <c r="FO2" s="147" t="str">
        <f t="shared" ca="1" si="14"/>
        <v>09/16/2026</v>
      </c>
      <c r="FP2" s="147" t="str">
        <f t="shared" ca="1" si="14"/>
        <v>09/17/2026</v>
      </c>
      <c r="FQ2" s="156" t="str">
        <f t="shared" ref="FQ2" ca="1" si="15">"QAFIRSTNAME"&amp;CHAR(RANDBETWEEN(65,90))&amp;CHAR(RANDBETWEEN(65,90))</f>
        <v>QAFIRSTNAMEUG</v>
      </c>
      <c r="FR2" s="147" t="str">
        <f t="shared" ref="FR2" ca="1" si="16">"QALASTNAME"&amp;CHAR(RANDBETWEEN(65,90))&amp;CHAR(RANDBETWEEN(65,90))</f>
        <v>QALASTNAMEME</v>
      </c>
      <c r="FS2" s="147" t="str">
        <f t="shared" ref="FS2" ca="1" si="17">TEXT(DATE(YEAR(TODAY())-DK2,MONTH(TODAY()),DAY(TODAY())),"MM/DD/YYYY")</f>
        <v>09/01/1916</v>
      </c>
      <c r="FT2" s="147"/>
      <c r="FU2" s="147" t="str">
        <f t="shared" ref="FU2" ca="1" si="18">TEXT(DATE(YEAR(TODAY())-DN2,MONTH(TODAY()),DAY(TODAY())),"MM/DD/YYYY")</f>
        <v>09/01/2008</v>
      </c>
      <c r="FV2" s="156" t="s">
        <v>791</v>
      </c>
      <c r="FW2" s="156" t="s">
        <v>813</v>
      </c>
      <c r="FX2" s="156" t="s">
        <v>812</v>
      </c>
      <c r="FY2" s="156" t="s">
        <v>819</v>
      </c>
      <c r="FZ2" s="156" t="s">
        <v>817</v>
      </c>
      <c r="GA2" s="156" t="s">
        <v>792</v>
      </c>
      <c r="GB2" s="156" t="s">
        <v>483</v>
      </c>
      <c r="GC2" s="156" t="s">
        <v>793</v>
      </c>
      <c r="GD2" s="158" t="s">
        <v>794</v>
      </c>
      <c r="GE2" s="158" t="s">
        <v>101</v>
      </c>
      <c r="GF2" s="156" t="s">
        <v>795</v>
      </c>
      <c r="GG2" s="156" t="s">
        <v>795</v>
      </c>
      <c r="GH2" s="147" t="s">
        <v>796</v>
      </c>
      <c r="GI2" s="156" t="s">
        <v>797</v>
      </c>
      <c r="GJ2" s="156"/>
      <c r="GK2" s="156" t="s">
        <v>106</v>
      </c>
      <c r="GL2" s="156" t="s">
        <v>798</v>
      </c>
      <c r="GM2" s="159"/>
      <c r="GN2" s="161" t="str">
        <f>IF(DL2=GM2,"PASSED","FAILED")</f>
        <v>FAILED</v>
      </c>
      <c r="GO2" s="159"/>
      <c r="GP2" s="159"/>
      <c r="GQ2" s="159"/>
      <c r="GR2" s="159"/>
      <c r="GS2" s="159"/>
      <c r="GT2" s="159"/>
      <c r="GU2" s="159"/>
      <c r="GV2" s="159"/>
      <c r="GW2" s="159"/>
      <c r="GX2" s="159"/>
      <c r="GY2" s="159"/>
      <c r="GZ2" s="159"/>
      <c r="HA2" s="159"/>
      <c r="HB2" s="159"/>
      <c r="HC2" s="159"/>
      <c r="HD2" s="159"/>
      <c r="HE2" s="159"/>
      <c r="HF2" s="159"/>
      <c r="HG2" s="159"/>
      <c r="HH2" s="159"/>
      <c r="HI2" s="159"/>
      <c r="HJ2" s="159"/>
      <c r="HK2" s="159"/>
      <c r="HL2" s="162"/>
      <c r="HM2" s="159"/>
      <c r="HN2" s="159"/>
      <c r="HO2" s="159"/>
      <c r="HP2" s="159"/>
      <c r="HQ2" s="159"/>
      <c r="HR2" s="159"/>
      <c r="HS2" s="159"/>
      <c r="HT2" s="159"/>
      <c r="HU2" s="159"/>
      <c r="HV2" s="159"/>
      <c r="HW2" s="159"/>
      <c r="HX2" s="159"/>
      <c r="HY2" s="159"/>
      <c r="HZ2" s="159"/>
      <c r="IA2" s="159"/>
      <c r="IB2" s="159"/>
      <c r="IC2" s="159"/>
      <c r="ID2" s="159"/>
      <c r="IE2" s="159"/>
      <c r="IF2" s="159"/>
      <c r="IG2" s="159"/>
      <c r="IH2" s="159"/>
      <c r="II2" s="159"/>
      <c r="IJ2" s="147"/>
      <c r="IK2" s="147"/>
      <c r="IL2" s="147"/>
      <c r="IM2" s="147"/>
    </row>
  </sheetData>
  <conditionalFormatting sqref="A2:E2">
    <cfRule type="cellIs" dxfId="23" priority="1" stopIfTrue="1" operator="equal">
      <formula>"N"</formula>
    </cfRule>
    <cfRule type="cellIs" dxfId="22" priority="2" stopIfTrue="1" operator="equal">
      <formula>"Y"</formula>
    </cfRule>
  </conditionalFormatting>
  <conditionalFormatting sqref="E1">
    <cfRule type="cellIs" dxfId="21" priority="7" stopIfTrue="1" operator="equal">
      <formula>"N"</formula>
    </cfRule>
    <cfRule type="cellIs" dxfId="20" priority="8" stopIfTrue="1" operator="equal">
      <formula>"Y"</formula>
    </cfRule>
  </conditionalFormatting>
  <conditionalFormatting sqref="GN2 HN2 HQ2 HT2 HW2 HZ2 IC2 IF2 II2">
    <cfRule type="containsText" dxfId="19" priority="3" operator="containsText" text="FAILED">
      <formula>NOT(ISERROR(SEARCH("FAILED",GN2)))</formula>
    </cfRule>
    <cfRule type="containsText" dxfId="18" priority="4" operator="containsText" text="FAILED">
      <formula>NOT(ISERROR(SEARCH("FAILED",GN2)))</formula>
    </cfRule>
    <cfRule type="cellIs" dxfId="17" priority="5" operator="equal">
      <formula>"FAILED"</formula>
    </cfRule>
    <cfRule type="cellIs" dxfId="16" priority="6" operator="equal">
      <formula>"PASSED"</formula>
    </cfRule>
  </conditionalFormatting>
  <dataValidations count="1">
    <dataValidation type="list" allowBlank="1" showInputMessage="1" showErrorMessage="1" sqref="GN2" xr:uid="{F70AEEC7-960E-4D9F-B5C7-8950F0F34DAE}">
      <formula1>"PASSED, FAILED"</formula1>
    </dataValidation>
  </dataValidations>
  <hyperlinks>
    <hyperlink ref="AV2" r:id="rId1" display="qa@travelguard.com" xr:uid="{DA42BFEC-CAE7-4C97-9F02-F1A6CF155C3D}"/>
    <hyperlink ref="AX2" r:id="rId2" display="qa@travelguard.com" xr:uid="{ECBEC2EA-98D8-46A9-B41C-ACF610F60771}"/>
    <hyperlink ref="BA2" r:id="rId3" display="qa@travelguard.com" xr:uid="{4F8261F5-82FC-45A6-81EF-7C0A13466C92}"/>
    <hyperlink ref="GD2" r:id="rId4" display="qa@travelex.com" xr:uid="{0C249859-B04C-4C2A-820D-EEE096655863}"/>
    <hyperlink ref="GE2" r:id="rId5" display="qa@travelex.com" xr:uid="{E7668CFC-562F-494A-A285-1975AAE5D765}"/>
    <hyperlink ref="H2" r:id="rId6" display="https://preview.uat.insurancebytravelex.com" xr:uid="{24491757-CD59-4AD6-A3D2-BCE3BC707CEB}"/>
  </hyperlinks>
  <pageMargins left="0.7" right="0.7" top="0.75" bottom="0.75" header="0.3" footer="0.3"/>
  <pageSetup orientation="portrait" r:id="rId7"/>
  <headerFooter>
    <oddFooter>&amp;L_x000D_&amp;1#&amp;"Aptos"&amp;10&amp;K000000 INTERNAL USE ONLY</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0FB35-789E-4AB4-B4FB-42D6730419A5}">
  <sheetPr>
    <tabColor theme="5"/>
    <outlinePr summaryBelow="0"/>
  </sheetPr>
  <dimension ref="A1:Z178"/>
  <sheetViews>
    <sheetView showGridLines="0" tabSelected="1" zoomScale="85" zoomScaleNormal="85" workbookViewId="0">
      <pane ySplit="1" topLeftCell="A53" activePane="bottomLeft" state="frozen"/>
      <selection activeCell="E20" sqref="E20"/>
      <selection pane="bottomLeft" activeCell="B75" sqref="B75"/>
    </sheetView>
  </sheetViews>
  <sheetFormatPr defaultColWidth="9.140625" defaultRowHeight="12.75" outlineLevelRow="1"/>
  <cols>
    <col min="1" max="1" width="27.42578125" style="13" customWidth="1"/>
    <col min="2" max="2" width="12.42578125" style="14" bestFit="1" customWidth="1"/>
    <col min="3" max="3" width="23.140625" style="13" customWidth="1"/>
    <col min="4" max="4" width="8.5703125" style="13" customWidth="1"/>
    <col min="5" max="5" width="10.85546875" style="13" customWidth="1"/>
    <col min="6" max="6" width="10.42578125" style="13" customWidth="1"/>
    <col min="7" max="7" width="22.140625" style="13" bestFit="1" customWidth="1"/>
    <col min="8" max="9" width="9.140625" style="13"/>
    <col min="10" max="10" width="62.5703125" style="13" bestFit="1" customWidth="1"/>
    <col min="11" max="11" width="9.140625" style="14"/>
    <col min="12" max="12" width="14.140625" style="13" bestFit="1" customWidth="1"/>
    <col min="13" max="13" width="19" style="13" customWidth="1"/>
    <col min="14" max="14" width="15.5703125" style="13" bestFit="1" customWidth="1"/>
    <col min="15" max="15" width="7.85546875" style="13" customWidth="1"/>
    <col min="16" max="16" width="9.5703125" style="13" bestFit="1" customWidth="1"/>
    <col min="17" max="17" width="9.85546875" style="13" bestFit="1" customWidth="1"/>
    <col min="18" max="18" width="20.140625" style="13" customWidth="1"/>
    <col min="19" max="19" width="22.85546875" style="13" bestFit="1" customWidth="1"/>
    <col min="20" max="20" width="12" style="13" bestFit="1" customWidth="1"/>
    <col min="21" max="21" width="8.42578125" style="13" bestFit="1" customWidth="1"/>
    <col min="22" max="22" width="5.85546875" style="13" bestFit="1" customWidth="1"/>
    <col min="23" max="23" width="9" style="13" bestFit="1" customWidth="1"/>
    <col min="24" max="24" width="8.42578125" style="13" bestFit="1" customWidth="1"/>
    <col min="25" max="25" width="7.85546875" style="13" bestFit="1" customWidth="1"/>
    <col min="26" max="16384" width="9.140625" style="9"/>
  </cols>
  <sheetData>
    <row r="1" spans="1:26">
      <c r="A1" s="29" t="s">
        <v>5</v>
      </c>
      <c r="B1" s="7" t="s">
        <v>28</v>
      </c>
      <c r="C1" s="7" t="s">
        <v>29</v>
      </c>
      <c r="D1" s="7" t="s">
        <v>1</v>
      </c>
      <c r="E1" s="7" t="s">
        <v>26</v>
      </c>
      <c r="F1" s="8" t="s">
        <v>53</v>
      </c>
      <c r="G1" s="7" t="s">
        <v>27</v>
      </c>
      <c r="H1" s="7" t="s">
        <v>47</v>
      </c>
      <c r="I1" s="7" t="s">
        <v>42</v>
      </c>
      <c r="J1" s="7" t="s">
        <v>43</v>
      </c>
      <c r="K1" s="7" t="s">
        <v>30</v>
      </c>
      <c r="L1" s="7" t="s">
        <v>31</v>
      </c>
      <c r="M1" s="7" t="s">
        <v>7</v>
      </c>
      <c r="N1" s="7" t="s">
        <v>44</v>
      </c>
      <c r="O1" s="7" t="s">
        <v>46</v>
      </c>
      <c r="P1" s="7" t="s">
        <v>52</v>
      </c>
      <c r="Q1" s="7" t="s">
        <v>51</v>
      </c>
      <c r="R1" s="7" t="s">
        <v>45</v>
      </c>
      <c r="S1" s="7" t="s">
        <v>32</v>
      </c>
      <c r="T1" s="7" t="s">
        <v>48</v>
      </c>
      <c r="U1" s="7" t="s">
        <v>41</v>
      </c>
      <c r="V1" s="7" t="s">
        <v>129</v>
      </c>
      <c r="W1" s="7" t="s">
        <v>11</v>
      </c>
      <c r="X1" s="7" t="s">
        <v>49</v>
      </c>
      <c r="Y1" s="7" t="s">
        <v>50</v>
      </c>
      <c r="Z1" s="7" t="s">
        <v>3</v>
      </c>
    </row>
    <row r="2" spans="1:26" ht="12.75" customHeight="1">
      <c r="A2" s="30" t="s">
        <v>967</v>
      </c>
      <c r="B2" s="31"/>
      <c r="C2" s="31"/>
      <c r="D2" s="32"/>
      <c r="E2" s="32"/>
      <c r="F2" s="31"/>
      <c r="G2" s="32"/>
      <c r="H2" s="32"/>
      <c r="I2" s="32"/>
      <c r="J2" s="32"/>
      <c r="K2" s="31"/>
      <c r="L2" s="32"/>
      <c r="M2" s="32"/>
      <c r="N2" s="32"/>
      <c r="O2" s="32"/>
      <c r="P2" s="32"/>
      <c r="Q2" s="32"/>
      <c r="R2" s="32"/>
      <c r="S2" s="32"/>
      <c r="T2" s="32"/>
      <c r="U2" s="32"/>
      <c r="V2" s="32"/>
      <c r="W2" s="32"/>
      <c r="X2" s="32"/>
      <c r="Y2" s="32"/>
      <c r="Z2" s="32"/>
    </row>
    <row r="3" spans="1:26" outlineLevel="1">
      <c r="A3" s="53" t="str">
        <f>IF(OR(Global!B25="N"),"N","bln696157")</f>
        <v>N</v>
      </c>
      <c r="B3" s="198">
        <f>COUNTA($B$1:B2)</f>
        <v>1</v>
      </c>
      <c r="C3" s="35" t="s">
        <v>132</v>
      </c>
      <c r="D3" s="35"/>
      <c r="E3" s="35"/>
      <c r="F3" s="34"/>
      <c r="G3" s="35" t="s">
        <v>966</v>
      </c>
      <c r="H3" s="35"/>
      <c r="I3" s="35"/>
      <c r="J3" s="35"/>
      <c r="K3" s="69"/>
      <c r="L3" s="35" t="s">
        <v>67</v>
      </c>
      <c r="M3" s="36">
        <v>1</v>
      </c>
      <c r="N3" s="35"/>
      <c r="O3" s="35" t="s">
        <v>2</v>
      </c>
      <c r="P3" s="35"/>
      <c r="Q3" s="35"/>
      <c r="R3" s="35" t="s">
        <v>57</v>
      </c>
      <c r="S3" s="35"/>
      <c r="T3" s="35"/>
      <c r="U3" s="35"/>
      <c r="V3" s="35"/>
      <c r="W3" s="35"/>
      <c r="X3" s="35"/>
      <c r="Y3" s="35"/>
      <c r="Z3" s="35"/>
    </row>
    <row r="4" spans="1:26" outlineLevel="1">
      <c r="A4" s="53" t="str">
        <f>IF(OR(Global!B25="N"),"N","bln696157")</f>
        <v>N</v>
      </c>
      <c r="B4" s="198">
        <f>COUNTA($B$1:B3)</f>
        <v>2</v>
      </c>
      <c r="C4" s="35" t="s">
        <v>947</v>
      </c>
      <c r="D4" s="35"/>
      <c r="E4" s="35"/>
      <c r="F4" s="34"/>
      <c r="G4" s="35" t="s">
        <v>966</v>
      </c>
      <c r="H4" s="35" t="s">
        <v>134</v>
      </c>
      <c r="I4" s="35"/>
      <c r="J4" s="35"/>
      <c r="K4" s="69"/>
      <c r="L4" s="35" t="s">
        <v>33</v>
      </c>
      <c r="M4" s="36" t="str">
        <f>"URL:="&amp;R3&amp;";;HEADLESS:=TRUE"</f>
        <v>URL:=DT_URL;;HEADLESS:=TRUE</v>
      </c>
      <c r="N4" s="35"/>
      <c r="O4" s="35"/>
      <c r="P4" s="35"/>
      <c r="Q4" s="35">
        <v>60</v>
      </c>
      <c r="R4" s="35"/>
      <c r="S4" s="35"/>
      <c r="T4" s="35"/>
      <c r="U4" s="35"/>
      <c r="V4" s="35"/>
      <c r="W4" s="35"/>
      <c r="X4" s="35"/>
      <c r="Y4" s="35"/>
      <c r="Z4" s="35"/>
    </row>
    <row r="5" spans="1:26" s="201" customFormat="1">
      <c r="A5" s="197" t="str">
        <f>IF(OR(Global!B25="Y"),"N","bln696157")</f>
        <v>bln696157</v>
      </c>
      <c r="B5" s="198">
        <f>COUNTA($B$1:B4)</f>
        <v>3</v>
      </c>
      <c r="C5" s="199" t="s">
        <v>132</v>
      </c>
      <c r="D5" s="199"/>
      <c r="E5" s="199"/>
      <c r="F5" s="198"/>
      <c r="G5" s="199" t="s">
        <v>966</v>
      </c>
      <c r="H5" s="199" t="s">
        <v>134</v>
      </c>
      <c r="I5" s="199"/>
      <c r="J5" s="199"/>
      <c r="K5" s="198"/>
      <c r="L5" s="199" t="s">
        <v>33</v>
      </c>
      <c r="M5" s="200" t="s">
        <v>57</v>
      </c>
      <c r="N5" s="199"/>
      <c r="O5" s="199"/>
      <c r="P5" s="199"/>
      <c r="Q5" s="199">
        <v>60</v>
      </c>
      <c r="R5" s="199"/>
      <c r="S5" s="199"/>
      <c r="T5" s="199"/>
      <c r="U5" s="199"/>
      <c r="V5" s="199"/>
      <c r="W5" s="199"/>
      <c r="X5" s="199"/>
      <c r="Y5" s="199"/>
      <c r="Z5" s="199"/>
    </row>
    <row r="6" spans="1:26" s="201" customFormat="1">
      <c r="A6" s="202" t="s">
        <v>21</v>
      </c>
      <c r="B6" s="198">
        <f>COUNTA($B$1:B5)</f>
        <v>4</v>
      </c>
      <c r="C6" s="202" t="s">
        <v>67</v>
      </c>
      <c r="D6" s="202"/>
      <c r="E6" s="202"/>
      <c r="F6" s="202"/>
      <c r="G6" s="199" t="s">
        <v>966</v>
      </c>
      <c r="H6" s="202"/>
      <c r="I6" s="202"/>
      <c r="J6" s="202"/>
      <c r="K6" s="203"/>
      <c r="L6" s="202" t="s">
        <v>67</v>
      </c>
      <c r="M6" s="202">
        <v>5</v>
      </c>
      <c r="N6" s="202"/>
      <c r="O6" s="202"/>
      <c r="P6" s="202"/>
      <c r="Q6" s="202"/>
      <c r="R6" s="204"/>
      <c r="S6" s="202"/>
      <c r="T6" s="202"/>
      <c r="U6" s="202"/>
      <c r="V6" s="202"/>
      <c r="W6" s="202"/>
      <c r="X6" s="202"/>
      <c r="Y6" s="202"/>
      <c r="Z6" s="199"/>
    </row>
    <row r="7" spans="1:26" s="201" customFormat="1">
      <c r="A7" s="202" t="s">
        <v>21</v>
      </c>
      <c r="B7" s="198">
        <f>COUNTA($B$1:B6)</f>
        <v>5</v>
      </c>
      <c r="C7" s="202" t="s">
        <v>68</v>
      </c>
      <c r="D7" s="202"/>
      <c r="E7" s="202"/>
      <c r="F7" s="202"/>
      <c r="G7" s="199" t="s">
        <v>966</v>
      </c>
      <c r="H7" s="202"/>
      <c r="I7" s="202" t="s">
        <v>55</v>
      </c>
      <c r="J7" s="202" t="s">
        <v>71</v>
      </c>
      <c r="K7" s="203">
        <v>0</v>
      </c>
      <c r="L7" s="202" t="s">
        <v>0</v>
      </c>
      <c r="M7" s="202" t="s">
        <v>74</v>
      </c>
      <c r="N7" s="202"/>
      <c r="O7" s="202" t="s">
        <v>2</v>
      </c>
      <c r="P7" s="202"/>
      <c r="Q7" s="205">
        <v>5</v>
      </c>
      <c r="R7" s="204"/>
      <c r="S7" s="202"/>
      <c r="T7" s="202"/>
      <c r="U7" s="202"/>
      <c r="V7" s="202"/>
      <c r="W7" s="202"/>
      <c r="X7" s="202"/>
      <c r="Y7" s="202"/>
      <c r="Z7" s="199"/>
    </row>
    <row r="8" spans="1:26" s="201" customFormat="1">
      <c r="A8" s="202" t="s">
        <v>21</v>
      </c>
      <c r="B8" s="198">
        <f>COUNTA($B$1:B7)</f>
        <v>6</v>
      </c>
      <c r="C8" s="202" t="s">
        <v>69</v>
      </c>
      <c r="D8" s="202"/>
      <c r="E8" s="202"/>
      <c r="F8" s="202"/>
      <c r="G8" s="199" t="s">
        <v>966</v>
      </c>
      <c r="H8" s="202"/>
      <c r="I8" s="202" t="s">
        <v>55</v>
      </c>
      <c r="J8" s="202" t="s">
        <v>72</v>
      </c>
      <c r="K8" s="203">
        <v>0</v>
      </c>
      <c r="L8" s="202" t="s">
        <v>0</v>
      </c>
      <c r="M8" s="202" t="s">
        <v>75</v>
      </c>
      <c r="N8" s="202"/>
      <c r="O8" s="202" t="s">
        <v>2</v>
      </c>
      <c r="P8" s="202"/>
      <c r="Q8" s="202"/>
      <c r="R8" s="204"/>
      <c r="S8" s="202"/>
      <c r="T8" s="202"/>
      <c r="U8" s="202"/>
      <c r="V8" s="202"/>
      <c r="W8" s="202"/>
      <c r="X8" s="202"/>
      <c r="Y8" s="202"/>
      <c r="Z8" s="199"/>
    </row>
    <row r="9" spans="1:26" s="201" customFormat="1">
      <c r="A9" s="202" t="s">
        <v>21</v>
      </c>
      <c r="B9" s="198">
        <f>COUNTA($B$1:B8)</f>
        <v>7</v>
      </c>
      <c r="C9" s="202" t="s">
        <v>70</v>
      </c>
      <c r="D9" s="202"/>
      <c r="E9" s="202"/>
      <c r="F9" s="202"/>
      <c r="G9" s="199" t="s">
        <v>966</v>
      </c>
      <c r="H9" s="202"/>
      <c r="I9" s="202" t="s">
        <v>55</v>
      </c>
      <c r="J9" s="202" t="s">
        <v>73</v>
      </c>
      <c r="K9" s="203">
        <v>0</v>
      </c>
      <c r="L9" s="202" t="s">
        <v>34</v>
      </c>
      <c r="M9" s="202"/>
      <c r="N9" s="202"/>
      <c r="O9" s="202" t="s">
        <v>2</v>
      </c>
      <c r="P9" s="202"/>
      <c r="Q9" s="202"/>
      <c r="R9" s="204"/>
      <c r="S9" s="202"/>
      <c r="T9" s="202"/>
      <c r="U9" s="202"/>
      <c r="V9" s="202"/>
      <c r="W9" s="202"/>
      <c r="X9" s="202"/>
      <c r="Y9" s="202"/>
      <c r="Z9" s="199"/>
    </row>
    <row r="10" spans="1:26" s="201" customFormat="1">
      <c r="A10" s="202" t="s">
        <v>21</v>
      </c>
      <c r="B10" s="198">
        <f>COUNTA($B$1:B9)</f>
        <v>8</v>
      </c>
      <c r="C10" s="202" t="s">
        <v>67</v>
      </c>
      <c r="D10" s="202"/>
      <c r="E10" s="202"/>
      <c r="F10" s="202"/>
      <c r="G10" s="199" t="s">
        <v>966</v>
      </c>
      <c r="H10" s="202"/>
      <c r="I10" s="202"/>
      <c r="J10" s="202"/>
      <c r="K10" s="203"/>
      <c r="L10" s="202" t="s">
        <v>67</v>
      </c>
      <c r="M10" s="202">
        <v>5</v>
      </c>
      <c r="N10" s="202"/>
      <c r="O10" s="202"/>
      <c r="P10" s="202"/>
      <c r="Q10" s="202"/>
      <c r="R10" s="204"/>
      <c r="S10" s="202"/>
      <c r="T10" s="202"/>
      <c r="U10" s="202"/>
      <c r="V10" s="202"/>
      <c r="W10" s="202"/>
      <c r="X10" s="202"/>
      <c r="Y10" s="202"/>
      <c r="Z10" s="199"/>
    </row>
    <row r="11" spans="1:26">
      <c r="A11" s="30" t="s">
        <v>932</v>
      </c>
      <c r="B11" s="31"/>
      <c r="C11" s="31"/>
      <c r="D11" s="32"/>
      <c r="E11" s="32"/>
      <c r="F11" s="31"/>
      <c r="G11" s="32"/>
      <c r="H11" s="32"/>
      <c r="I11" s="32"/>
      <c r="J11" s="32"/>
      <c r="K11" s="31"/>
      <c r="L11" s="32"/>
      <c r="M11" s="32"/>
      <c r="N11" s="32"/>
      <c r="O11" s="32"/>
      <c r="P11" s="32"/>
      <c r="Q11" s="32"/>
      <c r="R11" s="32"/>
      <c r="S11" s="32"/>
      <c r="T11" s="32"/>
      <c r="U11" s="32"/>
      <c r="V11" s="32"/>
      <c r="W11" s="32"/>
      <c r="X11" s="32"/>
      <c r="Y11" s="32"/>
      <c r="Z11" s="32"/>
    </row>
    <row r="12" spans="1:26" s="19" customFormat="1" outlineLevel="1">
      <c r="A12" s="33" t="s">
        <v>965</v>
      </c>
      <c r="B12" s="34">
        <f>COUNTA($B$1:B11)</f>
        <v>9</v>
      </c>
      <c r="C12" s="41" t="s">
        <v>136</v>
      </c>
      <c r="D12" s="41"/>
      <c r="E12" s="41"/>
      <c r="F12" s="42"/>
      <c r="G12" s="35" t="s">
        <v>966</v>
      </c>
      <c r="H12" s="41"/>
      <c r="I12" s="41"/>
      <c r="J12" s="41"/>
      <c r="K12" s="42"/>
      <c r="L12" s="43" t="s">
        <v>137</v>
      </c>
      <c r="M12" s="44" t="s">
        <v>138</v>
      </c>
      <c r="N12" s="41"/>
      <c r="O12" s="41"/>
      <c r="P12" s="41"/>
      <c r="Q12" s="42"/>
      <c r="R12" s="41"/>
      <c r="S12" s="41"/>
      <c r="T12" s="41"/>
      <c r="U12" s="41"/>
      <c r="V12" s="41"/>
      <c r="W12" s="41"/>
      <c r="X12" s="41"/>
      <c r="Y12" s="41"/>
      <c r="Z12" s="41"/>
    </row>
    <row r="13" spans="1:26" s="19" customFormat="1" outlineLevel="1">
      <c r="A13" s="45" t="s">
        <v>965</v>
      </c>
      <c r="B13" s="47">
        <f>COUNTA($B$1:B12)</f>
        <v>10</v>
      </c>
      <c r="C13" s="46" t="s">
        <v>140</v>
      </c>
      <c r="D13" s="46"/>
      <c r="E13" s="46"/>
      <c r="F13" s="47"/>
      <c r="G13" s="46" t="s">
        <v>966</v>
      </c>
      <c r="H13" s="46"/>
      <c r="I13" s="46" t="s">
        <v>55</v>
      </c>
      <c r="J13" s="46" t="s">
        <v>141</v>
      </c>
      <c r="K13" s="47"/>
      <c r="L13" s="46" t="s">
        <v>142</v>
      </c>
      <c r="M13" s="48"/>
      <c r="N13" s="46"/>
      <c r="O13" s="46" t="s">
        <v>2</v>
      </c>
      <c r="P13" s="46"/>
      <c r="Q13" s="46"/>
      <c r="R13" s="49"/>
      <c r="S13" s="46"/>
      <c r="T13" s="46"/>
      <c r="U13" s="46"/>
      <c r="V13" s="46"/>
      <c r="W13" s="46"/>
      <c r="X13" s="46"/>
      <c r="Y13" s="46"/>
      <c r="Z13" s="46"/>
    </row>
    <row r="14" spans="1:26" s="19" customFormat="1" outlineLevel="1">
      <c r="A14" s="45" t="s">
        <v>965</v>
      </c>
      <c r="B14" s="47">
        <f>COUNTA($B$1:B13)</f>
        <v>11</v>
      </c>
      <c r="C14" s="46" t="s">
        <v>143</v>
      </c>
      <c r="D14" s="46"/>
      <c r="E14" s="46"/>
      <c r="F14" s="47"/>
      <c r="G14" s="46" t="s">
        <v>966</v>
      </c>
      <c r="H14" s="46"/>
      <c r="I14" s="46" t="s">
        <v>55</v>
      </c>
      <c r="J14" s="46" t="s">
        <v>141</v>
      </c>
      <c r="K14" s="47"/>
      <c r="L14" s="46" t="s">
        <v>98</v>
      </c>
      <c r="M14" s="48"/>
      <c r="N14" s="46" t="s">
        <v>99</v>
      </c>
      <c r="O14" s="46" t="s">
        <v>2</v>
      </c>
      <c r="P14" s="46"/>
      <c r="Q14" s="46"/>
      <c r="R14" s="49" t="s">
        <v>144</v>
      </c>
      <c r="S14" s="46"/>
      <c r="T14" s="46"/>
      <c r="U14" s="46"/>
      <c r="V14" s="46"/>
      <c r="W14" s="46"/>
      <c r="X14" s="46"/>
      <c r="Y14" s="46"/>
      <c r="Z14" s="46"/>
    </row>
    <row r="15" spans="1:26" s="19" customFormat="1" outlineLevel="1">
      <c r="A15" s="45" t="s">
        <v>965</v>
      </c>
      <c r="B15" s="47">
        <f>COUNTA($B$1:B14)</f>
        <v>12</v>
      </c>
      <c r="C15" s="46" t="s">
        <v>145</v>
      </c>
      <c r="D15" s="46"/>
      <c r="E15" s="46"/>
      <c r="F15" s="47"/>
      <c r="G15" s="46" t="s">
        <v>966</v>
      </c>
      <c r="H15" s="46"/>
      <c r="I15" s="46" t="s">
        <v>55</v>
      </c>
      <c r="J15" s="46" t="s">
        <v>146</v>
      </c>
      <c r="K15" s="47"/>
      <c r="L15" s="46" t="s">
        <v>147</v>
      </c>
      <c r="M15" s="48"/>
      <c r="N15" s="46"/>
      <c r="O15" s="46" t="s">
        <v>2</v>
      </c>
      <c r="P15" s="46"/>
      <c r="Q15" s="46"/>
      <c r="R15" s="48"/>
      <c r="S15" s="46"/>
      <c r="T15" s="46"/>
      <c r="U15" s="46"/>
      <c r="V15" s="46"/>
      <c r="W15" s="46"/>
      <c r="X15" s="46"/>
      <c r="Y15" s="46"/>
      <c r="Z15" s="46"/>
    </row>
    <row r="16" spans="1:26" s="19" customFormat="1" outlineLevel="1">
      <c r="A16" s="33" t="s">
        <v>965</v>
      </c>
      <c r="B16" s="34">
        <f>COUNTA($B$1:B15)</f>
        <v>13</v>
      </c>
      <c r="C16" s="35" t="s">
        <v>148</v>
      </c>
      <c r="D16" s="35"/>
      <c r="E16" s="35"/>
      <c r="F16" s="34"/>
      <c r="G16" s="35" t="s">
        <v>966</v>
      </c>
      <c r="H16" s="35"/>
      <c r="I16" s="35" t="s">
        <v>55</v>
      </c>
      <c r="J16" s="35" t="s">
        <v>149</v>
      </c>
      <c r="K16" s="34">
        <v>0</v>
      </c>
      <c r="L16" s="35" t="s">
        <v>34</v>
      </c>
      <c r="M16" s="35"/>
      <c r="N16" s="35"/>
      <c r="O16" s="35"/>
      <c r="P16" s="35"/>
      <c r="Q16" s="35"/>
      <c r="R16" s="35"/>
      <c r="S16" s="35"/>
      <c r="T16" s="35"/>
      <c r="U16" s="35"/>
      <c r="V16" s="35"/>
      <c r="W16" s="35"/>
      <c r="X16" s="35"/>
      <c r="Y16" s="35"/>
      <c r="Z16" s="35"/>
    </row>
    <row r="17" spans="1:26" s="19" customFormat="1" outlineLevel="1">
      <c r="A17" s="33" t="s">
        <v>965</v>
      </c>
      <c r="B17" s="34">
        <f>COUNTA($B$1:B16)</f>
        <v>14</v>
      </c>
      <c r="C17" s="35" t="s">
        <v>67</v>
      </c>
      <c r="D17" s="35"/>
      <c r="E17" s="35"/>
      <c r="F17" s="34"/>
      <c r="G17" s="35" t="s">
        <v>966</v>
      </c>
      <c r="H17" s="35"/>
      <c r="I17" s="35"/>
      <c r="J17" s="35"/>
      <c r="K17" s="34"/>
      <c r="L17" s="35" t="s">
        <v>67</v>
      </c>
      <c r="M17" s="36">
        <v>2</v>
      </c>
      <c r="N17" s="35"/>
      <c r="O17" s="35"/>
      <c r="P17" s="35"/>
      <c r="Q17" s="35"/>
      <c r="R17" s="35"/>
      <c r="S17" s="35"/>
      <c r="T17" s="35"/>
      <c r="U17" s="35"/>
      <c r="V17" s="35"/>
      <c r="W17" s="35"/>
      <c r="X17" s="35"/>
      <c r="Y17" s="35"/>
      <c r="Z17" s="35"/>
    </row>
    <row r="18" spans="1:26" s="19" customFormat="1" outlineLevel="1">
      <c r="A18" s="33" t="s">
        <v>965</v>
      </c>
      <c r="B18" s="34">
        <f>COUNTA($B$1:B17)</f>
        <v>15</v>
      </c>
      <c r="C18" s="35" t="s">
        <v>150</v>
      </c>
      <c r="D18" s="35"/>
      <c r="E18" s="35"/>
      <c r="F18" s="34"/>
      <c r="G18" s="35" t="s">
        <v>966</v>
      </c>
      <c r="H18" s="35"/>
      <c r="I18" s="35" t="s">
        <v>55</v>
      </c>
      <c r="J18" s="35" t="s">
        <v>149</v>
      </c>
      <c r="K18" s="34">
        <v>0</v>
      </c>
      <c r="L18" s="35" t="s">
        <v>151</v>
      </c>
      <c r="M18" s="50" t="s">
        <v>152</v>
      </c>
      <c r="N18" s="35"/>
      <c r="O18" s="35"/>
      <c r="P18" s="35"/>
      <c r="Q18" s="35"/>
      <c r="R18" s="35"/>
      <c r="S18" s="35"/>
      <c r="T18" s="35"/>
      <c r="U18" s="35"/>
      <c r="V18" s="35"/>
      <c r="W18" s="35"/>
      <c r="X18" s="35"/>
      <c r="Y18" s="35"/>
      <c r="Z18" s="35"/>
    </row>
    <row r="19" spans="1:26" s="19" customFormat="1" outlineLevel="1">
      <c r="A19" s="33" t="s">
        <v>965</v>
      </c>
      <c r="B19" s="34">
        <f>COUNTA($B$1:B18)</f>
        <v>16</v>
      </c>
      <c r="C19" s="35" t="s">
        <v>67</v>
      </c>
      <c r="D19" s="35"/>
      <c r="E19" s="35"/>
      <c r="F19" s="34"/>
      <c r="G19" s="35" t="s">
        <v>966</v>
      </c>
      <c r="H19" s="35"/>
      <c r="I19" s="35"/>
      <c r="J19" s="35"/>
      <c r="K19" s="34"/>
      <c r="L19" s="35" t="s">
        <v>67</v>
      </c>
      <c r="M19" s="36">
        <v>2</v>
      </c>
      <c r="N19" s="35"/>
      <c r="O19" s="35"/>
      <c r="P19" s="35"/>
      <c r="Q19" s="35"/>
      <c r="R19" s="35"/>
      <c r="S19" s="35"/>
      <c r="T19" s="35"/>
      <c r="U19" s="35"/>
      <c r="V19" s="35"/>
      <c r="W19" s="35"/>
      <c r="X19" s="35"/>
      <c r="Y19" s="35"/>
      <c r="Z19" s="35"/>
    </row>
    <row r="20" spans="1:26" s="19" customFormat="1" outlineLevel="1">
      <c r="A20" s="33" t="s">
        <v>965</v>
      </c>
      <c r="B20" s="34">
        <f>COUNTA($B$1:B19)</f>
        <v>17</v>
      </c>
      <c r="C20" s="35" t="s">
        <v>148</v>
      </c>
      <c r="D20" s="35"/>
      <c r="E20" s="35"/>
      <c r="F20" s="42"/>
      <c r="G20" s="35" t="s">
        <v>966</v>
      </c>
      <c r="H20" s="35"/>
      <c r="I20" s="35" t="s">
        <v>55</v>
      </c>
      <c r="J20" s="35" t="str">
        <f>"//a[contains(.,'"&amp;M18&amp;"')]"</f>
        <v>//a[contains(.,'Destination')]</v>
      </c>
      <c r="K20" s="34">
        <v>0</v>
      </c>
      <c r="L20" s="35" t="s">
        <v>147</v>
      </c>
      <c r="M20" s="35"/>
      <c r="N20" s="35"/>
      <c r="O20" s="35"/>
      <c r="P20" s="35"/>
      <c r="Q20" s="35"/>
      <c r="R20" s="35"/>
      <c r="S20" s="35"/>
      <c r="T20" s="35"/>
      <c r="U20" s="35"/>
      <c r="V20" s="35"/>
      <c r="W20" s="35"/>
      <c r="X20" s="35"/>
      <c r="Y20" s="35"/>
      <c r="Z20" s="35"/>
    </row>
    <row r="21" spans="1:26" s="19" customFormat="1" outlineLevel="1">
      <c r="A21" s="33" t="s">
        <v>965</v>
      </c>
      <c r="B21" s="34">
        <f>COUNTA($B$1:B20)</f>
        <v>18</v>
      </c>
      <c r="C21" s="35" t="s">
        <v>153</v>
      </c>
      <c r="D21" s="51"/>
      <c r="E21" s="52" t="s">
        <v>154</v>
      </c>
      <c r="F21" s="38"/>
      <c r="G21" s="35" t="s">
        <v>966</v>
      </c>
      <c r="H21" s="35"/>
      <c r="I21" s="35" t="s">
        <v>55</v>
      </c>
      <c r="J21" s="35" t="s">
        <v>81</v>
      </c>
      <c r="K21" s="34">
        <v>0</v>
      </c>
      <c r="L21" s="35" t="s">
        <v>0</v>
      </c>
      <c r="M21" s="50" t="s">
        <v>155</v>
      </c>
      <c r="N21" s="35"/>
      <c r="O21" s="35"/>
      <c r="P21" s="35"/>
      <c r="Q21" s="35"/>
      <c r="R21" s="35"/>
      <c r="S21" s="52"/>
      <c r="T21" s="35"/>
      <c r="U21" s="35"/>
      <c r="V21" s="35"/>
      <c r="W21" s="35"/>
      <c r="X21" s="52"/>
      <c r="Y21" s="52"/>
      <c r="Z21" s="52"/>
    </row>
    <row r="22" spans="1:26" s="19" customFormat="1" outlineLevel="1">
      <c r="A22" s="33" t="s">
        <v>965</v>
      </c>
      <c r="B22" s="34">
        <f>COUNTA($B$1:B21)</f>
        <v>19</v>
      </c>
      <c r="C22" s="35" t="s">
        <v>156</v>
      </c>
      <c r="D22" s="51"/>
      <c r="E22" s="52" t="s">
        <v>154</v>
      </c>
      <c r="F22" s="38"/>
      <c r="G22" s="35" t="s">
        <v>966</v>
      </c>
      <c r="H22" s="35"/>
      <c r="I22" s="35" t="s">
        <v>55</v>
      </c>
      <c r="J22" s="35" t="s">
        <v>82</v>
      </c>
      <c r="K22" s="34">
        <v>0</v>
      </c>
      <c r="L22" s="35" t="s">
        <v>0</v>
      </c>
      <c r="M22" s="50" t="s">
        <v>157</v>
      </c>
      <c r="N22" s="35"/>
      <c r="O22" s="35"/>
      <c r="P22" s="35"/>
      <c r="Q22" s="35"/>
      <c r="R22" s="35"/>
      <c r="S22" s="52"/>
      <c r="T22" s="35"/>
      <c r="U22" s="35"/>
      <c r="V22" s="35"/>
      <c r="W22" s="35"/>
      <c r="X22" s="52"/>
      <c r="Y22" s="52"/>
      <c r="Z22" s="52"/>
    </row>
    <row r="23" spans="1:26" s="19" customFormat="1" outlineLevel="1">
      <c r="A23" s="33" t="s">
        <v>965</v>
      </c>
      <c r="B23" s="34">
        <f>COUNTA($B$1:B22)</f>
        <v>20</v>
      </c>
      <c r="C23" s="35" t="s">
        <v>161</v>
      </c>
      <c r="D23" s="35"/>
      <c r="E23" s="35"/>
      <c r="F23" s="34"/>
      <c r="G23" s="35" t="s">
        <v>966</v>
      </c>
      <c r="H23" s="35"/>
      <c r="I23" s="35" t="s">
        <v>55</v>
      </c>
      <c r="J23" s="35" t="s">
        <v>162</v>
      </c>
      <c r="K23" s="34">
        <v>0</v>
      </c>
      <c r="L23" s="35" t="s">
        <v>34</v>
      </c>
      <c r="M23" s="35"/>
      <c r="N23" s="35"/>
      <c r="O23" s="35"/>
      <c r="P23" s="35"/>
      <c r="Q23" s="35"/>
      <c r="R23" s="35"/>
      <c r="S23" s="35"/>
      <c r="T23" s="35"/>
      <c r="U23" s="35"/>
      <c r="V23" s="35"/>
      <c r="W23" s="35"/>
      <c r="X23" s="35"/>
      <c r="Y23" s="35"/>
      <c r="Z23" s="35"/>
    </row>
    <row r="24" spans="1:26" s="19" customFormat="1" outlineLevel="1">
      <c r="A24" s="33" t="s">
        <v>965</v>
      </c>
      <c r="B24" s="34">
        <f>COUNTA($B$1:B23)</f>
        <v>21</v>
      </c>
      <c r="C24" s="35" t="s">
        <v>67</v>
      </c>
      <c r="D24" s="35"/>
      <c r="E24" s="35"/>
      <c r="F24" s="34"/>
      <c r="G24" s="35" t="s">
        <v>966</v>
      </c>
      <c r="H24" s="35"/>
      <c r="I24" s="35"/>
      <c r="J24" s="35"/>
      <c r="K24" s="34"/>
      <c r="L24" s="35" t="s">
        <v>67</v>
      </c>
      <c r="M24" s="36">
        <v>2</v>
      </c>
      <c r="N24" s="35"/>
      <c r="O24" s="35"/>
      <c r="P24" s="35"/>
      <c r="Q24" s="35"/>
      <c r="R24" s="35"/>
      <c r="S24" s="35"/>
      <c r="T24" s="35"/>
      <c r="U24" s="35"/>
      <c r="V24" s="35"/>
      <c r="W24" s="35"/>
      <c r="X24" s="35"/>
      <c r="Y24" s="35"/>
      <c r="Z24" s="35"/>
    </row>
    <row r="25" spans="1:26" s="19" customFormat="1" outlineLevel="1">
      <c r="A25" s="33" t="s">
        <v>965</v>
      </c>
      <c r="B25" s="34">
        <f>COUNTA($B$1:B24)</f>
        <v>22</v>
      </c>
      <c r="C25" s="35" t="s">
        <v>163</v>
      </c>
      <c r="D25" s="35"/>
      <c r="E25" s="35"/>
      <c r="F25" s="34"/>
      <c r="G25" s="35" t="s">
        <v>966</v>
      </c>
      <c r="H25" s="35"/>
      <c r="I25" s="35" t="s">
        <v>55</v>
      </c>
      <c r="J25" s="35" t="s">
        <v>162</v>
      </c>
      <c r="K25" s="34">
        <v>0</v>
      </c>
      <c r="L25" s="35" t="s">
        <v>151</v>
      </c>
      <c r="M25" s="50" t="s">
        <v>164</v>
      </c>
      <c r="N25" s="35"/>
      <c r="O25" s="35"/>
      <c r="P25" s="35"/>
      <c r="Q25" s="35"/>
      <c r="R25" s="35"/>
      <c r="S25" s="35"/>
      <c r="T25" s="35"/>
      <c r="U25" s="35"/>
      <c r="V25" s="35"/>
      <c r="W25" s="35"/>
      <c r="X25" s="35"/>
      <c r="Y25" s="35"/>
      <c r="Z25" s="35"/>
    </row>
    <row r="26" spans="1:26" s="19" customFormat="1" outlineLevel="1">
      <c r="A26" s="33" t="s">
        <v>965</v>
      </c>
      <c r="B26" s="34">
        <f>COUNTA($B$1:B25)</f>
        <v>23</v>
      </c>
      <c r="C26" s="35" t="s">
        <v>67</v>
      </c>
      <c r="D26" s="35"/>
      <c r="E26" s="35"/>
      <c r="F26" s="34"/>
      <c r="G26" s="35" t="s">
        <v>966</v>
      </c>
      <c r="H26" s="35"/>
      <c r="I26" s="35"/>
      <c r="J26" s="35"/>
      <c r="K26" s="34"/>
      <c r="L26" s="35" t="s">
        <v>67</v>
      </c>
      <c r="M26" s="36">
        <v>2</v>
      </c>
      <c r="N26" s="35"/>
      <c r="O26" s="35"/>
      <c r="P26" s="35"/>
      <c r="Q26" s="35"/>
      <c r="R26" s="35"/>
      <c r="S26" s="35"/>
      <c r="T26" s="35"/>
      <c r="U26" s="35"/>
      <c r="V26" s="35"/>
      <c r="W26" s="35"/>
      <c r="X26" s="35"/>
      <c r="Y26" s="35"/>
      <c r="Z26" s="35"/>
    </row>
    <row r="27" spans="1:26" s="19" customFormat="1" outlineLevel="1">
      <c r="A27" s="33" t="s">
        <v>965</v>
      </c>
      <c r="B27" s="34">
        <f>COUNTA($B$1:B26)</f>
        <v>24</v>
      </c>
      <c r="C27" s="35" t="s">
        <v>161</v>
      </c>
      <c r="D27" s="35"/>
      <c r="E27" s="35"/>
      <c r="F27" s="42"/>
      <c r="G27" s="35" t="s">
        <v>966</v>
      </c>
      <c r="H27" s="35"/>
      <c r="I27" s="35" t="s">
        <v>55</v>
      </c>
      <c r="J27" s="35" t="str">
        <f>"//a[contains(.,'"&amp;M25&amp;"')]"</f>
        <v>//a[contains(.,'Residence')]</v>
      </c>
      <c r="K27" s="34">
        <v>0</v>
      </c>
      <c r="L27" s="35" t="s">
        <v>147</v>
      </c>
      <c r="M27" s="35"/>
      <c r="N27" s="35"/>
      <c r="O27" s="35"/>
      <c r="P27" s="35"/>
      <c r="Q27" s="35"/>
      <c r="R27" s="35"/>
      <c r="S27" s="35"/>
      <c r="T27" s="35"/>
      <c r="U27" s="35"/>
      <c r="V27" s="35"/>
      <c r="W27" s="35"/>
      <c r="X27" s="35"/>
      <c r="Y27" s="35"/>
      <c r="Z27" s="35"/>
    </row>
    <row r="28" spans="1:26" s="10" customFormat="1">
      <c r="A28" s="33" t="s">
        <v>965</v>
      </c>
      <c r="B28" s="34">
        <f>COUNTA($B$1:B27)</f>
        <v>25</v>
      </c>
      <c r="C28" s="35" t="s">
        <v>190</v>
      </c>
      <c r="D28" s="35"/>
      <c r="E28" s="35"/>
      <c r="F28" s="34"/>
      <c r="G28" s="35" t="s">
        <v>966</v>
      </c>
      <c r="H28" s="35"/>
      <c r="I28" s="35" t="s">
        <v>55</v>
      </c>
      <c r="J28" s="35" t="s">
        <v>87</v>
      </c>
      <c r="K28" s="34">
        <v>0</v>
      </c>
      <c r="L28" s="35" t="s">
        <v>147</v>
      </c>
      <c r="M28" s="36"/>
      <c r="N28" s="35"/>
      <c r="O28" s="35"/>
      <c r="P28" s="35"/>
      <c r="Q28" s="35"/>
      <c r="R28" s="35"/>
      <c r="S28" s="35"/>
      <c r="T28" s="35"/>
      <c r="U28" s="35"/>
      <c r="V28" s="35"/>
      <c r="W28" s="35"/>
      <c r="X28" s="35"/>
      <c r="Y28" s="35"/>
      <c r="Z28" s="35"/>
    </row>
    <row r="29" spans="1:26" s="10" customFormat="1">
      <c r="A29" s="30" t="s">
        <v>933</v>
      </c>
      <c r="B29" s="190"/>
      <c r="C29" s="31"/>
      <c r="D29" s="32"/>
      <c r="E29" s="32"/>
      <c r="F29" s="31"/>
      <c r="G29" s="32"/>
      <c r="H29" s="32"/>
      <c r="I29" s="32"/>
      <c r="J29" s="32"/>
      <c r="K29" s="31"/>
      <c r="L29" s="32"/>
      <c r="M29" s="32"/>
      <c r="N29" s="32"/>
      <c r="O29" s="32"/>
      <c r="P29" s="32"/>
      <c r="Q29" s="32"/>
      <c r="R29" s="32"/>
      <c r="S29" s="32"/>
      <c r="T29" s="32"/>
      <c r="U29" s="32"/>
      <c r="V29" s="32"/>
      <c r="W29" s="32"/>
      <c r="X29" s="32"/>
      <c r="Y29" s="32"/>
      <c r="Z29" s="32"/>
    </row>
    <row r="30" spans="1:26" s="10" customFormat="1">
      <c r="A30" s="33" t="s">
        <v>965</v>
      </c>
      <c r="B30" s="34">
        <f>COUNTA($B$1:B29)</f>
        <v>26</v>
      </c>
      <c r="C30" s="35" t="s">
        <v>67</v>
      </c>
      <c r="D30" s="35"/>
      <c r="E30" s="35"/>
      <c r="F30" s="34"/>
      <c r="G30" s="35" t="s">
        <v>966</v>
      </c>
      <c r="H30" s="35"/>
      <c r="I30" s="35"/>
      <c r="J30" s="35"/>
      <c r="K30" s="34"/>
      <c r="L30" s="35" t="s">
        <v>67</v>
      </c>
      <c r="M30" s="36">
        <v>10</v>
      </c>
      <c r="N30" s="35"/>
      <c r="O30" s="35"/>
      <c r="P30" s="35"/>
      <c r="Q30" s="35"/>
      <c r="R30" s="36"/>
      <c r="S30" s="35"/>
      <c r="T30" s="35"/>
      <c r="U30" s="35"/>
      <c r="V30" s="35"/>
      <c r="W30" s="35"/>
      <c r="X30" s="35"/>
      <c r="Y30" s="35"/>
      <c r="Z30" s="35"/>
    </row>
    <row r="31" spans="1:26" s="17" customFormat="1">
      <c r="A31" s="45" t="s">
        <v>965</v>
      </c>
      <c r="B31" s="47">
        <f>COUNTA($B$1:B30)</f>
        <v>27</v>
      </c>
      <c r="C31" s="46" t="s">
        <v>140</v>
      </c>
      <c r="D31" s="46"/>
      <c r="E31" s="46"/>
      <c r="F31" s="47"/>
      <c r="G31" s="46" t="s">
        <v>966</v>
      </c>
      <c r="H31" s="46"/>
      <c r="I31" s="46" t="s">
        <v>55</v>
      </c>
      <c r="J31" s="46" t="s">
        <v>141</v>
      </c>
      <c r="K31" s="47"/>
      <c r="L31" s="46" t="s">
        <v>142</v>
      </c>
      <c r="M31" s="48"/>
      <c r="N31" s="46"/>
      <c r="O31" s="46" t="s">
        <v>2</v>
      </c>
      <c r="P31" s="46"/>
      <c r="Q31" s="46"/>
      <c r="R31" s="49"/>
      <c r="S31" s="46"/>
      <c r="T31" s="46"/>
      <c r="U31" s="46"/>
      <c r="V31" s="46"/>
      <c r="W31" s="46"/>
      <c r="X31" s="46"/>
      <c r="Y31" s="46"/>
      <c r="Z31" s="46"/>
    </row>
    <row r="32" spans="1:26" s="180" customFormat="1">
      <c r="A32" s="45" t="s">
        <v>965</v>
      </c>
      <c r="B32" s="47">
        <f>COUNTA($B$1:B31)</f>
        <v>28</v>
      </c>
      <c r="C32" s="46" t="s">
        <v>143</v>
      </c>
      <c r="D32" s="46"/>
      <c r="E32" s="46"/>
      <c r="F32" s="47"/>
      <c r="G32" s="46" t="s">
        <v>966</v>
      </c>
      <c r="H32" s="46"/>
      <c r="I32" s="46" t="s">
        <v>55</v>
      </c>
      <c r="J32" s="46" t="s">
        <v>141</v>
      </c>
      <c r="K32" s="47"/>
      <c r="L32" s="46" t="s">
        <v>98</v>
      </c>
      <c r="M32" s="48"/>
      <c r="N32" s="46" t="s">
        <v>99</v>
      </c>
      <c r="O32" s="46" t="s">
        <v>2</v>
      </c>
      <c r="P32" s="46"/>
      <c r="Q32" s="46"/>
      <c r="R32" s="49" t="s">
        <v>144</v>
      </c>
      <c r="S32" s="46"/>
      <c r="T32" s="46"/>
      <c r="U32" s="46"/>
      <c r="V32" s="46"/>
      <c r="W32" s="46"/>
      <c r="X32" s="46"/>
      <c r="Y32" s="46"/>
      <c r="Z32" s="46"/>
    </row>
    <row r="33" spans="1:26">
      <c r="A33" s="45" t="s">
        <v>965</v>
      </c>
      <c r="B33" s="47">
        <f>COUNTA($B$1:B32)</f>
        <v>29</v>
      </c>
      <c r="C33" s="46" t="s">
        <v>145</v>
      </c>
      <c r="D33" s="46"/>
      <c r="E33" s="46"/>
      <c r="F33" s="47"/>
      <c r="G33" s="46" t="s">
        <v>966</v>
      </c>
      <c r="H33" s="46"/>
      <c r="I33" s="46" t="s">
        <v>55</v>
      </c>
      <c r="J33" s="46" t="s">
        <v>146</v>
      </c>
      <c r="K33" s="47"/>
      <c r="L33" s="46" t="s">
        <v>147</v>
      </c>
      <c r="M33" s="48"/>
      <c r="N33" s="46"/>
      <c r="O33" s="46" t="s">
        <v>2</v>
      </c>
      <c r="P33" s="46"/>
      <c r="Q33" s="46"/>
      <c r="R33" s="48"/>
      <c r="S33" s="46"/>
      <c r="T33" s="46"/>
      <c r="U33" s="46"/>
      <c r="V33" s="46"/>
      <c r="W33" s="46"/>
      <c r="X33" s="46"/>
      <c r="Y33" s="46"/>
      <c r="Z33" s="46"/>
    </row>
    <row r="34" spans="1:26">
      <c r="A34" s="33" t="s">
        <v>965</v>
      </c>
      <c r="B34" s="34">
        <f>COUNTA($B$1:B33)</f>
        <v>30</v>
      </c>
      <c r="C34" s="35" t="s">
        <v>875</v>
      </c>
      <c r="D34" s="35"/>
      <c r="E34" s="35"/>
      <c r="F34" s="34"/>
      <c r="G34" s="35" t="s">
        <v>966</v>
      </c>
      <c r="H34" s="35"/>
      <c r="I34" s="35" t="s">
        <v>55</v>
      </c>
      <c r="J34" s="35" t="s">
        <v>421</v>
      </c>
      <c r="K34" s="34"/>
      <c r="L34" s="35" t="s">
        <v>67</v>
      </c>
      <c r="M34" s="36">
        <v>5</v>
      </c>
      <c r="N34" s="35"/>
      <c r="O34" s="35"/>
      <c r="P34" s="35"/>
      <c r="Q34" s="35"/>
      <c r="R34" s="36"/>
      <c r="S34" s="35"/>
      <c r="T34" s="35"/>
      <c r="U34" s="35"/>
      <c r="V34" s="35"/>
      <c r="W34" s="35"/>
      <c r="X34" s="35"/>
      <c r="Y34" s="35"/>
      <c r="Z34" s="35"/>
    </row>
    <row r="35" spans="1:26" s="17" customFormat="1">
      <c r="A35" s="33" t="s">
        <v>965</v>
      </c>
      <c r="B35" s="34">
        <f>COUNTA($B$1:B34)</f>
        <v>31</v>
      </c>
      <c r="C35" s="53" t="s">
        <v>873</v>
      </c>
      <c r="D35" s="35"/>
      <c r="E35" s="35"/>
      <c r="F35" s="34"/>
      <c r="G35" s="35" t="s">
        <v>966</v>
      </c>
      <c r="H35" s="35"/>
      <c r="I35" s="35" t="s">
        <v>55</v>
      </c>
      <c r="J35" s="35" t="s">
        <v>974</v>
      </c>
      <c r="K35" s="34">
        <v>0</v>
      </c>
      <c r="L35" s="35" t="s">
        <v>147</v>
      </c>
      <c r="M35" s="36"/>
      <c r="N35" s="35"/>
      <c r="O35" s="35"/>
      <c r="P35" s="35"/>
      <c r="Q35" s="35"/>
      <c r="R35" s="35"/>
      <c r="S35" s="35"/>
      <c r="T35" s="35"/>
      <c r="U35" s="35"/>
      <c r="V35" s="35"/>
      <c r="W35" s="35"/>
      <c r="X35" s="35"/>
      <c r="Y35" s="35"/>
      <c r="Z35" s="35"/>
    </row>
    <row r="36" spans="1:26" s="17" customFormat="1">
      <c r="A36" s="33" t="s">
        <v>965</v>
      </c>
      <c r="B36" s="34">
        <f>COUNTA($B$1:B35)</f>
        <v>32</v>
      </c>
      <c r="C36" s="35" t="s">
        <v>67</v>
      </c>
      <c r="D36" s="35"/>
      <c r="E36" s="35"/>
      <c r="F36" s="34"/>
      <c r="G36" s="35" t="s">
        <v>966</v>
      </c>
      <c r="H36" s="35"/>
      <c r="I36" s="35"/>
      <c r="J36" s="35"/>
      <c r="K36" s="34"/>
      <c r="L36" s="35" t="s">
        <v>67</v>
      </c>
      <c r="M36" s="36">
        <v>10</v>
      </c>
      <c r="N36" s="35"/>
      <c r="O36" s="35"/>
      <c r="P36" s="35"/>
      <c r="Q36" s="35"/>
      <c r="R36" s="36"/>
      <c r="S36" s="35"/>
      <c r="T36" s="35"/>
      <c r="U36" s="35"/>
      <c r="V36" s="35"/>
      <c r="W36" s="35"/>
      <c r="X36" s="35"/>
      <c r="Y36" s="35"/>
      <c r="Z36" s="35"/>
    </row>
    <row r="37" spans="1:26" s="17" customFormat="1">
      <c r="A37" s="30" t="s">
        <v>219</v>
      </c>
      <c r="B37" s="190"/>
      <c r="C37" s="31"/>
      <c r="D37" s="32"/>
      <c r="E37" s="32"/>
      <c r="F37" s="31"/>
      <c r="G37" s="32"/>
      <c r="H37" s="32"/>
      <c r="I37" s="32"/>
      <c r="J37" s="32"/>
      <c r="K37" s="31"/>
      <c r="L37" s="32"/>
      <c r="M37" s="32"/>
      <c r="N37" s="32"/>
      <c r="O37" s="32"/>
      <c r="P37" s="32"/>
      <c r="Q37" s="32"/>
      <c r="R37" s="32"/>
      <c r="S37" s="32"/>
      <c r="T37" s="32"/>
      <c r="U37" s="32"/>
      <c r="V37" s="32"/>
      <c r="W37" s="32"/>
      <c r="X37" s="32"/>
      <c r="Y37" s="32"/>
      <c r="Z37" s="32"/>
    </row>
    <row r="38" spans="1:26" ht="12.75" customHeight="1">
      <c r="A38" s="45" t="s">
        <v>965</v>
      </c>
      <c r="B38" s="47">
        <f>COUNTA($B$1:B37)</f>
        <v>33</v>
      </c>
      <c r="C38" s="46" t="s">
        <v>140</v>
      </c>
      <c r="D38" s="46"/>
      <c r="E38" s="46"/>
      <c r="F38" s="47"/>
      <c r="G38" s="46" t="s">
        <v>966</v>
      </c>
      <c r="H38" s="46"/>
      <c r="I38" s="46" t="s">
        <v>55</v>
      </c>
      <c r="J38" s="46" t="s">
        <v>141</v>
      </c>
      <c r="K38" s="47"/>
      <c r="L38" s="46" t="s">
        <v>142</v>
      </c>
      <c r="M38" s="48"/>
      <c r="N38" s="46"/>
      <c r="O38" s="46" t="s">
        <v>2</v>
      </c>
      <c r="P38" s="46"/>
      <c r="Q38" s="46"/>
      <c r="R38" s="49"/>
      <c r="S38" s="46"/>
      <c r="T38" s="46"/>
      <c r="U38" s="46"/>
      <c r="V38" s="46"/>
      <c r="W38" s="46"/>
      <c r="X38" s="46"/>
      <c r="Y38" s="46"/>
      <c r="Z38" s="46"/>
    </row>
    <row r="39" spans="1:26" s="12" customFormat="1" ht="12.75" customHeight="1">
      <c r="A39" s="45" t="s">
        <v>965</v>
      </c>
      <c r="B39" s="47">
        <f>COUNTA($B$1:B38)</f>
        <v>34</v>
      </c>
      <c r="C39" s="46" t="s">
        <v>143</v>
      </c>
      <c r="D39" s="46"/>
      <c r="E39" s="46"/>
      <c r="F39" s="47"/>
      <c r="G39" s="46" t="s">
        <v>966</v>
      </c>
      <c r="H39" s="46"/>
      <c r="I39" s="46" t="s">
        <v>55</v>
      </c>
      <c r="J39" s="46" t="s">
        <v>141</v>
      </c>
      <c r="K39" s="47"/>
      <c r="L39" s="46" t="s">
        <v>98</v>
      </c>
      <c r="M39" s="48"/>
      <c r="N39" s="46" t="s">
        <v>99</v>
      </c>
      <c r="O39" s="46" t="s">
        <v>2</v>
      </c>
      <c r="P39" s="46"/>
      <c r="Q39" s="46"/>
      <c r="R39" s="49" t="s">
        <v>144</v>
      </c>
      <c r="S39" s="46"/>
      <c r="T39" s="46"/>
      <c r="U39" s="46"/>
      <c r="V39" s="46"/>
      <c r="W39" s="46"/>
      <c r="X39" s="46"/>
      <c r="Y39" s="46"/>
      <c r="Z39" s="46"/>
    </row>
    <row r="40" spans="1:26" s="16" customFormat="1" outlineLevel="1">
      <c r="A40" s="45" t="s">
        <v>965</v>
      </c>
      <c r="B40" s="47">
        <f>COUNTA($B$1:B39)</f>
        <v>35</v>
      </c>
      <c r="C40" s="46" t="s">
        <v>145</v>
      </c>
      <c r="D40" s="46"/>
      <c r="E40" s="46"/>
      <c r="F40" s="47"/>
      <c r="G40" s="46" t="s">
        <v>966</v>
      </c>
      <c r="H40" s="46"/>
      <c r="I40" s="46" t="s">
        <v>55</v>
      </c>
      <c r="J40" s="46" t="s">
        <v>146</v>
      </c>
      <c r="K40" s="47"/>
      <c r="L40" s="46" t="s">
        <v>147</v>
      </c>
      <c r="M40" s="48"/>
      <c r="N40" s="46"/>
      <c r="O40" s="46" t="s">
        <v>2</v>
      </c>
      <c r="P40" s="46"/>
      <c r="Q40" s="46"/>
      <c r="R40" s="48"/>
      <c r="S40" s="46"/>
      <c r="T40" s="46"/>
      <c r="U40" s="46"/>
      <c r="V40" s="46"/>
      <c r="W40" s="46"/>
      <c r="X40" s="46"/>
      <c r="Y40" s="46"/>
      <c r="Z40" s="46"/>
    </row>
    <row r="41" spans="1:26" s="17" customFormat="1">
      <c r="A41" s="33" t="s">
        <v>965</v>
      </c>
      <c r="B41" s="34">
        <f>COUNTA($B$1:B40)</f>
        <v>36</v>
      </c>
      <c r="C41" s="35" t="s">
        <v>875</v>
      </c>
      <c r="D41" s="35"/>
      <c r="E41" s="35"/>
      <c r="F41" s="34"/>
      <c r="G41" s="35" t="s">
        <v>966</v>
      </c>
      <c r="H41" s="35"/>
      <c r="I41" s="35" t="s">
        <v>55</v>
      </c>
      <c r="J41" s="35" t="s">
        <v>428</v>
      </c>
      <c r="K41" s="34"/>
      <c r="L41" s="35" t="s">
        <v>67</v>
      </c>
      <c r="M41" s="36">
        <v>5</v>
      </c>
      <c r="N41" s="35"/>
      <c r="O41" s="35"/>
      <c r="P41" s="35"/>
      <c r="Q41" s="35"/>
      <c r="R41" s="36"/>
      <c r="S41" s="35"/>
      <c r="T41" s="35"/>
      <c r="U41" s="35"/>
      <c r="V41" s="35"/>
      <c r="W41" s="35"/>
      <c r="X41" s="35"/>
      <c r="Y41" s="35"/>
      <c r="Z41" s="35"/>
    </row>
    <row r="42" spans="1:26" s="17" customFormat="1">
      <c r="A42" s="33" t="s">
        <v>965</v>
      </c>
      <c r="B42" s="34">
        <f>COUNTA($B$1:B41)</f>
        <v>37</v>
      </c>
      <c r="C42" s="35" t="s">
        <v>220</v>
      </c>
      <c r="D42" s="35"/>
      <c r="E42" s="35"/>
      <c r="F42" s="34"/>
      <c r="G42" s="35" t="s">
        <v>966</v>
      </c>
      <c r="H42" s="35"/>
      <c r="I42" s="35" t="s">
        <v>55</v>
      </c>
      <c r="J42" s="35" t="s">
        <v>221</v>
      </c>
      <c r="K42" s="34">
        <v>0</v>
      </c>
      <c r="L42" s="35" t="s">
        <v>0</v>
      </c>
      <c r="M42" s="50" t="s">
        <v>222</v>
      </c>
      <c r="N42" s="35"/>
      <c r="O42" s="35"/>
      <c r="P42" s="35"/>
      <c r="Q42" s="35"/>
      <c r="R42" s="52"/>
      <c r="S42" s="35"/>
      <c r="T42" s="35"/>
      <c r="U42" s="35"/>
      <c r="V42" s="35"/>
      <c r="W42" s="35"/>
      <c r="X42" s="35"/>
      <c r="Y42" s="35"/>
      <c r="Z42" s="35"/>
    </row>
    <row r="43" spans="1:26" s="17" customFormat="1">
      <c r="A43" s="33" t="s">
        <v>965</v>
      </c>
      <c r="B43" s="34">
        <f>COUNTA($B$1:B42)</f>
        <v>38</v>
      </c>
      <c r="C43" s="35" t="s">
        <v>103</v>
      </c>
      <c r="D43" s="35"/>
      <c r="E43" s="35"/>
      <c r="F43" s="34"/>
      <c r="G43" s="35" t="s">
        <v>966</v>
      </c>
      <c r="H43" s="35"/>
      <c r="I43" s="35" t="s">
        <v>55</v>
      </c>
      <c r="J43" s="35" t="s">
        <v>105</v>
      </c>
      <c r="K43" s="34">
        <v>0</v>
      </c>
      <c r="L43" s="35" t="s">
        <v>0</v>
      </c>
      <c r="M43" s="50" t="s">
        <v>223</v>
      </c>
      <c r="N43" s="35"/>
      <c r="O43" s="35"/>
      <c r="P43" s="35"/>
      <c r="Q43" s="35"/>
      <c r="R43" s="52"/>
      <c r="S43" s="35"/>
      <c r="T43" s="35"/>
      <c r="U43" s="35"/>
      <c r="V43" s="35"/>
      <c r="W43" s="35"/>
      <c r="X43" s="35"/>
      <c r="Y43" s="35"/>
      <c r="Z43" s="35"/>
    </row>
    <row r="44" spans="1:26" s="17" customFormat="1">
      <c r="A44" s="33" t="s">
        <v>965</v>
      </c>
      <c r="B44" s="34">
        <f>COUNTA($B$1:B43)</f>
        <v>39</v>
      </c>
      <c r="C44" s="35" t="s">
        <v>228</v>
      </c>
      <c r="D44" s="35"/>
      <c r="E44" s="35"/>
      <c r="F44" s="34"/>
      <c r="G44" s="35" t="s">
        <v>966</v>
      </c>
      <c r="H44" s="35"/>
      <c r="I44" s="35" t="s">
        <v>55</v>
      </c>
      <c r="J44" s="35" t="s">
        <v>229</v>
      </c>
      <c r="K44" s="34">
        <v>0</v>
      </c>
      <c r="L44" s="35" t="s">
        <v>0</v>
      </c>
      <c r="M44" s="50" t="s">
        <v>230</v>
      </c>
      <c r="N44" s="35"/>
      <c r="O44" s="35"/>
      <c r="P44" s="35"/>
      <c r="Q44" s="35"/>
      <c r="R44" s="52"/>
      <c r="S44" s="35"/>
      <c r="T44" s="35"/>
      <c r="U44" s="35"/>
      <c r="V44" s="35"/>
      <c r="W44" s="35"/>
      <c r="X44" s="35"/>
      <c r="Y44" s="35"/>
      <c r="Z44" s="35"/>
    </row>
    <row r="45" spans="1:26" s="17" customFormat="1">
      <c r="A45" s="33" t="s">
        <v>965</v>
      </c>
      <c r="B45" s="34">
        <f>COUNTA($B$1:B44)</f>
        <v>40</v>
      </c>
      <c r="C45" s="35" t="s">
        <v>89</v>
      </c>
      <c r="D45" s="35"/>
      <c r="E45" s="35"/>
      <c r="F45" s="34"/>
      <c r="G45" s="35" t="s">
        <v>966</v>
      </c>
      <c r="H45" s="35"/>
      <c r="I45" s="35" t="s">
        <v>55</v>
      </c>
      <c r="J45" s="35" t="s">
        <v>231</v>
      </c>
      <c r="K45" s="34">
        <v>0</v>
      </c>
      <c r="L45" s="35" t="s">
        <v>0</v>
      </c>
      <c r="M45" s="50" t="s">
        <v>104</v>
      </c>
      <c r="N45" s="35"/>
      <c r="O45" s="35"/>
      <c r="P45" s="35"/>
      <c r="Q45" s="35"/>
      <c r="R45" s="52"/>
      <c r="S45" s="35"/>
      <c r="T45" s="35"/>
      <c r="U45" s="35"/>
      <c r="V45" s="35"/>
      <c r="W45" s="35"/>
      <c r="X45" s="35"/>
      <c r="Y45" s="35"/>
      <c r="Z45" s="35"/>
    </row>
    <row r="46" spans="1:26" s="17" customFormat="1">
      <c r="A46" s="33" t="s">
        <v>965</v>
      </c>
      <c r="B46" s="34">
        <f>COUNTA($B$1:B45)</f>
        <v>41</v>
      </c>
      <c r="C46" s="35" t="s">
        <v>232</v>
      </c>
      <c r="D46" s="35"/>
      <c r="E46" s="35"/>
      <c r="F46" s="34"/>
      <c r="G46" s="35" t="s">
        <v>966</v>
      </c>
      <c r="H46" s="35"/>
      <c r="I46" s="35" t="s">
        <v>55</v>
      </c>
      <c r="J46" s="35" t="s">
        <v>233</v>
      </c>
      <c r="K46" s="34">
        <v>0</v>
      </c>
      <c r="L46" s="35" t="s">
        <v>0</v>
      </c>
      <c r="M46" s="50" t="s">
        <v>234</v>
      </c>
      <c r="N46" s="35"/>
      <c r="O46" s="35"/>
      <c r="P46" s="35"/>
      <c r="Q46" s="35"/>
      <c r="R46" s="52"/>
      <c r="S46" s="35"/>
      <c r="T46" s="35"/>
      <c r="U46" s="35"/>
      <c r="V46" s="35"/>
      <c r="W46" s="35"/>
      <c r="X46" s="35"/>
      <c r="Y46" s="35"/>
      <c r="Z46" s="35"/>
    </row>
    <row r="47" spans="1:26" s="17" customFormat="1">
      <c r="A47" s="33" t="s">
        <v>965</v>
      </c>
      <c r="B47" s="34">
        <f>COUNTA($B$1:B46)</f>
        <v>42</v>
      </c>
      <c r="C47" s="35" t="s">
        <v>235</v>
      </c>
      <c r="D47" s="35"/>
      <c r="E47" s="35"/>
      <c r="F47" s="34"/>
      <c r="G47" s="35" t="s">
        <v>966</v>
      </c>
      <c r="H47" s="35"/>
      <c r="I47" s="35" t="s">
        <v>55</v>
      </c>
      <c r="J47" s="35" t="s">
        <v>236</v>
      </c>
      <c r="K47" s="34">
        <v>0</v>
      </c>
      <c r="L47" s="35" t="s">
        <v>0</v>
      </c>
      <c r="M47" s="50" t="s">
        <v>237</v>
      </c>
      <c r="N47" s="35"/>
      <c r="O47" s="35"/>
      <c r="P47" s="35"/>
      <c r="Q47" s="35"/>
      <c r="R47" s="52"/>
      <c r="S47" s="35"/>
      <c r="T47" s="35"/>
      <c r="U47" s="35"/>
      <c r="V47" s="35"/>
      <c r="W47" s="35"/>
      <c r="X47" s="35"/>
      <c r="Y47" s="35"/>
      <c r="Z47" s="35"/>
    </row>
    <row r="48" spans="1:26" s="17" customFormat="1">
      <c r="A48" s="33" t="s">
        <v>965</v>
      </c>
      <c r="B48" s="34">
        <f>COUNTA($B$1:B47)</f>
        <v>43</v>
      </c>
      <c r="C48" s="35" t="s">
        <v>238</v>
      </c>
      <c r="D48" s="35"/>
      <c r="E48" s="35"/>
      <c r="F48" s="34"/>
      <c r="G48" s="35" t="s">
        <v>966</v>
      </c>
      <c r="H48" s="35"/>
      <c r="I48" s="35" t="s">
        <v>55</v>
      </c>
      <c r="J48" s="35" t="s">
        <v>90</v>
      </c>
      <c r="K48" s="34">
        <v>0</v>
      </c>
      <c r="L48" s="35" t="s">
        <v>0</v>
      </c>
      <c r="M48" s="50" t="s">
        <v>239</v>
      </c>
      <c r="N48" s="35"/>
      <c r="O48" s="35"/>
      <c r="P48" s="35"/>
      <c r="Q48" s="35"/>
      <c r="R48" s="52"/>
      <c r="S48" s="35"/>
      <c r="T48" s="35"/>
      <c r="U48" s="35"/>
      <c r="V48" s="35"/>
      <c r="W48" s="35"/>
      <c r="X48" s="35"/>
      <c r="Y48" s="35"/>
      <c r="Z48" s="35"/>
    </row>
    <row r="49" spans="1:26">
      <c r="A49" s="33" t="s">
        <v>965</v>
      </c>
      <c r="B49" s="34">
        <f>COUNTA($B$1:B48)</f>
        <v>44</v>
      </c>
      <c r="C49" s="35" t="s">
        <v>190</v>
      </c>
      <c r="D49" s="35"/>
      <c r="E49" s="35"/>
      <c r="F49" s="34"/>
      <c r="G49" s="35" t="s">
        <v>966</v>
      </c>
      <c r="H49" s="35"/>
      <c r="I49" s="35" t="s">
        <v>55</v>
      </c>
      <c r="J49" s="35" t="s">
        <v>87</v>
      </c>
      <c r="K49" s="34">
        <v>0</v>
      </c>
      <c r="L49" s="35" t="s">
        <v>147</v>
      </c>
      <c r="M49" s="36"/>
      <c r="N49" s="35"/>
      <c r="O49" s="35"/>
      <c r="P49" s="35"/>
      <c r="Q49" s="35"/>
      <c r="R49" s="35"/>
      <c r="S49" s="35"/>
      <c r="T49" s="35"/>
      <c r="U49" s="35"/>
      <c r="V49" s="35"/>
      <c r="W49" s="35"/>
      <c r="X49" s="35"/>
      <c r="Y49" s="35"/>
      <c r="Z49" s="35"/>
    </row>
    <row r="50" spans="1:26">
      <c r="A50" s="33" t="s">
        <v>965</v>
      </c>
      <c r="B50" s="34">
        <f>COUNTA($B$1:B49)</f>
        <v>45</v>
      </c>
      <c r="C50" s="35" t="s">
        <v>67</v>
      </c>
      <c r="D50" s="35"/>
      <c r="E50" s="35"/>
      <c r="F50" s="34"/>
      <c r="G50" s="35" t="s">
        <v>966</v>
      </c>
      <c r="H50" s="35"/>
      <c r="I50" s="35"/>
      <c r="J50" s="35"/>
      <c r="K50" s="34"/>
      <c r="L50" s="35" t="s">
        <v>67</v>
      </c>
      <c r="M50" s="36">
        <v>10</v>
      </c>
      <c r="N50" s="35"/>
      <c r="O50" s="35"/>
      <c r="P50" s="35"/>
      <c r="Q50" s="35"/>
      <c r="R50" s="36"/>
      <c r="S50" s="35"/>
      <c r="T50" s="35"/>
      <c r="U50" s="35"/>
      <c r="V50" s="35"/>
      <c r="W50" s="35"/>
      <c r="X50" s="35"/>
      <c r="Y50" s="35"/>
      <c r="Z50" s="35"/>
    </row>
    <row r="51" spans="1:26">
      <c r="A51" s="30" t="s">
        <v>91</v>
      </c>
      <c r="B51" s="190"/>
      <c r="C51" s="31"/>
      <c r="D51" s="32"/>
      <c r="E51" s="32"/>
      <c r="F51" s="31"/>
      <c r="G51" s="32"/>
      <c r="H51" s="32"/>
      <c r="I51" s="32"/>
      <c r="J51" s="32"/>
      <c r="K51" s="31"/>
      <c r="L51" s="32"/>
      <c r="M51" s="32"/>
      <c r="N51" s="32"/>
      <c r="O51" s="32"/>
      <c r="P51" s="32"/>
      <c r="Q51" s="32"/>
      <c r="R51" s="32"/>
      <c r="S51" s="32"/>
      <c r="T51" s="32"/>
      <c r="U51" s="32"/>
      <c r="V51" s="32"/>
      <c r="W51" s="32"/>
      <c r="X51" s="32"/>
      <c r="Y51" s="32"/>
      <c r="Z51" s="32"/>
    </row>
    <row r="52" spans="1:26">
      <c r="A52" s="45" t="s">
        <v>965</v>
      </c>
      <c r="B52" s="47">
        <f>COUNTA($B$1:B51)</f>
        <v>46</v>
      </c>
      <c r="C52" s="46" t="s">
        <v>140</v>
      </c>
      <c r="D52" s="46"/>
      <c r="E52" s="46"/>
      <c r="F52" s="47"/>
      <c r="G52" s="46" t="s">
        <v>966</v>
      </c>
      <c r="H52" s="46"/>
      <c r="I52" s="46" t="s">
        <v>55</v>
      </c>
      <c r="J52" s="46" t="s">
        <v>141</v>
      </c>
      <c r="K52" s="47"/>
      <c r="L52" s="46" t="s">
        <v>142</v>
      </c>
      <c r="M52" s="48"/>
      <c r="N52" s="46"/>
      <c r="O52" s="46" t="s">
        <v>2</v>
      </c>
      <c r="P52" s="46"/>
      <c r="Q52" s="46"/>
      <c r="R52" s="49"/>
      <c r="S52" s="46"/>
      <c r="T52" s="46"/>
      <c r="U52" s="46"/>
      <c r="V52" s="46"/>
      <c r="W52" s="46"/>
      <c r="X52" s="46"/>
      <c r="Y52" s="46"/>
      <c r="Z52" s="46"/>
    </row>
    <row r="53" spans="1:26">
      <c r="A53" s="45" t="s">
        <v>965</v>
      </c>
      <c r="B53" s="47">
        <f>COUNTA($B$1:B52)</f>
        <v>47</v>
      </c>
      <c r="C53" s="46" t="s">
        <v>143</v>
      </c>
      <c r="D53" s="46"/>
      <c r="E53" s="46"/>
      <c r="F53" s="47"/>
      <c r="G53" s="46" t="s">
        <v>966</v>
      </c>
      <c r="H53" s="46"/>
      <c r="I53" s="46" t="s">
        <v>55</v>
      </c>
      <c r="J53" s="46" t="s">
        <v>141</v>
      </c>
      <c r="K53" s="47"/>
      <c r="L53" s="46" t="s">
        <v>98</v>
      </c>
      <c r="M53" s="48"/>
      <c r="N53" s="46" t="s">
        <v>99</v>
      </c>
      <c r="O53" s="46" t="s">
        <v>2</v>
      </c>
      <c r="P53" s="46"/>
      <c r="Q53" s="46"/>
      <c r="R53" s="49" t="s">
        <v>144</v>
      </c>
      <c r="S53" s="46"/>
      <c r="T53" s="46"/>
      <c r="U53" s="46"/>
      <c r="V53" s="46"/>
      <c r="W53" s="46"/>
      <c r="X53" s="46"/>
      <c r="Y53" s="46"/>
      <c r="Z53" s="46"/>
    </row>
    <row r="54" spans="1:26">
      <c r="A54" s="45" t="s">
        <v>965</v>
      </c>
      <c r="B54" s="47">
        <f>COUNTA($B$1:B53)</f>
        <v>48</v>
      </c>
      <c r="C54" s="46" t="s">
        <v>145</v>
      </c>
      <c r="D54" s="46"/>
      <c r="E54" s="46"/>
      <c r="F54" s="47"/>
      <c r="G54" s="46" t="s">
        <v>966</v>
      </c>
      <c r="H54" s="46"/>
      <c r="I54" s="46" t="s">
        <v>55</v>
      </c>
      <c r="J54" s="46" t="s">
        <v>146</v>
      </c>
      <c r="K54" s="47"/>
      <c r="L54" s="46" t="s">
        <v>147</v>
      </c>
      <c r="M54" s="48"/>
      <c r="N54" s="46"/>
      <c r="O54" s="46" t="s">
        <v>2</v>
      </c>
      <c r="P54" s="46"/>
      <c r="Q54" s="46"/>
      <c r="R54" s="48"/>
      <c r="S54" s="46"/>
      <c r="T54" s="46"/>
      <c r="U54" s="46"/>
      <c r="V54" s="46"/>
      <c r="W54" s="46"/>
      <c r="X54" s="46"/>
      <c r="Y54" s="46"/>
      <c r="Z54" s="46"/>
    </row>
    <row r="55" spans="1:26">
      <c r="A55" s="33" t="s">
        <v>965</v>
      </c>
      <c r="B55" s="34">
        <f>COUNTA($B$1:B54)</f>
        <v>49</v>
      </c>
      <c r="C55" s="35" t="s">
        <v>93</v>
      </c>
      <c r="D55" s="35"/>
      <c r="E55" s="35"/>
      <c r="F55" s="34"/>
      <c r="G55" s="35" t="s">
        <v>966</v>
      </c>
      <c r="H55" s="35"/>
      <c r="I55" s="35" t="s">
        <v>55</v>
      </c>
      <c r="J55" s="35" t="s">
        <v>92</v>
      </c>
      <c r="K55" s="34">
        <v>0</v>
      </c>
      <c r="L55" s="35" t="s">
        <v>0</v>
      </c>
      <c r="M55" s="50" t="s">
        <v>261</v>
      </c>
      <c r="N55" s="35"/>
      <c r="O55" s="35"/>
      <c r="P55" s="35"/>
      <c r="Q55" s="35"/>
      <c r="R55" s="52"/>
      <c r="S55" s="35"/>
      <c r="T55" s="35"/>
      <c r="U55" s="35"/>
      <c r="V55" s="35"/>
      <c r="W55" s="35"/>
      <c r="X55" s="35"/>
      <c r="Y55" s="35"/>
      <c r="Z55" s="35"/>
    </row>
    <row r="56" spans="1:26">
      <c r="A56" s="33" t="s">
        <v>965</v>
      </c>
      <c r="B56" s="34">
        <f>COUNTA($B$1:B55)</f>
        <v>50</v>
      </c>
      <c r="C56" s="35" t="s">
        <v>262</v>
      </c>
      <c r="D56" s="35"/>
      <c r="E56" s="35"/>
      <c r="F56" s="34"/>
      <c r="G56" s="35" t="s">
        <v>966</v>
      </c>
      <c r="H56" s="35"/>
      <c r="I56" s="35" t="s">
        <v>55</v>
      </c>
      <c r="J56" s="192"/>
      <c r="K56" s="34">
        <v>0</v>
      </c>
      <c r="L56" s="35" t="s">
        <v>95</v>
      </c>
      <c r="M56" s="35"/>
      <c r="N56" s="35"/>
      <c r="O56" s="35"/>
      <c r="P56" s="35"/>
      <c r="Q56" s="35"/>
      <c r="R56" s="52"/>
      <c r="S56" s="35"/>
      <c r="T56" s="35"/>
      <c r="U56" s="35"/>
      <c r="V56" s="35"/>
      <c r="W56" s="35"/>
      <c r="X56" s="35"/>
      <c r="Y56" s="35"/>
      <c r="Z56" s="35"/>
    </row>
    <row r="57" spans="1:26">
      <c r="A57" s="45" t="s">
        <v>965</v>
      </c>
      <c r="B57" s="47">
        <f>COUNTA($B$1:B56)</f>
        <v>51</v>
      </c>
      <c r="C57" s="46" t="s">
        <v>140</v>
      </c>
      <c r="D57" s="46"/>
      <c r="E57" s="46"/>
      <c r="F57" s="47"/>
      <c r="G57" s="46" t="s">
        <v>966</v>
      </c>
      <c r="H57" s="46"/>
      <c r="I57" s="46" t="s">
        <v>55</v>
      </c>
      <c r="J57" s="46" t="s">
        <v>141</v>
      </c>
      <c r="K57" s="47"/>
      <c r="L57" s="46" t="s">
        <v>142</v>
      </c>
      <c r="M57" s="48"/>
      <c r="N57" s="46"/>
      <c r="O57" s="46" t="s">
        <v>2</v>
      </c>
      <c r="P57" s="46"/>
      <c r="Q57" s="46"/>
      <c r="R57" s="49"/>
      <c r="S57" s="46"/>
      <c r="T57" s="46"/>
      <c r="U57" s="46"/>
      <c r="V57" s="46"/>
      <c r="W57" s="46"/>
      <c r="X57" s="46"/>
      <c r="Y57" s="46"/>
      <c r="Z57" s="46"/>
    </row>
    <row r="58" spans="1:26" s="17" customFormat="1">
      <c r="A58" s="45" t="s">
        <v>965</v>
      </c>
      <c r="B58" s="47">
        <f>COUNTA($B$1:B57)</f>
        <v>52</v>
      </c>
      <c r="C58" s="46" t="s">
        <v>143</v>
      </c>
      <c r="D58" s="46"/>
      <c r="E58" s="46"/>
      <c r="F58" s="47"/>
      <c r="G58" s="46" t="s">
        <v>966</v>
      </c>
      <c r="H58" s="46"/>
      <c r="I58" s="46" t="s">
        <v>55</v>
      </c>
      <c r="J58" s="46" t="s">
        <v>141</v>
      </c>
      <c r="K58" s="47"/>
      <c r="L58" s="46" t="s">
        <v>98</v>
      </c>
      <c r="M58" s="48"/>
      <c r="N58" s="46" t="s">
        <v>99</v>
      </c>
      <c r="O58" s="46" t="s">
        <v>2</v>
      </c>
      <c r="P58" s="46"/>
      <c r="Q58" s="46"/>
      <c r="R58" s="49" t="s">
        <v>144</v>
      </c>
      <c r="S58" s="46"/>
      <c r="T58" s="46"/>
      <c r="U58" s="46"/>
      <c r="V58" s="46"/>
      <c r="W58" s="46"/>
      <c r="X58" s="46"/>
      <c r="Y58" s="46"/>
      <c r="Z58" s="46"/>
    </row>
    <row r="59" spans="1:26" s="17" customFormat="1">
      <c r="A59" s="45" t="s">
        <v>965</v>
      </c>
      <c r="B59" s="47">
        <f>COUNTA($B$1:B58)</f>
        <v>53</v>
      </c>
      <c r="C59" s="46" t="s">
        <v>145</v>
      </c>
      <c r="D59" s="46"/>
      <c r="E59" s="46"/>
      <c r="F59" s="47"/>
      <c r="G59" s="46" t="s">
        <v>966</v>
      </c>
      <c r="H59" s="46"/>
      <c r="I59" s="46" t="s">
        <v>55</v>
      </c>
      <c r="J59" s="46" t="s">
        <v>146</v>
      </c>
      <c r="K59" s="47"/>
      <c r="L59" s="46" t="s">
        <v>147</v>
      </c>
      <c r="M59" s="48"/>
      <c r="N59" s="46"/>
      <c r="O59" s="46" t="s">
        <v>2</v>
      </c>
      <c r="P59" s="46"/>
      <c r="Q59" s="46"/>
      <c r="R59" s="48"/>
      <c r="S59" s="46"/>
      <c r="T59" s="46"/>
      <c r="U59" s="46"/>
      <c r="V59" s="46"/>
      <c r="W59" s="46"/>
      <c r="X59" s="46"/>
      <c r="Y59" s="46"/>
      <c r="Z59" s="46"/>
    </row>
    <row r="60" spans="1:26" s="17" customFormat="1">
      <c r="A60" s="33" t="s">
        <v>965</v>
      </c>
      <c r="B60" s="34">
        <f>COUNTA($B$1:B59)</f>
        <v>54</v>
      </c>
      <c r="C60" s="35" t="s">
        <v>94</v>
      </c>
      <c r="D60" s="35"/>
      <c r="E60" s="35"/>
      <c r="F60" s="34"/>
      <c r="G60" s="35" t="s">
        <v>966</v>
      </c>
      <c r="H60" s="35"/>
      <c r="I60" s="35" t="s">
        <v>55</v>
      </c>
      <c r="J60" s="35" t="s">
        <v>263</v>
      </c>
      <c r="K60" s="34">
        <v>0</v>
      </c>
      <c r="L60" s="35" t="s">
        <v>0</v>
      </c>
      <c r="M60" s="50" t="s">
        <v>264</v>
      </c>
      <c r="N60" s="35"/>
      <c r="O60" s="35"/>
      <c r="P60" s="35"/>
      <c r="Q60" s="35"/>
      <c r="R60" s="52"/>
      <c r="S60" s="35"/>
      <c r="T60" s="35"/>
      <c r="U60" s="35"/>
      <c r="V60" s="35"/>
      <c r="W60" s="35"/>
      <c r="X60" s="35"/>
      <c r="Y60" s="35"/>
      <c r="Z60" s="35"/>
    </row>
    <row r="61" spans="1:26" s="17" customFormat="1">
      <c r="A61" s="33" t="s">
        <v>965</v>
      </c>
      <c r="B61" s="34">
        <f>COUNTA($B$1:B60)</f>
        <v>55</v>
      </c>
      <c r="C61" s="35" t="s">
        <v>262</v>
      </c>
      <c r="D61" s="35"/>
      <c r="E61" s="35"/>
      <c r="F61" s="34"/>
      <c r="G61" s="35" t="s">
        <v>966</v>
      </c>
      <c r="H61" s="35"/>
      <c r="I61" s="35"/>
      <c r="J61" s="35"/>
      <c r="K61" s="34">
        <v>0</v>
      </c>
      <c r="L61" s="35" t="s">
        <v>96</v>
      </c>
      <c r="M61" s="35"/>
      <c r="N61" s="35"/>
      <c r="O61" s="35"/>
      <c r="P61" s="35"/>
      <c r="Q61" s="35"/>
      <c r="R61" s="52"/>
      <c r="S61" s="35"/>
      <c r="T61" s="35"/>
      <c r="U61" s="35"/>
      <c r="V61" s="35"/>
      <c r="W61" s="35"/>
      <c r="X61" s="35"/>
      <c r="Y61" s="35"/>
      <c r="Z61" s="35"/>
    </row>
    <row r="62" spans="1:26" s="17" customFormat="1">
      <c r="A62" s="33" t="s">
        <v>965</v>
      </c>
      <c r="B62" s="34">
        <f>COUNTA($B$1:B61)</f>
        <v>56</v>
      </c>
      <c r="C62" s="35" t="s">
        <v>262</v>
      </c>
      <c r="D62" s="35"/>
      <c r="E62" s="35"/>
      <c r="F62" s="34"/>
      <c r="G62" s="35" t="s">
        <v>966</v>
      </c>
      <c r="H62" s="35"/>
      <c r="I62" s="192"/>
      <c r="J62" s="192"/>
      <c r="K62" s="34">
        <v>0</v>
      </c>
      <c r="L62" s="35" t="s">
        <v>95</v>
      </c>
      <c r="M62" s="35"/>
      <c r="N62" s="35"/>
      <c r="O62" s="35"/>
      <c r="P62" s="35"/>
      <c r="Q62" s="35"/>
      <c r="R62" s="52"/>
      <c r="S62" s="35"/>
      <c r="T62" s="35"/>
      <c r="U62" s="35"/>
      <c r="V62" s="35"/>
      <c r="W62" s="35"/>
      <c r="X62" s="35"/>
      <c r="Y62" s="35"/>
      <c r="Z62" s="35"/>
    </row>
    <row r="63" spans="1:26" s="17" customFormat="1">
      <c r="A63" s="217" t="s">
        <v>21</v>
      </c>
      <c r="B63" s="218">
        <f>COUNTA($B$1:B62)</f>
        <v>57</v>
      </c>
      <c r="C63" s="219" t="s">
        <v>226</v>
      </c>
      <c r="D63" s="51"/>
      <c r="E63" s="52"/>
      <c r="F63" s="34"/>
      <c r="G63" s="35" t="s">
        <v>966</v>
      </c>
      <c r="H63" s="35"/>
      <c r="I63" s="35"/>
      <c r="J63" s="35"/>
      <c r="K63" s="34"/>
      <c r="L63" s="35" t="s">
        <v>227</v>
      </c>
      <c r="M63" s="36" t="s">
        <v>79</v>
      </c>
      <c r="N63" s="35"/>
      <c r="O63" s="35"/>
      <c r="P63" s="35"/>
      <c r="Q63" s="35"/>
      <c r="R63" s="35"/>
      <c r="S63" s="52"/>
      <c r="T63" s="35"/>
      <c r="U63" s="35"/>
      <c r="V63" s="35"/>
      <c r="W63" s="35"/>
      <c r="X63" s="52"/>
      <c r="Y63" s="52"/>
      <c r="Z63" s="52"/>
    </row>
    <row r="64" spans="1:26" s="17" customFormat="1">
      <c r="A64" s="217" t="s">
        <v>21</v>
      </c>
      <c r="B64" s="218">
        <f>COUNTA($B$1:B63)</f>
        <v>58</v>
      </c>
      <c r="C64" s="219" t="s">
        <v>265</v>
      </c>
      <c r="D64" s="35"/>
      <c r="E64" s="35"/>
      <c r="F64" s="34"/>
      <c r="G64" s="35" t="s">
        <v>966</v>
      </c>
      <c r="H64" s="35"/>
      <c r="I64" s="35"/>
      <c r="J64" s="35"/>
      <c r="K64" s="34"/>
      <c r="L64" s="35" t="s">
        <v>227</v>
      </c>
      <c r="M64" s="50" t="s">
        <v>266</v>
      </c>
      <c r="N64" s="35"/>
      <c r="O64" s="35"/>
      <c r="P64" s="35"/>
      <c r="Q64" s="35"/>
      <c r="R64" s="52"/>
      <c r="S64" s="35"/>
      <c r="T64" s="35"/>
      <c r="U64" s="35"/>
      <c r="V64" s="35"/>
      <c r="W64" s="35"/>
      <c r="X64" s="35"/>
      <c r="Y64" s="35"/>
      <c r="Z64" s="35"/>
    </row>
    <row r="65" spans="1:26" s="17" customFormat="1">
      <c r="A65" s="217" t="s">
        <v>21</v>
      </c>
      <c r="B65" s="218">
        <f>COUNTA($B$1:B64)</f>
        <v>59</v>
      </c>
      <c r="C65" s="219" t="s">
        <v>267</v>
      </c>
      <c r="D65" s="35"/>
      <c r="E65" s="35"/>
      <c r="F65" s="34"/>
      <c r="G65" s="35" t="s">
        <v>966</v>
      </c>
      <c r="H65" s="35"/>
      <c r="I65" s="35"/>
      <c r="J65" s="35"/>
      <c r="K65" s="34"/>
      <c r="L65" s="35" t="s">
        <v>227</v>
      </c>
      <c r="M65" s="50" t="s">
        <v>268</v>
      </c>
      <c r="N65" s="35"/>
      <c r="O65" s="35"/>
      <c r="P65" s="35"/>
      <c r="Q65" s="35"/>
      <c r="R65" s="52"/>
      <c r="S65" s="35"/>
      <c r="T65" s="35"/>
      <c r="U65" s="35"/>
      <c r="V65" s="35"/>
      <c r="W65" s="35"/>
      <c r="X65" s="35"/>
      <c r="Y65" s="35"/>
      <c r="Z65" s="35"/>
    </row>
    <row r="66" spans="1:26" s="19" customFormat="1" outlineLevel="1">
      <c r="A66" s="33" t="s">
        <v>965</v>
      </c>
      <c r="B66" s="34">
        <f>COUNTA($B$1:B65)</f>
        <v>60</v>
      </c>
      <c r="C66" s="35" t="s">
        <v>948</v>
      </c>
      <c r="D66" s="35"/>
      <c r="E66" s="35"/>
      <c r="F66" s="34"/>
      <c r="G66" s="35" t="s">
        <v>966</v>
      </c>
      <c r="H66" s="35"/>
      <c r="I66" s="35" t="s">
        <v>55</v>
      </c>
      <c r="J66" s="35" t="s">
        <v>949</v>
      </c>
      <c r="K66" s="34">
        <v>0</v>
      </c>
      <c r="L66" s="35" t="s">
        <v>34</v>
      </c>
      <c r="M66" s="35"/>
      <c r="N66" s="35"/>
      <c r="O66" s="35"/>
      <c r="P66" s="35"/>
      <c r="Q66" s="35"/>
      <c r="R66" s="35"/>
      <c r="S66" s="35"/>
      <c r="T66" s="35"/>
      <c r="U66" s="35"/>
      <c r="V66" s="35"/>
      <c r="W66" s="35"/>
      <c r="X66" s="35"/>
      <c r="Y66" s="35"/>
      <c r="Z66" s="35"/>
    </row>
    <row r="67" spans="1:26" s="19" customFormat="1" outlineLevel="1">
      <c r="A67" s="33" t="s">
        <v>965</v>
      </c>
      <c r="B67" s="34">
        <f>COUNTA($B$1:B66)</f>
        <v>61</v>
      </c>
      <c r="C67" s="35" t="s">
        <v>67</v>
      </c>
      <c r="D67" s="35"/>
      <c r="E67" s="35"/>
      <c r="F67" s="34"/>
      <c r="G67" s="35" t="s">
        <v>966</v>
      </c>
      <c r="H67" s="35"/>
      <c r="I67" s="35"/>
      <c r="J67" s="35"/>
      <c r="K67" s="34"/>
      <c r="L67" s="35" t="s">
        <v>67</v>
      </c>
      <c r="M67" s="36">
        <v>2</v>
      </c>
      <c r="N67" s="35"/>
      <c r="O67" s="35"/>
      <c r="P67" s="35"/>
      <c r="Q67" s="35"/>
      <c r="R67" s="35"/>
      <c r="S67" s="35"/>
      <c r="T67" s="35"/>
      <c r="U67" s="35"/>
      <c r="V67" s="35"/>
      <c r="W67" s="35"/>
      <c r="X67" s="35"/>
      <c r="Y67" s="35"/>
      <c r="Z67" s="35"/>
    </row>
    <row r="68" spans="1:26" s="19" customFormat="1" outlineLevel="1">
      <c r="A68" s="33" t="s">
        <v>965</v>
      </c>
      <c r="B68" s="34">
        <f>COUNTA($B$1:B67)</f>
        <v>62</v>
      </c>
      <c r="C68" s="35" t="s">
        <v>952</v>
      </c>
      <c r="D68" s="35"/>
      <c r="E68" s="35"/>
      <c r="F68" s="34"/>
      <c r="G68" s="35" t="s">
        <v>966</v>
      </c>
      <c r="H68" s="35"/>
      <c r="I68" s="35" t="s">
        <v>55</v>
      </c>
      <c r="J68" s="35" t="s">
        <v>949</v>
      </c>
      <c r="K68" s="34">
        <v>0</v>
      </c>
      <c r="L68" s="35" t="s">
        <v>951</v>
      </c>
      <c r="M68" s="50" t="s">
        <v>266</v>
      </c>
      <c r="N68" s="35"/>
      <c r="O68" s="35"/>
      <c r="P68" s="35"/>
      <c r="Q68" s="35"/>
      <c r="R68" s="35"/>
      <c r="S68" s="35"/>
      <c r="T68" s="35"/>
      <c r="U68" s="35"/>
      <c r="V68" s="35"/>
      <c r="W68" s="35"/>
      <c r="X68" s="35"/>
      <c r="Y68" s="35"/>
      <c r="Z68" s="35"/>
    </row>
    <row r="69" spans="1:26" s="19" customFormat="1" outlineLevel="1">
      <c r="A69" s="33" t="s">
        <v>965</v>
      </c>
      <c r="B69" s="34">
        <f>COUNTA($B$1:B68)</f>
        <v>63</v>
      </c>
      <c r="C69" s="35" t="s">
        <v>953</v>
      </c>
      <c r="D69" s="35"/>
      <c r="E69" s="35"/>
      <c r="F69" s="34"/>
      <c r="G69" s="35" t="s">
        <v>966</v>
      </c>
      <c r="H69" s="35"/>
      <c r="I69" s="35" t="s">
        <v>55</v>
      </c>
      <c r="J69" s="35" t="s">
        <v>949</v>
      </c>
      <c r="K69" s="34">
        <v>0</v>
      </c>
      <c r="L69" s="35" t="s">
        <v>951</v>
      </c>
      <c r="M69" s="50" t="s">
        <v>268</v>
      </c>
      <c r="N69" s="35"/>
      <c r="O69" s="35"/>
      <c r="P69" s="35"/>
      <c r="Q69" s="35"/>
      <c r="R69" s="35"/>
      <c r="S69" s="35"/>
      <c r="T69" s="35"/>
      <c r="U69" s="35"/>
      <c r="V69" s="35"/>
      <c r="W69" s="35"/>
      <c r="X69" s="35"/>
      <c r="Y69" s="35"/>
      <c r="Z69" s="35"/>
    </row>
    <row r="70" spans="1:26" s="19" customFormat="1" outlineLevel="1">
      <c r="A70" s="33" t="s">
        <v>965</v>
      </c>
      <c r="B70" s="34">
        <f>COUNTA($B$1:B69)</f>
        <v>64</v>
      </c>
      <c r="C70" s="35" t="s">
        <v>67</v>
      </c>
      <c r="D70" s="35"/>
      <c r="E70" s="35"/>
      <c r="F70" s="34"/>
      <c r="G70" s="35" t="s">
        <v>966</v>
      </c>
      <c r="H70" s="35"/>
      <c r="I70" s="35"/>
      <c r="J70" s="35"/>
      <c r="K70" s="34"/>
      <c r="L70" s="35" t="s">
        <v>67</v>
      </c>
      <c r="M70" s="36">
        <v>2</v>
      </c>
      <c r="N70" s="35"/>
      <c r="O70" s="35"/>
      <c r="P70" s="35"/>
      <c r="Q70" s="35"/>
      <c r="R70" s="35"/>
      <c r="S70" s="35"/>
      <c r="T70" s="35"/>
      <c r="U70" s="35"/>
      <c r="V70" s="35"/>
      <c r="W70" s="35"/>
      <c r="X70" s="35"/>
      <c r="Y70" s="35"/>
      <c r="Z70" s="35"/>
    </row>
    <row r="71" spans="1:26">
      <c r="A71" s="33" t="s">
        <v>965</v>
      </c>
      <c r="B71" s="34">
        <f>COUNTA($B$1:B70)</f>
        <v>65</v>
      </c>
      <c r="C71" s="35" t="s">
        <v>262</v>
      </c>
      <c r="D71" s="35"/>
      <c r="E71" s="35"/>
      <c r="F71" s="34"/>
      <c r="G71" s="35" t="s">
        <v>966</v>
      </c>
      <c r="H71" s="35"/>
      <c r="I71" s="35"/>
      <c r="J71" s="35"/>
      <c r="K71" s="34">
        <v>0</v>
      </c>
      <c r="L71" s="35" t="s">
        <v>96</v>
      </c>
      <c r="M71" s="35"/>
      <c r="N71" s="35"/>
      <c r="O71" s="35"/>
      <c r="P71" s="35"/>
      <c r="Q71" s="35"/>
      <c r="R71" s="52"/>
      <c r="S71" s="35"/>
      <c r="T71" s="35"/>
      <c r="U71" s="35"/>
      <c r="V71" s="35"/>
      <c r="W71" s="35"/>
      <c r="X71" s="35"/>
      <c r="Y71" s="35"/>
      <c r="Z71" s="35"/>
    </row>
    <row r="72" spans="1:26">
      <c r="A72" s="33" t="s">
        <v>965</v>
      </c>
      <c r="B72" s="34">
        <f>COUNTA($B$1:B71)</f>
        <v>66</v>
      </c>
      <c r="C72" s="35" t="s">
        <v>67</v>
      </c>
      <c r="D72" s="35"/>
      <c r="E72" s="35"/>
      <c r="F72" s="34"/>
      <c r="G72" s="35" t="s">
        <v>966</v>
      </c>
      <c r="H72" s="35"/>
      <c r="I72" s="35"/>
      <c r="J72" s="35"/>
      <c r="K72" s="34"/>
      <c r="L72" s="35" t="s">
        <v>67</v>
      </c>
      <c r="M72" s="36">
        <v>2</v>
      </c>
      <c r="N72" s="35"/>
      <c r="O72" s="35"/>
      <c r="P72" s="35"/>
      <c r="Q72" s="35"/>
      <c r="R72" s="36"/>
      <c r="S72" s="35"/>
      <c r="T72" s="35"/>
      <c r="U72" s="35"/>
      <c r="V72" s="35"/>
      <c r="W72" s="35"/>
      <c r="X72" s="35"/>
      <c r="Y72" s="35"/>
      <c r="Z72" s="35"/>
    </row>
    <row r="73" spans="1:26">
      <c r="A73" s="33" t="s">
        <v>965</v>
      </c>
      <c r="B73" s="34">
        <f>COUNTA($B$1:B72)</f>
        <v>67</v>
      </c>
      <c r="C73" s="35" t="s">
        <v>988</v>
      </c>
      <c r="D73" s="35"/>
      <c r="E73" s="35"/>
      <c r="F73" s="34"/>
      <c r="G73" s="35" t="s">
        <v>966</v>
      </c>
      <c r="H73" s="35"/>
      <c r="I73" s="35" t="s">
        <v>55</v>
      </c>
      <c r="J73" s="35" t="s">
        <v>313</v>
      </c>
      <c r="K73" s="34">
        <v>0</v>
      </c>
      <c r="L73" s="35" t="s">
        <v>989</v>
      </c>
      <c r="M73" s="36"/>
      <c r="N73" s="35"/>
      <c r="O73" s="35"/>
      <c r="P73" s="35"/>
      <c r="Q73" s="35"/>
      <c r="R73" s="36"/>
      <c r="S73" s="35"/>
      <c r="T73" s="35"/>
      <c r="U73" s="35"/>
      <c r="V73" s="35"/>
      <c r="W73" s="35"/>
      <c r="X73" s="35"/>
      <c r="Y73" s="35"/>
      <c r="Z73" s="35"/>
    </row>
    <row r="74" spans="1:26" s="12" customFormat="1" ht="12.75" customHeight="1">
      <c r="A74" s="33" t="s">
        <v>965</v>
      </c>
      <c r="B74" s="34">
        <f>COUNTA($B$1:B73)</f>
        <v>68</v>
      </c>
      <c r="C74" s="35" t="s">
        <v>312</v>
      </c>
      <c r="D74" s="51"/>
      <c r="E74" s="52" t="s">
        <v>154</v>
      </c>
      <c r="F74" s="34"/>
      <c r="G74" s="35" t="s">
        <v>966</v>
      </c>
      <c r="H74" s="35"/>
      <c r="I74" s="35" t="s">
        <v>55</v>
      </c>
      <c r="J74" s="35" t="s">
        <v>313</v>
      </c>
      <c r="K74" s="34">
        <v>0</v>
      </c>
      <c r="L74" s="35" t="s">
        <v>878</v>
      </c>
      <c r="M74" s="36"/>
      <c r="N74" s="35"/>
      <c r="O74" s="35"/>
      <c r="P74" s="35"/>
      <c r="Q74" s="35"/>
      <c r="R74" s="35"/>
      <c r="S74" s="52"/>
      <c r="T74" s="35"/>
      <c r="U74" s="35"/>
      <c r="V74" s="35"/>
      <c r="W74" s="35"/>
      <c r="X74" s="52"/>
      <c r="Y74" s="52"/>
      <c r="Z74" s="52"/>
    </row>
    <row r="75" spans="1:26">
      <c r="A75" s="33" t="s">
        <v>965</v>
      </c>
      <c r="B75" s="34">
        <f>COUNTA($B$1:B74)</f>
        <v>69</v>
      </c>
      <c r="C75" s="35" t="s">
        <v>67</v>
      </c>
      <c r="D75" s="35"/>
      <c r="E75" s="35"/>
      <c r="F75" s="34"/>
      <c r="G75" s="35" t="s">
        <v>966</v>
      </c>
      <c r="H75" s="35"/>
      <c r="I75" s="35"/>
      <c r="J75" s="35"/>
      <c r="K75" s="34"/>
      <c r="L75" s="35" t="s">
        <v>67</v>
      </c>
      <c r="M75" s="36">
        <v>2</v>
      </c>
      <c r="N75" s="35"/>
      <c r="O75" s="35"/>
      <c r="P75" s="35"/>
      <c r="Q75" s="35"/>
      <c r="R75" s="36"/>
      <c r="S75" s="35"/>
      <c r="T75" s="35"/>
      <c r="U75" s="35"/>
      <c r="V75" s="35"/>
      <c r="W75" s="35"/>
      <c r="X75" s="35"/>
      <c r="Y75" s="35"/>
      <c r="Z75" s="35"/>
    </row>
    <row r="76" spans="1:26">
      <c r="A76" s="30" t="s">
        <v>934</v>
      </c>
      <c r="B76" s="31"/>
      <c r="C76" s="31"/>
      <c r="D76" s="32"/>
      <c r="E76" s="32"/>
      <c r="F76" s="31"/>
      <c r="G76" s="32"/>
      <c r="H76" s="32"/>
      <c r="I76" s="32"/>
      <c r="J76" s="32"/>
      <c r="K76" s="31"/>
      <c r="L76" s="32"/>
      <c r="M76" s="32"/>
      <c r="N76" s="32"/>
      <c r="O76" s="32"/>
      <c r="P76" s="32"/>
      <c r="Q76" s="32"/>
      <c r="R76" s="32"/>
      <c r="S76" s="32"/>
      <c r="T76" s="32"/>
      <c r="U76" s="32"/>
      <c r="V76" s="32"/>
      <c r="W76" s="32"/>
      <c r="X76" s="32"/>
      <c r="Y76" s="32"/>
      <c r="Z76" s="32"/>
    </row>
    <row r="77" spans="1:26">
      <c r="A77" s="33" t="s">
        <v>965</v>
      </c>
      <c r="B77" s="34">
        <f>COUNTA($B$1:B75)</f>
        <v>70</v>
      </c>
      <c r="C77" s="35" t="s">
        <v>879</v>
      </c>
      <c r="D77" s="35"/>
      <c r="E77" s="35"/>
      <c r="F77" s="34"/>
      <c r="G77" s="35" t="s">
        <v>966</v>
      </c>
      <c r="H77" s="35"/>
      <c r="I77" s="35" t="s">
        <v>55</v>
      </c>
      <c r="J77" s="35" t="s">
        <v>271</v>
      </c>
      <c r="K77" s="34">
        <v>0</v>
      </c>
      <c r="L77" s="35" t="s">
        <v>147</v>
      </c>
      <c r="M77" s="36"/>
      <c r="N77" s="35"/>
      <c r="O77" s="35"/>
      <c r="P77" s="35"/>
      <c r="Q77" s="35"/>
      <c r="R77" s="36"/>
      <c r="S77" s="35"/>
      <c r="T77" s="35"/>
      <c r="U77" s="35"/>
      <c r="V77" s="35"/>
      <c r="W77" s="35"/>
      <c r="X77" s="35"/>
      <c r="Y77" s="35"/>
      <c r="Z77" s="35"/>
    </row>
    <row r="78" spans="1:26">
      <c r="A78" s="33" t="s">
        <v>965</v>
      </c>
      <c r="B78" s="34">
        <f>COUNTA($B$1:B77)</f>
        <v>71</v>
      </c>
      <c r="C78" s="35" t="s">
        <v>67</v>
      </c>
      <c r="D78" s="35"/>
      <c r="E78" s="35"/>
      <c r="F78" s="34"/>
      <c r="G78" s="35" t="s">
        <v>966</v>
      </c>
      <c r="H78" s="35"/>
      <c r="I78" s="35"/>
      <c r="J78" s="35"/>
      <c r="K78" s="34"/>
      <c r="L78" s="35" t="s">
        <v>67</v>
      </c>
      <c r="M78" s="36">
        <v>3</v>
      </c>
      <c r="N78" s="35"/>
      <c r="O78" s="35"/>
      <c r="P78" s="35"/>
      <c r="Q78" s="35"/>
      <c r="R78" s="36"/>
      <c r="S78" s="35"/>
      <c r="T78" s="35"/>
      <c r="U78" s="35"/>
      <c r="V78" s="35"/>
      <c r="W78" s="35"/>
      <c r="X78" s="35"/>
      <c r="Y78" s="35"/>
      <c r="Z78" s="35"/>
    </row>
    <row r="79" spans="1:26">
      <c r="A79" s="33" t="s">
        <v>965</v>
      </c>
      <c r="B79" s="34">
        <f>COUNTA($B$1:B78)</f>
        <v>72</v>
      </c>
      <c r="C79" s="35" t="s">
        <v>148</v>
      </c>
      <c r="D79" s="35"/>
      <c r="E79" s="35"/>
      <c r="F79" s="34"/>
      <c r="G79" s="35" t="s">
        <v>966</v>
      </c>
      <c r="H79" s="35"/>
      <c r="I79" s="35" t="s">
        <v>55</v>
      </c>
      <c r="J79" s="35" t="s">
        <v>439</v>
      </c>
      <c r="K79" s="34">
        <v>0</v>
      </c>
      <c r="L79" s="35" t="s">
        <v>34</v>
      </c>
      <c r="M79" s="35"/>
      <c r="N79" s="35"/>
      <c r="O79" s="35"/>
      <c r="P79" s="35"/>
      <c r="Q79" s="35"/>
      <c r="R79" s="36"/>
      <c r="S79" s="35"/>
      <c r="T79" s="35"/>
      <c r="U79" s="35"/>
      <c r="V79" s="35"/>
      <c r="W79" s="35"/>
      <c r="X79" s="35"/>
      <c r="Y79" s="35"/>
      <c r="Z79" s="35"/>
    </row>
    <row r="80" spans="1:26" s="12" customFormat="1" ht="12.75" customHeight="1">
      <c r="A80" s="33" t="s">
        <v>965</v>
      </c>
      <c r="B80" s="34">
        <f>COUNTA($B$1:B79)</f>
        <v>73</v>
      </c>
      <c r="C80" s="35" t="s">
        <v>67</v>
      </c>
      <c r="D80" s="35"/>
      <c r="E80" s="35"/>
      <c r="F80" s="34"/>
      <c r="G80" s="35" t="s">
        <v>966</v>
      </c>
      <c r="H80" s="35"/>
      <c r="I80" s="35"/>
      <c r="J80" s="35"/>
      <c r="K80" s="34"/>
      <c r="L80" s="35" t="s">
        <v>67</v>
      </c>
      <c r="M80" s="36">
        <v>2</v>
      </c>
      <c r="N80" s="35"/>
      <c r="O80" s="35"/>
      <c r="P80" s="35"/>
      <c r="Q80" s="35"/>
      <c r="R80" s="36"/>
      <c r="S80" s="35"/>
      <c r="T80" s="35"/>
      <c r="U80" s="35"/>
      <c r="V80" s="35"/>
      <c r="W80" s="35"/>
      <c r="X80" s="35"/>
      <c r="Y80" s="35"/>
      <c r="Z80" s="35"/>
    </row>
    <row r="81" spans="1:26">
      <c r="A81" s="33" t="s">
        <v>965</v>
      </c>
      <c r="B81" s="34">
        <f>COUNTA($B$1:B80)</f>
        <v>74</v>
      </c>
      <c r="C81" s="35" t="s">
        <v>150</v>
      </c>
      <c r="D81" s="35"/>
      <c r="E81" s="35"/>
      <c r="F81" s="34"/>
      <c r="G81" s="35" t="s">
        <v>966</v>
      </c>
      <c r="H81" s="35"/>
      <c r="I81" s="35" t="s">
        <v>55</v>
      </c>
      <c r="J81" s="35" t="s">
        <v>273</v>
      </c>
      <c r="K81" s="34">
        <v>0</v>
      </c>
      <c r="L81" s="35" t="s">
        <v>151</v>
      </c>
      <c r="M81" s="50" t="s">
        <v>274</v>
      </c>
      <c r="N81" s="35"/>
      <c r="O81" s="35"/>
      <c r="P81" s="35"/>
      <c r="Q81" s="35"/>
      <c r="R81" s="36"/>
      <c r="S81" s="35"/>
      <c r="T81" s="35"/>
      <c r="U81" s="35"/>
      <c r="V81" s="35"/>
      <c r="W81" s="35"/>
      <c r="X81" s="35"/>
      <c r="Y81" s="35"/>
      <c r="Z81" s="35"/>
    </row>
    <row r="82" spans="1:26" s="17" customFormat="1">
      <c r="A82" s="33" t="s">
        <v>965</v>
      </c>
      <c r="B82" s="34">
        <f>COUNTA($B$1:B81)</f>
        <v>75</v>
      </c>
      <c r="C82" s="35" t="s">
        <v>67</v>
      </c>
      <c r="D82" s="35"/>
      <c r="E82" s="35"/>
      <c r="F82" s="34"/>
      <c r="G82" s="35" t="s">
        <v>966</v>
      </c>
      <c r="H82" s="35"/>
      <c r="I82" s="35"/>
      <c r="J82" s="35"/>
      <c r="K82" s="34"/>
      <c r="L82" s="35" t="s">
        <v>67</v>
      </c>
      <c r="M82" s="36">
        <v>2</v>
      </c>
      <c r="N82" s="35"/>
      <c r="O82" s="35"/>
      <c r="P82" s="35"/>
      <c r="Q82" s="35"/>
      <c r="R82" s="36"/>
      <c r="S82" s="35"/>
      <c r="T82" s="35"/>
      <c r="U82" s="35"/>
      <c r="V82" s="35"/>
      <c r="W82" s="35"/>
      <c r="X82" s="35"/>
      <c r="Y82" s="35"/>
      <c r="Z82" s="35"/>
    </row>
    <row r="83" spans="1:26">
      <c r="A83" s="33" t="s">
        <v>965</v>
      </c>
      <c r="B83" s="34">
        <f>COUNTA($B$1:B82)</f>
        <v>76</v>
      </c>
      <c r="C83" s="35" t="s">
        <v>148</v>
      </c>
      <c r="D83" s="35"/>
      <c r="E83" s="35"/>
      <c r="F83" s="42"/>
      <c r="G83" s="35" t="s">
        <v>966</v>
      </c>
      <c r="H83" s="35"/>
      <c r="I83" s="35" t="s">
        <v>55</v>
      </c>
      <c r="J83" s="35" t="str">
        <f>"//a[contains(.,'"&amp;M81&amp;"')]"</f>
        <v>//a[contains(.,'Destination1')]</v>
      </c>
      <c r="K83" s="34">
        <v>0</v>
      </c>
      <c r="L83" s="35" t="s">
        <v>147</v>
      </c>
      <c r="M83" s="35"/>
      <c r="N83" s="35"/>
      <c r="O83" s="35"/>
      <c r="P83" s="35"/>
      <c r="Q83" s="35"/>
      <c r="R83" s="36"/>
      <c r="S83" s="35"/>
      <c r="T83" s="35"/>
      <c r="U83" s="35"/>
      <c r="V83" s="35"/>
      <c r="W83" s="35"/>
      <c r="X83" s="35"/>
      <c r="Y83" s="35"/>
      <c r="Z83" s="35"/>
    </row>
    <row r="84" spans="1:26" s="17" customFormat="1">
      <c r="A84" s="33" t="s">
        <v>965</v>
      </c>
      <c r="B84" s="34">
        <f>COUNTA($B$1:B83)</f>
        <v>77</v>
      </c>
      <c r="C84" s="35" t="s">
        <v>153</v>
      </c>
      <c r="D84" s="51"/>
      <c r="E84" s="52" t="s">
        <v>154</v>
      </c>
      <c r="F84" s="38"/>
      <c r="G84" s="35" t="s">
        <v>966</v>
      </c>
      <c r="H84" s="35"/>
      <c r="I84" s="35" t="s">
        <v>55</v>
      </c>
      <c r="J84" s="35" t="s">
        <v>81</v>
      </c>
      <c r="K84" s="34">
        <v>0</v>
      </c>
      <c r="L84" s="35" t="s">
        <v>0</v>
      </c>
      <c r="M84" s="50" t="s">
        <v>440</v>
      </c>
      <c r="N84" s="35"/>
      <c r="O84" s="35"/>
      <c r="P84" s="35"/>
      <c r="Q84" s="35"/>
      <c r="R84" s="36"/>
      <c r="S84" s="35"/>
      <c r="T84" s="35"/>
      <c r="U84" s="35"/>
      <c r="V84" s="35"/>
      <c r="W84" s="35"/>
      <c r="X84" s="35"/>
      <c r="Y84" s="35"/>
      <c r="Z84" s="35"/>
    </row>
    <row r="85" spans="1:26">
      <c r="A85" s="33" t="s">
        <v>965</v>
      </c>
      <c r="B85" s="34">
        <f>COUNTA($B$1:B84)</f>
        <v>78</v>
      </c>
      <c r="C85" s="35" t="s">
        <v>156</v>
      </c>
      <c r="D85" s="51"/>
      <c r="E85" s="52" t="s">
        <v>154</v>
      </c>
      <c r="F85" s="38"/>
      <c r="G85" s="35" t="s">
        <v>966</v>
      </c>
      <c r="H85" s="35"/>
      <c r="I85" s="35" t="s">
        <v>55</v>
      </c>
      <c r="J85" s="35" t="s">
        <v>82</v>
      </c>
      <c r="K85" s="34">
        <v>0</v>
      </c>
      <c r="L85" s="35" t="s">
        <v>0</v>
      </c>
      <c r="M85" s="50" t="s">
        <v>441</v>
      </c>
      <c r="N85" s="35"/>
      <c r="O85" s="35"/>
      <c r="P85" s="35"/>
      <c r="Q85" s="35"/>
      <c r="R85" s="36"/>
      <c r="S85" s="35"/>
      <c r="T85" s="35"/>
      <c r="U85" s="35"/>
      <c r="V85" s="35"/>
      <c r="W85" s="35"/>
      <c r="X85" s="35"/>
      <c r="Y85" s="35"/>
      <c r="Z85" s="35"/>
    </row>
    <row r="86" spans="1:26">
      <c r="A86" s="33" t="s">
        <v>965</v>
      </c>
      <c r="B86" s="34">
        <f>COUNTA($B$1:B85)</f>
        <v>79</v>
      </c>
      <c r="C86" s="35" t="s">
        <v>161</v>
      </c>
      <c r="D86" s="35"/>
      <c r="E86" s="35"/>
      <c r="F86" s="34"/>
      <c r="G86" s="35" t="s">
        <v>966</v>
      </c>
      <c r="H86" s="35"/>
      <c r="I86" s="35" t="s">
        <v>55</v>
      </c>
      <c r="J86" s="35" t="s">
        <v>442</v>
      </c>
      <c r="K86" s="34">
        <v>0</v>
      </c>
      <c r="L86" s="35" t="s">
        <v>34</v>
      </c>
      <c r="M86" s="35"/>
      <c r="N86" s="35"/>
      <c r="O86" s="35"/>
      <c r="P86" s="35"/>
      <c r="Q86" s="35"/>
      <c r="R86" s="36"/>
      <c r="S86" s="35"/>
      <c r="T86" s="35"/>
      <c r="U86" s="35"/>
      <c r="V86" s="35"/>
      <c r="W86" s="35"/>
      <c r="X86" s="35"/>
      <c r="Y86" s="35"/>
      <c r="Z86" s="35"/>
    </row>
    <row r="87" spans="1:26">
      <c r="A87" s="33" t="s">
        <v>965</v>
      </c>
      <c r="B87" s="34">
        <f>COUNTA($B$1:B86)</f>
        <v>80</v>
      </c>
      <c r="C87" s="35" t="s">
        <v>67</v>
      </c>
      <c r="D87" s="35"/>
      <c r="E87" s="35"/>
      <c r="F87" s="34"/>
      <c r="G87" s="35" t="s">
        <v>966</v>
      </c>
      <c r="H87" s="35"/>
      <c r="I87" s="35"/>
      <c r="J87" s="35"/>
      <c r="K87" s="34"/>
      <c r="L87" s="35" t="s">
        <v>67</v>
      </c>
      <c r="M87" s="36">
        <v>2</v>
      </c>
      <c r="N87" s="35"/>
      <c r="O87" s="35"/>
      <c r="P87" s="35"/>
      <c r="Q87" s="35"/>
      <c r="R87" s="36"/>
      <c r="S87" s="35"/>
      <c r="T87" s="35"/>
      <c r="U87" s="35"/>
      <c r="V87" s="35"/>
      <c r="W87" s="35"/>
      <c r="X87" s="35"/>
      <c r="Y87" s="35"/>
      <c r="Z87" s="35"/>
    </row>
    <row r="88" spans="1:26">
      <c r="A88" s="33" t="s">
        <v>965</v>
      </c>
      <c r="B88" s="34">
        <f>COUNTA($B$1:B87)</f>
        <v>81</v>
      </c>
      <c r="C88" s="35" t="s">
        <v>163</v>
      </c>
      <c r="D88" s="35"/>
      <c r="E88" s="35"/>
      <c r="F88" s="34"/>
      <c r="G88" s="35" t="s">
        <v>966</v>
      </c>
      <c r="H88" s="35"/>
      <c r="I88" s="35" t="s">
        <v>55</v>
      </c>
      <c r="J88" s="35" t="s">
        <v>277</v>
      </c>
      <c r="K88" s="34">
        <v>0</v>
      </c>
      <c r="L88" s="35" t="s">
        <v>151</v>
      </c>
      <c r="M88" s="50" t="s">
        <v>278</v>
      </c>
      <c r="N88" s="35"/>
      <c r="O88" s="35"/>
      <c r="P88" s="35"/>
      <c r="Q88" s="35"/>
      <c r="R88" s="36"/>
      <c r="S88" s="35"/>
      <c r="T88" s="35"/>
      <c r="U88" s="35"/>
      <c r="V88" s="35"/>
      <c r="W88" s="35"/>
      <c r="X88" s="35"/>
      <c r="Y88" s="35"/>
      <c r="Z88" s="35"/>
    </row>
    <row r="89" spans="1:26">
      <c r="A89" s="33" t="s">
        <v>965</v>
      </c>
      <c r="B89" s="34">
        <f>COUNTA($B$1:B88)</f>
        <v>82</v>
      </c>
      <c r="C89" s="35" t="s">
        <v>67</v>
      </c>
      <c r="D89" s="35"/>
      <c r="E89" s="35"/>
      <c r="F89" s="34"/>
      <c r="G89" s="35" t="s">
        <v>966</v>
      </c>
      <c r="H89" s="35"/>
      <c r="I89" s="35"/>
      <c r="J89" s="35"/>
      <c r="K89" s="34"/>
      <c r="L89" s="35" t="s">
        <v>67</v>
      </c>
      <c r="M89" s="36">
        <v>2</v>
      </c>
      <c r="N89" s="35"/>
      <c r="O89" s="35"/>
      <c r="P89" s="35"/>
      <c r="Q89" s="35"/>
      <c r="R89" s="36"/>
      <c r="S89" s="35"/>
      <c r="T89" s="35"/>
      <c r="U89" s="35"/>
      <c r="V89" s="35"/>
      <c r="W89" s="35"/>
      <c r="X89" s="35"/>
      <c r="Y89" s="35"/>
      <c r="Z89" s="35"/>
    </row>
    <row r="90" spans="1:26">
      <c r="A90" s="33" t="s">
        <v>965</v>
      </c>
      <c r="B90" s="34">
        <f>COUNTA($B$1:B89)</f>
        <v>83</v>
      </c>
      <c r="C90" s="35" t="s">
        <v>973</v>
      </c>
      <c r="D90" s="35"/>
      <c r="E90" s="35"/>
      <c r="F90" s="42"/>
      <c r="G90" s="35" t="s">
        <v>966</v>
      </c>
      <c r="H90" s="35"/>
      <c r="I90" s="35" t="s">
        <v>55</v>
      </c>
      <c r="J90" s="35" t="str">
        <f>"//a[contains(.,'"&amp;M88&amp;"')]"</f>
        <v>//a[contains(.,'Residence1')]</v>
      </c>
      <c r="K90" s="34">
        <v>0</v>
      </c>
      <c r="L90" s="35" t="s">
        <v>147</v>
      </c>
      <c r="M90" s="35"/>
      <c r="N90" s="35"/>
      <c r="O90" s="35"/>
      <c r="P90" s="35"/>
      <c r="Q90" s="35"/>
      <c r="R90" s="36"/>
      <c r="S90" s="35"/>
      <c r="T90" s="35"/>
      <c r="U90" s="35"/>
      <c r="V90" s="35"/>
      <c r="W90" s="35"/>
      <c r="X90" s="35"/>
      <c r="Y90" s="35"/>
      <c r="Z90" s="35"/>
    </row>
    <row r="91" spans="1:26">
      <c r="A91" s="33" t="s">
        <v>965</v>
      </c>
      <c r="B91" s="34">
        <f>COUNTA($B$1:B90)</f>
        <v>84</v>
      </c>
      <c r="C91" s="35" t="s">
        <v>883</v>
      </c>
      <c r="D91" s="35"/>
      <c r="E91" s="35"/>
      <c r="F91" s="34"/>
      <c r="G91" s="35" t="s">
        <v>966</v>
      </c>
      <c r="H91" s="35"/>
      <c r="I91" s="35" t="s">
        <v>55</v>
      </c>
      <c r="J91" s="35" t="s">
        <v>87</v>
      </c>
      <c r="K91" s="34">
        <v>0</v>
      </c>
      <c r="L91" s="35" t="s">
        <v>147</v>
      </c>
      <c r="M91" s="36"/>
      <c r="N91" s="35"/>
      <c r="O91" s="35"/>
      <c r="P91" s="35"/>
      <c r="Q91" s="35"/>
      <c r="R91" s="36"/>
      <c r="S91" s="35"/>
      <c r="T91" s="35"/>
      <c r="U91" s="35"/>
      <c r="V91" s="35"/>
      <c r="W91" s="35"/>
      <c r="X91" s="35"/>
      <c r="Y91" s="35"/>
      <c r="Z91" s="35"/>
    </row>
    <row r="92" spans="1:26">
      <c r="A92" s="33" t="s">
        <v>965</v>
      </c>
      <c r="B92" s="34">
        <f>COUNTA($B$1:B91)</f>
        <v>85</v>
      </c>
      <c r="C92" s="35" t="s">
        <v>67</v>
      </c>
      <c r="D92" s="35"/>
      <c r="E92" s="35"/>
      <c r="F92" s="34"/>
      <c r="G92" s="35" t="s">
        <v>966</v>
      </c>
      <c r="H92" s="35"/>
      <c r="I92" s="35"/>
      <c r="J92" s="35"/>
      <c r="K92" s="34"/>
      <c r="L92" s="35" t="s">
        <v>67</v>
      </c>
      <c r="M92" s="36">
        <v>10</v>
      </c>
      <c r="N92" s="35"/>
      <c r="O92" s="35"/>
      <c r="P92" s="35"/>
      <c r="Q92" s="35"/>
      <c r="R92" s="36"/>
      <c r="S92" s="35"/>
      <c r="T92" s="35"/>
      <c r="U92" s="35"/>
      <c r="V92" s="35"/>
      <c r="W92" s="35"/>
      <c r="X92" s="35"/>
      <c r="Y92" s="35"/>
      <c r="Z92" s="35"/>
    </row>
    <row r="93" spans="1:26" s="10" customFormat="1">
      <c r="A93" s="30" t="s">
        <v>933</v>
      </c>
      <c r="B93" s="190"/>
      <c r="C93" s="31"/>
      <c r="D93" s="32"/>
      <c r="E93" s="32"/>
      <c r="F93" s="31"/>
      <c r="G93" s="32"/>
      <c r="H93" s="32"/>
      <c r="I93" s="32"/>
      <c r="J93" s="32"/>
      <c r="K93" s="31"/>
      <c r="L93" s="32"/>
      <c r="M93" s="32"/>
      <c r="N93" s="32"/>
      <c r="O93" s="32"/>
      <c r="P93" s="32"/>
      <c r="Q93" s="32"/>
      <c r="R93" s="32"/>
      <c r="S93" s="32"/>
      <c r="T93" s="32"/>
      <c r="U93" s="32"/>
      <c r="V93" s="32"/>
      <c r="W93" s="32"/>
      <c r="X93" s="32"/>
      <c r="Y93" s="32"/>
      <c r="Z93" s="32"/>
    </row>
    <row r="94" spans="1:26" s="213" customFormat="1">
      <c r="A94" s="220" t="s">
        <v>965</v>
      </c>
      <c r="B94" s="209">
        <f>COUNTA($B$1:B93)</f>
        <v>86</v>
      </c>
      <c r="C94" s="210" t="s">
        <v>921</v>
      </c>
      <c r="D94" s="210"/>
      <c r="E94" s="210"/>
      <c r="F94" s="209"/>
      <c r="G94" s="210" t="s">
        <v>966</v>
      </c>
      <c r="H94" s="210"/>
      <c r="I94" s="210" t="s">
        <v>55</v>
      </c>
      <c r="J94" s="210" t="s">
        <v>907</v>
      </c>
      <c r="K94" s="209">
        <v>0</v>
      </c>
      <c r="L94" s="210" t="s">
        <v>147</v>
      </c>
      <c r="M94" s="214"/>
      <c r="N94" s="210"/>
      <c r="O94" s="210"/>
      <c r="P94" s="210"/>
      <c r="Q94" s="210"/>
      <c r="R94" s="210"/>
      <c r="S94" s="210"/>
      <c r="T94" s="210"/>
      <c r="U94" s="210"/>
      <c r="V94" s="210"/>
      <c r="W94" s="210"/>
      <c r="X94" s="210"/>
      <c r="Y94" s="210"/>
      <c r="Z94" s="210"/>
    </row>
    <row r="95" spans="1:26" s="213" customFormat="1">
      <c r="A95" s="220" t="s">
        <v>965</v>
      </c>
      <c r="B95" s="209">
        <f>COUNTA($B$1:B94)</f>
        <v>87</v>
      </c>
      <c r="C95" s="210" t="s">
        <v>916</v>
      </c>
      <c r="D95" s="215"/>
      <c r="E95" s="212"/>
      <c r="F95" s="209"/>
      <c r="G95" s="210" t="s">
        <v>966</v>
      </c>
      <c r="H95" s="210"/>
      <c r="I95" s="210" t="s">
        <v>55</v>
      </c>
      <c r="J95" s="210" t="s">
        <v>898</v>
      </c>
      <c r="K95" s="209">
        <v>0</v>
      </c>
      <c r="L95" s="210" t="s">
        <v>98</v>
      </c>
      <c r="M95" s="214"/>
      <c r="N95" s="210" t="s">
        <v>99</v>
      </c>
      <c r="O95" s="210"/>
      <c r="P95" s="210"/>
      <c r="Q95" s="210"/>
      <c r="R95" s="210" t="str">
        <f>M81</f>
        <v>Destination1</v>
      </c>
      <c r="S95" s="210"/>
      <c r="T95" s="210" t="s">
        <v>2</v>
      </c>
      <c r="U95" s="210"/>
      <c r="V95" s="210"/>
      <c r="W95" s="210"/>
      <c r="X95" s="210"/>
      <c r="Y95" s="210"/>
      <c r="Z95" s="210"/>
    </row>
    <row r="96" spans="1:26" s="213" customFormat="1">
      <c r="A96" s="220" t="s">
        <v>965</v>
      </c>
      <c r="B96" s="209">
        <f>COUNTA($B$1:B95)</f>
        <v>88</v>
      </c>
      <c r="C96" s="210" t="s">
        <v>914</v>
      </c>
      <c r="D96" s="215"/>
      <c r="E96" s="212"/>
      <c r="F96" s="209"/>
      <c r="G96" s="210" t="s">
        <v>966</v>
      </c>
      <c r="H96" s="210"/>
      <c r="I96" s="210" t="s">
        <v>55</v>
      </c>
      <c r="J96" s="210" t="s">
        <v>298</v>
      </c>
      <c r="K96" s="209">
        <v>0</v>
      </c>
      <c r="L96" s="210" t="s">
        <v>98</v>
      </c>
      <c r="M96" s="214"/>
      <c r="N96" s="210" t="s">
        <v>99</v>
      </c>
      <c r="O96" s="210"/>
      <c r="P96" s="210"/>
      <c r="Q96" s="210"/>
      <c r="R96" s="210" t="str">
        <f>TEXT(M84,"mm/dd/yyyy")</f>
        <v>DepDate1</v>
      </c>
      <c r="S96" s="210"/>
      <c r="T96" s="210" t="s">
        <v>2</v>
      </c>
      <c r="U96" s="210"/>
      <c r="V96" s="210"/>
      <c r="W96" s="210"/>
      <c r="X96" s="210"/>
      <c r="Y96" s="210"/>
      <c r="Z96" s="210"/>
    </row>
    <row r="97" spans="1:26" s="213" customFormat="1">
      <c r="A97" s="220" t="s">
        <v>965</v>
      </c>
      <c r="B97" s="209">
        <f>COUNTA($B$1:B96)</f>
        <v>89</v>
      </c>
      <c r="C97" s="210" t="s">
        <v>915</v>
      </c>
      <c r="D97" s="215"/>
      <c r="E97" s="212"/>
      <c r="F97" s="209"/>
      <c r="G97" s="210" t="s">
        <v>966</v>
      </c>
      <c r="H97" s="210"/>
      <c r="I97" s="210" t="s">
        <v>55</v>
      </c>
      <c r="J97" s="210" t="s">
        <v>300</v>
      </c>
      <c r="K97" s="209">
        <v>0</v>
      </c>
      <c r="L97" s="210" t="s">
        <v>98</v>
      </c>
      <c r="M97" s="214"/>
      <c r="N97" s="210" t="s">
        <v>99</v>
      </c>
      <c r="O97" s="210"/>
      <c r="P97" s="210"/>
      <c r="Q97" s="210"/>
      <c r="R97" s="210" t="str">
        <f>TEXT(M85,"mm/dd/yyyy")</f>
        <v>RetDate1</v>
      </c>
      <c r="S97" s="210"/>
      <c r="T97" s="210" t="s">
        <v>2</v>
      </c>
      <c r="U97" s="210"/>
      <c r="V97" s="210"/>
      <c r="W97" s="210"/>
      <c r="X97" s="210"/>
      <c r="Y97" s="210"/>
      <c r="Z97" s="210"/>
    </row>
    <row r="98" spans="1:26">
      <c r="A98" s="33" t="s">
        <v>965</v>
      </c>
      <c r="B98" s="198">
        <f>COUNTA($B$1:B97)</f>
        <v>90</v>
      </c>
      <c r="C98" s="53" t="s">
        <v>873</v>
      </c>
      <c r="D98" s="35"/>
      <c r="E98" s="35"/>
      <c r="F98" s="34"/>
      <c r="G98" s="35" t="s">
        <v>966</v>
      </c>
      <c r="H98" s="35"/>
      <c r="I98" s="35" t="s">
        <v>55</v>
      </c>
      <c r="J98" s="35" t="s">
        <v>974</v>
      </c>
      <c r="K98" s="34">
        <v>0</v>
      </c>
      <c r="L98" s="35" t="s">
        <v>147</v>
      </c>
      <c r="M98" s="36"/>
      <c r="N98" s="35"/>
      <c r="O98" s="35"/>
      <c r="P98" s="35"/>
      <c r="Q98" s="35"/>
      <c r="R98" s="35"/>
      <c r="S98" s="35"/>
      <c r="T98" s="35"/>
      <c r="U98" s="35"/>
      <c r="V98" s="35"/>
      <c r="W98" s="35"/>
      <c r="X98" s="35"/>
      <c r="Y98" s="35"/>
      <c r="Z98" s="35"/>
    </row>
    <row r="99" spans="1:26">
      <c r="A99" s="33" t="s">
        <v>965</v>
      </c>
      <c r="B99" s="34">
        <f>COUNTA($B$1:B98)</f>
        <v>91</v>
      </c>
      <c r="C99" s="35" t="s">
        <v>67</v>
      </c>
      <c r="D99" s="35"/>
      <c r="E99" s="35"/>
      <c r="F99" s="34"/>
      <c r="G99" s="35" t="s">
        <v>966</v>
      </c>
      <c r="H99" s="35"/>
      <c r="I99" s="35"/>
      <c r="J99" s="35"/>
      <c r="K99" s="34"/>
      <c r="L99" s="35" t="s">
        <v>67</v>
      </c>
      <c r="M99" s="36">
        <v>10</v>
      </c>
      <c r="N99" s="35"/>
      <c r="O99" s="35"/>
      <c r="P99" s="35"/>
      <c r="Q99" s="35"/>
      <c r="R99" s="35"/>
      <c r="S99" s="35"/>
      <c r="T99" s="35"/>
      <c r="U99" s="35"/>
      <c r="V99" s="35"/>
      <c r="W99" s="35"/>
      <c r="X99" s="35"/>
      <c r="Y99" s="35"/>
      <c r="Z99" s="35"/>
    </row>
    <row r="100" spans="1:26" s="17" customFormat="1">
      <c r="A100" s="30" t="s">
        <v>219</v>
      </c>
      <c r="B100" s="190"/>
      <c r="C100" s="31"/>
      <c r="D100" s="32"/>
      <c r="E100" s="32"/>
      <c r="F100" s="31"/>
      <c r="G100" s="32"/>
      <c r="H100" s="32"/>
      <c r="I100" s="32"/>
      <c r="J100" s="32"/>
      <c r="K100" s="31"/>
      <c r="L100" s="32"/>
      <c r="M100" s="32"/>
      <c r="N100" s="32"/>
      <c r="O100" s="32"/>
      <c r="P100" s="32"/>
      <c r="Q100" s="32"/>
      <c r="R100" s="32"/>
      <c r="S100" s="32"/>
      <c r="T100" s="32"/>
      <c r="U100" s="32"/>
      <c r="V100" s="32"/>
      <c r="W100" s="32"/>
      <c r="X100" s="32"/>
      <c r="Y100" s="32"/>
      <c r="Z100" s="32"/>
    </row>
    <row r="101" spans="1:26" s="213" customFormat="1">
      <c r="A101" s="220" t="s">
        <v>965</v>
      </c>
      <c r="B101" s="209">
        <f>COUNTA($B$1:B100)</f>
        <v>92</v>
      </c>
      <c r="C101" s="210" t="s">
        <v>921</v>
      </c>
      <c r="D101" s="210"/>
      <c r="E101" s="210"/>
      <c r="F101" s="209"/>
      <c r="G101" s="210" t="s">
        <v>966</v>
      </c>
      <c r="H101" s="210"/>
      <c r="I101" s="210" t="s">
        <v>55</v>
      </c>
      <c r="J101" s="210" t="s">
        <v>907</v>
      </c>
      <c r="K101" s="209">
        <v>0</v>
      </c>
      <c r="L101" s="210" t="s">
        <v>147</v>
      </c>
      <c r="M101" s="214"/>
      <c r="N101" s="210"/>
      <c r="O101" s="210"/>
      <c r="P101" s="210"/>
      <c r="Q101" s="210"/>
      <c r="R101" s="210"/>
      <c r="S101" s="210"/>
      <c r="T101" s="210"/>
      <c r="U101" s="210"/>
      <c r="V101" s="210"/>
      <c r="W101" s="210"/>
      <c r="X101" s="210"/>
      <c r="Y101" s="210"/>
      <c r="Z101" s="210"/>
    </row>
    <row r="102" spans="1:26" s="213" customFormat="1">
      <c r="A102" s="220" t="s">
        <v>965</v>
      </c>
      <c r="B102" s="209">
        <f>COUNTA($B$1:B101)</f>
        <v>93</v>
      </c>
      <c r="C102" s="210" t="s">
        <v>897</v>
      </c>
      <c r="D102" s="211"/>
      <c r="E102" s="212"/>
      <c r="F102" s="209"/>
      <c r="G102" s="210" t="s">
        <v>966</v>
      </c>
      <c r="H102" s="210"/>
      <c r="I102" s="210" t="s">
        <v>55</v>
      </c>
      <c r="J102" s="210" t="s">
        <v>898</v>
      </c>
      <c r="K102" s="209">
        <v>0</v>
      </c>
      <c r="L102" s="210" t="s">
        <v>98</v>
      </c>
      <c r="M102" s="210"/>
      <c r="N102" s="210" t="s">
        <v>99</v>
      </c>
      <c r="O102" s="210"/>
      <c r="P102" s="210"/>
      <c r="Q102" s="210"/>
      <c r="R102" s="210">
        <f>S95</f>
        <v>0</v>
      </c>
      <c r="S102" s="212"/>
      <c r="T102" s="210" t="s">
        <v>2</v>
      </c>
      <c r="U102" s="210"/>
      <c r="V102" s="210"/>
      <c r="W102" s="210"/>
      <c r="X102" s="212"/>
      <c r="Y102" s="212"/>
      <c r="Z102" s="212"/>
    </row>
    <row r="103" spans="1:26" s="213" customFormat="1">
      <c r="A103" s="220" t="s">
        <v>965</v>
      </c>
      <c r="B103" s="209">
        <f>COUNTA($B$1:B102)</f>
        <v>94</v>
      </c>
      <c r="C103" s="210" t="s">
        <v>297</v>
      </c>
      <c r="D103" s="215"/>
      <c r="E103" s="212"/>
      <c r="F103" s="209"/>
      <c r="G103" s="210" t="s">
        <v>966</v>
      </c>
      <c r="H103" s="210"/>
      <c r="I103" s="210" t="s">
        <v>55</v>
      </c>
      <c r="J103" s="210" t="s">
        <v>298</v>
      </c>
      <c r="K103" s="209">
        <v>0</v>
      </c>
      <c r="L103" s="210" t="s">
        <v>98</v>
      </c>
      <c r="M103" s="214"/>
      <c r="N103" s="210" t="s">
        <v>99</v>
      </c>
      <c r="O103" s="210"/>
      <c r="P103" s="210"/>
      <c r="Q103" s="210"/>
      <c r="R103" s="210">
        <f>S96</f>
        <v>0</v>
      </c>
      <c r="S103" s="210"/>
      <c r="T103" s="210" t="s">
        <v>2</v>
      </c>
      <c r="U103" s="210"/>
      <c r="V103" s="210"/>
      <c r="W103" s="210"/>
      <c r="X103" s="210"/>
      <c r="Y103" s="210"/>
      <c r="Z103" s="210"/>
    </row>
    <row r="104" spans="1:26" s="213" customFormat="1">
      <c r="A104" s="220" t="s">
        <v>965</v>
      </c>
      <c r="B104" s="209">
        <f>COUNTA($B$1:B103)</f>
        <v>95</v>
      </c>
      <c r="C104" s="210" t="s">
        <v>299</v>
      </c>
      <c r="D104" s="215"/>
      <c r="E104" s="212"/>
      <c r="F104" s="209"/>
      <c r="G104" s="210" t="s">
        <v>966</v>
      </c>
      <c r="H104" s="210"/>
      <c r="I104" s="210" t="s">
        <v>55</v>
      </c>
      <c r="J104" s="210" t="s">
        <v>300</v>
      </c>
      <c r="K104" s="209">
        <v>0</v>
      </c>
      <c r="L104" s="210" t="s">
        <v>98</v>
      </c>
      <c r="M104" s="214"/>
      <c r="N104" s="210" t="s">
        <v>99</v>
      </c>
      <c r="O104" s="210"/>
      <c r="P104" s="210"/>
      <c r="Q104" s="210"/>
      <c r="R104" s="210">
        <f>S97</f>
        <v>0</v>
      </c>
      <c r="S104" s="210"/>
      <c r="T104" s="210" t="s">
        <v>2</v>
      </c>
      <c r="U104" s="210"/>
      <c r="V104" s="210"/>
      <c r="W104" s="210"/>
      <c r="X104" s="210"/>
      <c r="Y104" s="210"/>
      <c r="Z104" s="210"/>
    </row>
    <row r="105" spans="1:26" s="213" customFormat="1">
      <c r="A105" s="220" t="s">
        <v>965</v>
      </c>
      <c r="B105" s="209">
        <f>COUNTA($B$1:B104)</f>
        <v>96</v>
      </c>
      <c r="C105" s="210" t="s">
        <v>301</v>
      </c>
      <c r="D105" s="215"/>
      <c r="E105" s="212"/>
      <c r="F105" s="209"/>
      <c r="G105" s="210" t="s">
        <v>966</v>
      </c>
      <c r="H105" s="210"/>
      <c r="I105" s="210" t="s">
        <v>55</v>
      </c>
      <c r="J105" s="210" t="s">
        <v>107</v>
      </c>
      <c r="K105" s="209">
        <v>0</v>
      </c>
      <c r="L105" s="210" t="s">
        <v>98</v>
      </c>
      <c r="M105" s="214"/>
      <c r="N105" s="210" t="s">
        <v>99</v>
      </c>
      <c r="O105" s="210"/>
      <c r="P105" s="210"/>
      <c r="Q105" s="210"/>
      <c r="R105" s="210"/>
      <c r="S105" s="210"/>
      <c r="T105" s="210"/>
      <c r="U105" s="210"/>
      <c r="V105" s="210"/>
      <c r="W105" s="210"/>
      <c r="X105" s="210"/>
      <c r="Y105" s="210"/>
      <c r="Z105" s="210"/>
    </row>
    <row r="106" spans="1:26" s="213" customFormat="1">
      <c r="A106" s="220" t="s">
        <v>965</v>
      </c>
      <c r="B106" s="209">
        <f>COUNTA($B$1:B105)</f>
        <v>97</v>
      </c>
      <c r="C106" s="210" t="s">
        <v>924</v>
      </c>
      <c r="D106" s="215"/>
      <c r="E106" s="212"/>
      <c r="F106" s="209"/>
      <c r="G106" s="210" t="s">
        <v>966</v>
      </c>
      <c r="H106" s="210"/>
      <c r="I106" s="210" t="s">
        <v>55</v>
      </c>
      <c r="J106" s="210" t="s">
        <v>838</v>
      </c>
      <c r="K106" s="209">
        <v>0</v>
      </c>
      <c r="L106" s="210" t="s">
        <v>98</v>
      </c>
      <c r="M106" s="214"/>
      <c r="N106" s="210" t="s">
        <v>99</v>
      </c>
      <c r="O106" s="210"/>
      <c r="P106" s="210"/>
      <c r="Q106" s="210"/>
      <c r="R106" s="210"/>
      <c r="S106" s="210"/>
      <c r="T106" s="210"/>
      <c r="U106" s="210"/>
      <c r="V106" s="210"/>
      <c r="W106" s="210"/>
      <c r="X106" s="210"/>
      <c r="Y106" s="210"/>
      <c r="Z106" s="210"/>
    </row>
    <row r="107" spans="1:26" s="213" customFormat="1">
      <c r="A107" s="220" t="s">
        <v>965</v>
      </c>
      <c r="B107" s="209">
        <f>COUNTA($B$1:B106)</f>
        <v>98</v>
      </c>
      <c r="C107" s="210" t="s">
        <v>310</v>
      </c>
      <c r="D107" s="215"/>
      <c r="E107" s="212"/>
      <c r="F107" s="209"/>
      <c r="G107" s="210" t="s">
        <v>966</v>
      </c>
      <c r="H107" s="210"/>
      <c r="I107" s="210" t="s">
        <v>55</v>
      </c>
      <c r="J107" s="210" t="s">
        <v>574</v>
      </c>
      <c r="K107" s="209">
        <v>0</v>
      </c>
      <c r="L107" s="210" t="s">
        <v>98</v>
      </c>
      <c r="M107" s="214"/>
      <c r="N107" s="210" t="s">
        <v>99</v>
      </c>
      <c r="O107" s="210"/>
      <c r="P107" s="210"/>
      <c r="Q107" s="210"/>
      <c r="R107" s="210"/>
      <c r="S107" s="210"/>
      <c r="T107" s="210"/>
      <c r="U107" s="210"/>
      <c r="V107" s="210"/>
      <c r="W107" s="210"/>
      <c r="X107" s="210"/>
      <c r="Y107" s="210"/>
      <c r="Z107" s="210"/>
    </row>
    <row r="108" spans="1:26">
      <c r="A108" s="33" t="s">
        <v>965</v>
      </c>
      <c r="B108" s="198">
        <f>COUNTA($B$1:B107)</f>
        <v>99</v>
      </c>
      <c r="C108" s="35" t="s">
        <v>220</v>
      </c>
      <c r="D108" s="35"/>
      <c r="E108" s="35"/>
      <c r="F108" s="34"/>
      <c r="G108" s="35" t="s">
        <v>966</v>
      </c>
      <c r="H108" s="35"/>
      <c r="I108" s="35" t="s">
        <v>55</v>
      </c>
      <c r="J108" s="35" t="s">
        <v>221</v>
      </c>
      <c r="K108" s="34">
        <v>0</v>
      </c>
      <c r="L108" s="35" t="s">
        <v>0</v>
      </c>
      <c r="M108" s="50" t="s">
        <v>222</v>
      </c>
      <c r="N108" s="35"/>
      <c r="O108" s="35"/>
      <c r="P108" s="35"/>
      <c r="Q108" s="35"/>
      <c r="R108" s="52"/>
      <c r="S108" s="35"/>
      <c r="T108" s="35"/>
      <c r="U108" s="35"/>
      <c r="V108" s="35"/>
      <c r="W108" s="35"/>
      <c r="X108" s="35"/>
      <c r="Y108" s="35"/>
      <c r="Z108" s="35"/>
    </row>
    <row r="109" spans="1:26">
      <c r="A109" s="33" t="s">
        <v>965</v>
      </c>
      <c r="B109" s="34">
        <f>COUNTA($B$1:B108)</f>
        <v>100</v>
      </c>
      <c r="C109" s="35" t="s">
        <v>103</v>
      </c>
      <c r="D109" s="35"/>
      <c r="E109" s="35"/>
      <c r="F109" s="34"/>
      <c r="G109" s="35" t="s">
        <v>966</v>
      </c>
      <c r="H109" s="35"/>
      <c r="I109" s="35" t="s">
        <v>55</v>
      </c>
      <c r="J109" s="35" t="s">
        <v>105</v>
      </c>
      <c r="K109" s="34">
        <v>0</v>
      </c>
      <c r="L109" s="35" t="s">
        <v>0</v>
      </c>
      <c r="M109" s="50" t="s">
        <v>223</v>
      </c>
      <c r="N109" s="35"/>
      <c r="O109" s="35"/>
      <c r="P109" s="35"/>
      <c r="Q109" s="35"/>
      <c r="R109" s="52"/>
      <c r="S109" s="35"/>
      <c r="T109" s="35"/>
      <c r="U109" s="35"/>
      <c r="V109" s="35"/>
      <c r="W109" s="35"/>
      <c r="X109" s="35"/>
      <c r="Y109" s="35"/>
      <c r="Z109" s="35"/>
    </row>
    <row r="110" spans="1:26" s="181" customFormat="1" outlineLevel="1">
      <c r="A110" s="33" t="s">
        <v>965</v>
      </c>
      <c r="B110" s="34">
        <f>COUNTA($B$1:B109)</f>
        <v>101</v>
      </c>
      <c r="C110" s="35" t="s">
        <v>228</v>
      </c>
      <c r="D110" s="35"/>
      <c r="E110" s="35"/>
      <c r="F110" s="34"/>
      <c r="G110" s="35" t="s">
        <v>966</v>
      </c>
      <c r="H110" s="35"/>
      <c r="I110" s="35" t="s">
        <v>55</v>
      </c>
      <c r="J110" s="35" t="s">
        <v>229</v>
      </c>
      <c r="K110" s="34">
        <v>0</v>
      </c>
      <c r="L110" s="35" t="s">
        <v>0</v>
      </c>
      <c r="M110" s="50" t="s">
        <v>230</v>
      </c>
      <c r="N110" s="35"/>
      <c r="O110" s="35"/>
      <c r="P110" s="35"/>
      <c r="Q110" s="35"/>
      <c r="R110" s="52"/>
      <c r="S110" s="35"/>
      <c r="T110" s="35"/>
      <c r="U110" s="35"/>
      <c r="V110" s="35"/>
      <c r="W110" s="35"/>
      <c r="X110" s="35"/>
      <c r="Y110" s="35"/>
      <c r="Z110" s="35"/>
    </row>
    <row r="111" spans="1:26">
      <c r="A111" s="33" t="s">
        <v>965</v>
      </c>
      <c r="B111" s="34">
        <f>COUNTA($B$1:B110)</f>
        <v>102</v>
      </c>
      <c r="C111" s="35" t="s">
        <v>89</v>
      </c>
      <c r="D111" s="35"/>
      <c r="E111" s="35"/>
      <c r="F111" s="34"/>
      <c r="G111" s="35" t="s">
        <v>966</v>
      </c>
      <c r="H111" s="35"/>
      <c r="I111" s="35" t="s">
        <v>55</v>
      </c>
      <c r="J111" s="35" t="s">
        <v>231</v>
      </c>
      <c r="K111" s="34">
        <v>0</v>
      </c>
      <c r="L111" s="35" t="s">
        <v>0</v>
      </c>
      <c r="M111" s="50" t="s">
        <v>104</v>
      </c>
      <c r="N111" s="35"/>
      <c r="O111" s="35"/>
      <c r="P111" s="35"/>
      <c r="Q111" s="35"/>
      <c r="R111" s="52"/>
      <c r="S111" s="35"/>
      <c r="T111" s="35"/>
      <c r="U111" s="35"/>
      <c r="V111" s="35"/>
      <c r="W111" s="35"/>
      <c r="X111" s="35"/>
      <c r="Y111" s="35"/>
      <c r="Z111" s="35"/>
    </row>
    <row r="112" spans="1:26" s="182" customFormat="1">
      <c r="A112" s="33" t="s">
        <v>965</v>
      </c>
      <c r="B112" s="34">
        <f>COUNTA($B$1:B111)</f>
        <v>103</v>
      </c>
      <c r="C112" s="35" t="s">
        <v>232</v>
      </c>
      <c r="D112" s="35"/>
      <c r="E112" s="35"/>
      <c r="F112" s="34"/>
      <c r="G112" s="35" t="s">
        <v>966</v>
      </c>
      <c r="H112" s="35"/>
      <c r="I112" s="35" t="s">
        <v>55</v>
      </c>
      <c r="J112" s="35" t="s">
        <v>233</v>
      </c>
      <c r="K112" s="34">
        <v>0</v>
      </c>
      <c r="L112" s="35" t="s">
        <v>0</v>
      </c>
      <c r="M112" s="50" t="s">
        <v>281</v>
      </c>
      <c r="N112" s="35"/>
      <c r="O112" s="35"/>
      <c r="P112" s="35"/>
      <c r="Q112" s="35"/>
      <c r="R112" s="52"/>
      <c r="S112" s="35"/>
      <c r="T112" s="35"/>
      <c r="U112" s="35"/>
      <c r="V112" s="35"/>
      <c r="W112" s="35"/>
      <c r="X112" s="35"/>
      <c r="Y112" s="35"/>
      <c r="Z112" s="35"/>
    </row>
    <row r="113" spans="1:26" s="180" customFormat="1">
      <c r="A113" s="33" t="s">
        <v>965</v>
      </c>
      <c r="B113" s="34">
        <f>COUNTA($B$1:B112)</f>
        <v>104</v>
      </c>
      <c r="C113" s="35" t="s">
        <v>235</v>
      </c>
      <c r="D113" s="35"/>
      <c r="E113" s="35"/>
      <c r="F113" s="34"/>
      <c r="G113" s="35" t="s">
        <v>966</v>
      </c>
      <c r="H113" s="35"/>
      <c r="I113" s="35" t="s">
        <v>55</v>
      </c>
      <c r="J113" s="35" t="s">
        <v>236</v>
      </c>
      <c r="K113" s="34">
        <v>0</v>
      </c>
      <c r="L113" s="35" t="s">
        <v>0</v>
      </c>
      <c r="M113" s="50" t="s">
        <v>282</v>
      </c>
      <c r="N113" s="35"/>
      <c r="O113" s="35"/>
      <c r="P113" s="35"/>
      <c r="Q113" s="35"/>
      <c r="R113" s="52"/>
      <c r="S113" s="35"/>
      <c r="T113" s="35"/>
      <c r="U113" s="35"/>
      <c r="V113" s="35"/>
      <c r="W113" s="35"/>
      <c r="X113" s="35"/>
      <c r="Y113" s="35"/>
      <c r="Z113" s="35"/>
    </row>
    <row r="114" spans="1:26">
      <c r="A114" s="33" t="s">
        <v>965</v>
      </c>
      <c r="B114" s="34">
        <f>COUNTA($B$1:B113)</f>
        <v>105</v>
      </c>
      <c r="C114" s="35" t="s">
        <v>238</v>
      </c>
      <c r="D114" s="35"/>
      <c r="E114" s="35"/>
      <c r="F114" s="34"/>
      <c r="G114" s="35" t="s">
        <v>966</v>
      </c>
      <c r="H114" s="35"/>
      <c r="I114" s="35" t="s">
        <v>55</v>
      </c>
      <c r="J114" s="35" t="s">
        <v>90</v>
      </c>
      <c r="K114" s="34">
        <v>0</v>
      </c>
      <c r="L114" s="35" t="s">
        <v>0</v>
      </c>
      <c r="M114" s="50" t="s">
        <v>283</v>
      </c>
      <c r="N114" s="35"/>
      <c r="O114" s="35"/>
      <c r="P114" s="35"/>
      <c r="Q114" s="35"/>
      <c r="R114" s="52"/>
      <c r="S114" s="35"/>
      <c r="T114" s="35"/>
      <c r="U114" s="35"/>
      <c r="V114" s="35"/>
      <c r="W114" s="35"/>
      <c r="X114" s="35"/>
      <c r="Y114" s="35"/>
      <c r="Z114" s="35"/>
    </row>
    <row r="115" spans="1:26">
      <c r="A115" s="33" t="s">
        <v>965</v>
      </c>
      <c r="B115" s="34">
        <f>COUNTA($B$1:B114)</f>
        <v>106</v>
      </c>
      <c r="C115" s="35" t="s">
        <v>190</v>
      </c>
      <c r="D115" s="35"/>
      <c r="E115" s="35"/>
      <c r="F115" s="34"/>
      <c r="G115" s="35" t="s">
        <v>966</v>
      </c>
      <c r="H115" s="35"/>
      <c r="I115" s="35" t="s">
        <v>55</v>
      </c>
      <c r="J115" s="35" t="s">
        <v>87</v>
      </c>
      <c r="K115" s="34">
        <v>0</v>
      </c>
      <c r="L115" s="35" t="s">
        <v>147</v>
      </c>
      <c r="M115" s="36"/>
      <c r="N115" s="35"/>
      <c r="O115" s="35"/>
      <c r="P115" s="35"/>
      <c r="Q115" s="35"/>
      <c r="R115" s="35"/>
      <c r="S115" s="35"/>
      <c r="T115" s="35"/>
      <c r="U115" s="35"/>
      <c r="V115" s="35"/>
      <c r="W115" s="35"/>
      <c r="X115" s="35"/>
      <c r="Y115" s="35"/>
      <c r="Z115" s="35"/>
    </row>
    <row r="116" spans="1:26">
      <c r="A116" s="33" t="s">
        <v>965</v>
      </c>
      <c r="B116" s="34">
        <f>COUNTA($B$1:B115)</f>
        <v>107</v>
      </c>
      <c r="C116" s="35" t="s">
        <v>67</v>
      </c>
      <c r="D116" s="35"/>
      <c r="E116" s="35"/>
      <c r="F116" s="34"/>
      <c r="G116" s="35" t="s">
        <v>966</v>
      </c>
      <c r="H116" s="35"/>
      <c r="I116" s="35"/>
      <c r="J116" s="35"/>
      <c r="K116" s="34"/>
      <c r="L116" s="35" t="s">
        <v>67</v>
      </c>
      <c r="M116" s="36">
        <v>2</v>
      </c>
      <c r="N116" s="35"/>
      <c r="O116" s="35"/>
      <c r="P116" s="35"/>
      <c r="Q116" s="35"/>
      <c r="R116" s="35"/>
      <c r="S116" s="35"/>
      <c r="T116" s="35"/>
      <c r="U116" s="35"/>
      <c r="V116" s="35"/>
      <c r="W116" s="35"/>
      <c r="X116" s="35"/>
      <c r="Y116" s="35"/>
      <c r="Z116" s="35"/>
    </row>
    <row r="117" spans="1:26">
      <c r="A117" s="30" t="s">
        <v>91</v>
      </c>
      <c r="B117" s="190"/>
      <c r="C117" s="31"/>
      <c r="D117" s="32"/>
      <c r="E117" s="32"/>
      <c r="F117" s="31"/>
      <c r="G117" s="32"/>
      <c r="H117" s="32"/>
      <c r="I117" s="32"/>
      <c r="J117" s="32"/>
      <c r="K117" s="31"/>
      <c r="L117" s="32"/>
      <c r="M117" s="32"/>
      <c r="N117" s="32"/>
      <c r="O117" s="32"/>
      <c r="P117" s="32"/>
      <c r="Q117" s="32"/>
      <c r="R117" s="32"/>
      <c r="S117" s="32"/>
      <c r="T117" s="32"/>
      <c r="U117" s="32"/>
      <c r="V117" s="32"/>
      <c r="W117" s="32"/>
      <c r="X117" s="32"/>
      <c r="Y117" s="32"/>
      <c r="Z117" s="32"/>
    </row>
    <row r="118" spans="1:26" s="213" customFormat="1">
      <c r="A118" s="208" t="s">
        <v>965</v>
      </c>
      <c r="B118" s="209">
        <f>COUNTA($B$1:B117)</f>
        <v>108</v>
      </c>
      <c r="C118" s="210" t="s">
        <v>295</v>
      </c>
      <c r="D118" s="215"/>
      <c r="E118" s="212"/>
      <c r="F118" s="209"/>
      <c r="G118" s="210" t="s">
        <v>966</v>
      </c>
      <c r="H118" s="210"/>
      <c r="I118" s="210" t="s">
        <v>55</v>
      </c>
      <c r="J118" s="210" t="s">
        <v>296</v>
      </c>
      <c r="K118" s="209">
        <v>0</v>
      </c>
      <c r="L118" s="210" t="s">
        <v>98</v>
      </c>
      <c r="M118" s="214"/>
      <c r="N118" s="210" t="s">
        <v>99</v>
      </c>
      <c r="O118" s="210"/>
      <c r="P118" s="210"/>
      <c r="Q118" s="210"/>
      <c r="R118" s="210" t="str">
        <f>TEXT(S102,"")</f>
        <v/>
      </c>
      <c r="S118" s="210"/>
      <c r="T118" s="210" t="s">
        <v>2</v>
      </c>
      <c r="U118" s="210"/>
      <c r="V118" s="210"/>
      <c r="W118" s="210"/>
      <c r="X118" s="210"/>
      <c r="Y118" s="210"/>
      <c r="Z118" s="210"/>
    </row>
    <row r="119" spans="1:26" s="213" customFormat="1">
      <c r="A119" s="208" t="str">
        <f>IF(OR(Global!B2="PROD",Global!B2="UAT"),"N","bln696157")</f>
        <v>N</v>
      </c>
      <c r="B119" s="209">
        <f>COUNTA($B$1:B118)</f>
        <v>109</v>
      </c>
      <c r="C119" s="210" t="s">
        <v>954</v>
      </c>
      <c r="D119" s="215"/>
      <c r="E119" s="212"/>
      <c r="F119" s="209"/>
      <c r="G119" s="210" t="s">
        <v>966</v>
      </c>
      <c r="H119" s="210"/>
      <c r="I119" s="210" t="s">
        <v>55</v>
      </c>
      <c r="J119" s="210" t="s">
        <v>298</v>
      </c>
      <c r="K119" s="209">
        <v>2</v>
      </c>
      <c r="L119" s="210" t="s">
        <v>98</v>
      </c>
      <c r="M119" s="214"/>
      <c r="N119" s="210" t="s">
        <v>99</v>
      </c>
      <c r="O119" s="210"/>
      <c r="P119" s="210"/>
      <c r="Q119" s="210"/>
      <c r="R119" s="210" t="str">
        <f>TEXT(S103,"mm/dd/yyyy")</f>
        <v>01/00/1900</v>
      </c>
      <c r="S119" s="210"/>
      <c r="T119" s="210" t="s">
        <v>2</v>
      </c>
      <c r="U119" s="210"/>
      <c r="V119" s="210"/>
      <c r="W119" s="210"/>
      <c r="X119" s="210"/>
      <c r="Y119" s="210"/>
      <c r="Z119" s="210"/>
    </row>
    <row r="120" spans="1:26" s="213" customFormat="1">
      <c r="A120" s="208" t="str">
        <f>IF(OR(Global!B2="PROD",Global!B2="UAT"),"N","bln696157")</f>
        <v>N</v>
      </c>
      <c r="B120" s="209">
        <f>COUNTA($B$1:B119)</f>
        <v>110</v>
      </c>
      <c r="C120" s="210" t="s">
        <v>955</v>
      </c>
      <c r="D120" s="215"/>
      <c r="E120" s="212"/>
      <c r="F120" s="209"/>
      <c r="G120" s="210" t="s">
        <v>966</v>
      </c>
      <c r="H120" s="210"/>
      <c r="I120" s="210" t="s">
        <v>55</v>
      </c>
      <c r="J120" s="210" t="s">
        <v>300</v>
      </c>
      <c r="K120" s="209">
        <v>2</v>
      </c>
      <c r="L120" s="210" t="s">
        <v>98</v>
      </c>
      <c r="M120" s="214"/>
      <c r="N120" s="210" t="s">
        <v>99</v>
      </c>
      <c r="O120" s="210"/>
      <c r="P120" s="210"/>
      <c r="Q120" s="210"/>
      <c r="R120" s="210" t="str">
        <f>TEXT(S104,"mm/dd/yyyy")</f>
        <v>01/00/1900</v>
      </c>
      <c r="S120" s="210"/>
      <c r="T120" s="210" t="s">
        <v>2</v>
      </c>
      <c r="U120" s="210"/>
      <c r="V120" s="210"/>
      <c r="W120" s="210"/>
      <c r="X120" s="210"/>
      <c r="Y120" s="210"/>
      <c r="Z120" s="210"/>
    </row>
    <row r="121" spans="1:26" s="213" customFormat="1">
      <c r="A121" s="208" t="str">
        <f>IF(OR(Global!B2="QA"),"N","bln696157")</f>
        <v>bln696157</v>
      </c>
      <c r="B121" s="209">
        <f>COUNTA($B$1:B120)</f>
        <v>111</v>
      </c>
      <c r="C121" s="210" t="s">
        <v>956</v>
      </c>
      <c r="D121" s="215"/>
      <c r="E121" s="212"/>
      <c r="F121" s="209"/>
      <c r="G121" s="210" t="s">
        <v>966</v>
      </c>
      <c r="H121" s="210"/>
      <c r="I121" s="210" t="s">
        <v>55</v>
      </c>
      <c r="J121" s="210" t="s">
        <v>298</v>
      </c>
      <c r="K121" s="209">
        <v>1</v>
      </c>
      <c r="L121" s="210" t="s">
        <v>98</v>
      </c>
      <c r="M121" s="214"/>
      <c r="N121" s="210" t="s">
        <v>99</v>
      </c>
      <c r="O121" s="210"/>
      <c r="P121" s="210"/>
      <c r="Q121" s="210"/>
      <c r="R121" s="210" t="str">
        <f>TEXT(S103,"mm/dd/yyyy")</f>
        <v>01/00/1900</v>
      </c>
      <c r="S121" s="210"/>
      <c r="T121" s="210" t="s">
        <v>2</v>
      </c>
      <c r="U121" s="210"/>
      <c r="V121" s="210"/>
      <c r="W121" s="210"/>
      <c r="X121" s="210"/>
      <c r="Y121" s="210"/>
      <c r="Z121" s="210"/>
    </row>
    <row r="122" spans="1:26" s="213" customFormat="1">
      <c r="A122" s="208" t="str">
        <f>IF(OR(Global!B2="QA"),"N","bln696157")</f>
        <v>bln696157</v>
      </c>
      <c r="B122" s="209">
        <f>COUNTA($B$1:B121)</f>
        <v>112</v>
      </c>
      <c r="C122" s="210" t="s">
        <v>957</v>
      </c>
      <c r="D122" s="215"/>
      <c r="E122" s="212"/>
      <c r="F122" s="209"/>
      <c r="G122" s="210" t="s">
        <v>966</v>
      </c>
      <c r="H122" s="210"/>
      <c r="I122" s="210" t="s">
        <v>55</v>
      </c>
      <c r="J122" s="210" t="s">
        <v>300</v>
      </c>
      <c r="K122" s="209">
        <v>1</v>
      </c>
      <c r="L122" s="210" t="s">
        <v>98</v>
      </c>
      <c r="M122" s="214"/>
      <c r="N122" s="210" t="s">
        <v>99</v>
      </c>
      <c r="O122" s="210"/>
      <c r="P122" s="210"/>
      <c r="Q122" s="210"/>
      <c r="R122" s="210" t="str">
        <f>TEXT(S104,"mm/dd/yyyy")</f>
        <v>01/00/1900</v>
      </c>
      <c r="S122" s="210"/>
      <c r="T122" s="210" t="s">
        <v>2</v>
      </c>
      <c r="U122" s="210"/>
      <c r="V122" s="210"/>
      <c r="W122" s="210"/>
      <c r="X122" s="210"/>
      <c r="Y122" s="210"/>
      <c r="Z122" s="210"/>
    </row>
    <row r="123" spans="1:26" s="213" customFormat="1">
      <c r="A123" s="208" t="str">
        <f>IF(OR(Global!B2="PROD",Global!B2="UAT"),"N","bln696157")</f>
        <v>N</v>
      </c>
      <c r="B123" s="209">
        <f>COUNTA($B$1:B122)</f>
        <v>113</v>
      </c>
      <c r="C123" s="210" t="s">
        <v>958</v>
      </c>
      <c r="D123" s="211"/>
      <c r="E123" s="212" t="s">
        <v>154</v>
      </c>
      <c r="F123" s="209"/>
      <c r="G123" s="210" t="s">
        <v>966</v>
      </c>
      <c r="H123" s="210"/>
      <c r="I123" s="210" t="s">
        <v>55</v>
      </c>
      <c r="J123" s="210" t="s">
        <v>107</v>
      </c>
      <c r="K123" s="209">
        <v>2</v>
      </c>
      <c r="L123" s="210" t="s">
        <v>98</v>
      </c>
      <c r="M123" s="214"/>
      <c r="N123" s="210" t="s">
        <v>99</v>
      </c>
      <c r="O123" s="210"/>
      <c r="P123" s="210"/>
      <c r="Q123" s="210"/>
      <c r="R123" s="214" t="s">
        <v>873</v>
      </c>
      <c r="S123" s="212"/>
      <c r="T123" s="210" t="s">
        <v>2</v>
      </c>
      <c r="U123" s="210"/>
      <c r="V123" s="210"/>
      <c r="W123" s="210"/>
      <c r="X123" s="210"/>
      <c r="Y123" s="210"/>
      <c r="Z123" s="210"/>
    </row>
    <row r="124" spans="1:26" s="213" customFormat="1">
      <c r="A124" s="208" t="str">
        <f>IF(OR(Global!B2="QA"),"N","bln696157")</f>
        <v>bln696157</v>
      </c>
      <c r="B124" s="209">
        <f>COUNTA($B$1:B123)</f>
        <v>114</v>
      </c>
      <c r="C124" s="210" t="s">
        <v>959</v>
      </c>
      <c r="D124" s="211"/>
      <c r="E124" s="212" t="s">
        <v>154</v>
      </c>
      <c r="F124" s="209"/>
      <c r="G124" s="210" t="s">
        <v>966</v>
      </c>
      <c r="H124" s="210"/>
      <c r="I124" s="210" t="s">
        <v>55</v>
      </c>
      <c r="J124" s="210" t="s">
        <v>107</v>
      </c>
      <c r="K124" s="209">
        <v>1</v>
      </c>
      <c r="L124" s="210" t="s">
        <v>98</v>
      </c>
      <c r="M124" s="214"/>
      <c r="N124" s="210" t="s">
        <v>99</v>
      </c>
      <c r="O124" s="210"/>
      <c r="P124" s="210"/>
      <c r="Q124" s="210"/>
      <c r="R124" s="214" t="s">
        <v>873</v>
      </c>
      <c r="S124" s="212"/>
      <c r="T124" s="210" t="s">
        <v>2</v>
      </c>
      <c r="U124" s="210"/>
      <c r="V124" s="210"/>
      <c r="W124" s="210"/>
      <c r="X124" s="210"/>
      <c r="Y124" s="210"/>
      <c r="Z124" s="210"/>
    </row>
    <row r="125" spans="1:26" s="213" customFormat="1">
      <c r="A125" s="208" t="s">
        <v>965</v>
      </c>
      <c r="B125" s="209">
        <f>COUNTA($B$1:B124)</f>
        <v>115</v>
      </c>
      <c r="C125" s="210" t="s">
        <v>310</v>
      </c>
      <c r="D125" s="211"/>
      <c r="E125" s="212"/>
      <c r="F125" s="209"/>
      <c r="G125" s="210" t="s">
        <v>966</v>
      </c>
      <c r="H125" s="210"/>
      <c r="I125" s="210" t="s">
        <v>55</v>
      </c>
      <c r="J125" s="210" t="s">
        <v>311</v>
      </c>
      <c r="K125" s="209">
        <v>0</v>
      </c>
      <c r="L125" s="210" t="s">
        <v>98</v>
      </c>
      <c r="M125" s="214"/>
      <c r="N125" s="210" t="s">
        <v>99</v>
      </c>
      <c r="O125" s="210"/>
      <c r="P125" s="210"/>
      <c r="Q125" s="210"/>
      <c r="R125" s="214">
        <f>S107</f>
        <v>0</v>
      </c>
      <c r="S125" s="210"/>
      <c r="T125" s="210"/>
      <c r="U125" s="210"/>
      <c r="V125" s="210"/>
      <c r="W125" s="210"/>
      <c r="X125" s="210"/>
      <c r="Y125" s="210"/>
      <c r="Z125" s="210"/>
    </row>
    <row r="126" spans="1:26">
      <c r="A126" s="33" t="s">
        <v>965</v>
      </c>
      <c r="B126" s="198">
        <f>COUNTA($B$1:B125)</f>
        <v>116</v>
      </c>
      <c r="C126" s="35" t="s">
        <v>93</v>
      </c>
      <c r="D126" s="35"/>
      <c r="E126" s="35"/>
      <c r="F126" s="34"/>
      <c r="G126" s="35" t="s">
        <v>966</v>
      </c>
      <c r="H126" s="35"/>
      <c r="I126" s="35" t="s">
        <v>55</v>
      </c>
      <c r="J126" s="35" t="s">
        <v>92</v>
      </c>
      <c r="K126" s="34">
        <v>0</v>
      </c>
      <c r="L126" s="35" t="s">
        <v>0</v>
      </c>
      <c r="M126" s="50" t="s">
        <v>261</v>
      </c>
      <c r="N126" s="35"/>
      <c r="O126" s="35"/>
      <c r="P126" s="35"/>
      <c r="Q126" s="35"/>
      <c r="R126" s="52"/>
      <c r="S126" s="35"/>
      <c r="T126" s="35"/>
      <c r="U126" s="35"/>
      <c r="V126" s="35"/>
      <c r="W126" s="35"/>
      <c r="X126" s="35"/>
      <c r="Y126" s="35"/>
      <c r="Z126" s="35"/>
    </row>
    <row r="127" spans="1:26">
      <c r="A127" s="33" t="s">
        <v>965</v>
      </c>
      <c r="B127" s="34">
        <f>COUNTA($B$1:B126)</f>
        <v>117</v>
      </c>
      <c r="C127" s="35" t="s">
        <v>262</v>
      </c>
      <c r="D127" s="35"/>
      <c r="E127" s="35"/>
      <c r="F127" s="34"/>
      <c r="G127" s="35" t="s">
        <v>966</v>
      </c>
      <c r="H127" s="35"/>
      <c r="I127" s="35"/>
      <c r="J127" s="35"/>
      <c r="K127" s="34">
        <v>0</v>
      </c>
      <c r="L127" s="35" t="s">
        <v>95</v>
      </c>
      <c r="M127" s="35"/>
      <c r="N127" s="35"/>
      <c r="O127" s="35"/>
      <c r="P127" s="35"/>
      <c r="Q127" s="35"/>
      <c r="R127" s="52"/>
      <c r="S127" s="35"/>
      <c r="T127" s="35"/>
      <c r="U127" s="35"/>
      <c r="V127" s="35"/>
      <c r="W127" s="35"/>
      <c r="X127" s="35"/>
      <c r="Y127" s="35"/>
      <c r="Z127" s="35"/>
    </row>
    <row r="128" spans="1:26">
      <c r="A128" s="33" t="s">
        <v>965</v>
      </c>
      <c r="B128" s="34">
        <f>COUNTA($B$1:B127)</f>
        <v>118</v>
      </c>
      <c r="C128" s="35" t="s">
        <v>94</v>
      </c>
      <c r="D128" s="35"/>
      <c r="E128" s="35"/>
      <c r="F128" s="34"/>
      <c r="G128" s="35" t="s">
        <v>966</v>
      </c>
      <c r="H128" s="35"/>
      <c r="I128" s="35" t="s">
        <v>55</v>
      </c>
      <c r="J128" s="35" t="s">
        <v>263</v>
      </c>
      <c r="K128" s="34">
        <v>0</v>
      </c>
      <c r="L128" s="35" t="s">
        <v>0</v>
      </c>
      <c r="M128" s="50" t="s">
        <v>264</v>
      </c>
      <c r="N128" s="35"/>
      <c r="O128" s="35"/>
      <c r="P128" s="35"/>
      <c r="Q128" s="35"/>
      <c r="R128" s="52"/>
      <c r="S128" s="35"/>
      <c r="T128" s="35"/>
      <c r="U128" s="35"/>
      <c r="V128" s="35"/>
      <c r="W128" s="35"/>
      <c r="X128" s="35"/>
      <c r="Y128" s="35"/>
      <c r="Z128" s="35"/>
    </row>
    <row r="129" spans="1:26">
      <c r="A129" s="33" t="s">
        <v>965</v>
      </c>
      <c r="B129" s="34">
        <f>COUNTA($B$1:B128)</f>
        <v>119</v>
      </c>
      <c r="C129" s="35" t="s">
        <v>262</v>
      </c>
      <c r="D129" s="35"/>
      <c r="E129" s="35"/>
      <c r="F129" s="34"/>
      <c r="G129" s="35" t="s">
        <v>966</v>
      </c>
      <c r="H129" s="35"/>
      <c r="I129" s="35"/>
      <c r="J129" s="35"/>
      <c r="K129" s="34">
        <v>0</v>
      </c>
      <c r="L129" s="35" t="s">
        <v>96</v>
      </c>
      <c r="M129" s="35"/>
      <c r="N129" s="35"/>
      <c r="O129" s="35"/>
      <c r="P129" s="35"/>
      <c r="Q129" s="35"/>
      <c r="R129" s="52"/>
      <c r="S129" s="35"/>
      <c r="T129" s="35"/>
      <c r="U129" s="35"/>
      <c r="V129" s="35"/>
      <c r="W129" s="35"/>
      <c r="X129" s="35"/>
      <c r="Y129" s="35"/>
      <c r="Z129" s="35"/>
    </row>
    <row r="130" spans="1:26">
      <c r="A130" s="33" t="s">
        <v>965</v>
      </c>
      <c r="B130" s="34">
        <f>COUNTA($B$1:B129)</f>
        <v>120</v>
      </c>
      <c r="C130" s="35" t="s">
        <v>262</v>
      </c>
      <c r="D130" s="35"/>
      <c r="E130" s="35"/>
      <c r="F130" s="34"/>
      <c r="G130" s="35" t="s">
        <v>966</v>
      </c>
      <c r="H130" s="35"/>
      <c r="I130" s="35"/>
      <c r="J130" s="35"/>
      <c r="K130" s="34">
        <v>0</v>
      </c>
      <c r="L130" s="35" t="s">
        <v>95</v>
      </c>
      <c r="M130" s="35"/>
      <c r="N130" s="35"/>
      <c r="O130" s="35"/>
      <c r="P130" s="35"/>
      <c r="Q130" s="35"/>
      <c r="R130" s="52"/>
      <c r="S130" s="35"/>
      <c r="T130" s="35"/>
      <c r="U130" s="35"/>
      <c r="V130" s="35"/>
      <c r="W130" s="35"/>
      <c r="X130" s="35"/>
      <c r="Y130" s="35"/>
      <c r="Z130" s="35"/>
    </row>
    <row r="131" spans="1:26">
      <c r="A131" s="217" t="s">
        <v>21</v>
      </c>
      <c r="B131" s="218">
        <f>COUNTA($B$1:B130)</f>
        <v>121</v>
      </c>
      <c r="C131" s="219" t="s">
        <v>226</v>
      </c>
      <c r="D131" s="51"/>
      <c r="E131" s="52"/>
      <c r="F131" s="34"/>
      <c r="G131" s="35" t="s">
        <v>966</v>
      </c>
      <c r="H131" s="35"/>
      <c r="I131" s="35"/>
      <c r="J131" s="35"/>
      <c r="K131" s="34"/>
      <c r="L131" s="35" t="s">
        <v>227</v>
      </c>
      <c r="M131" s="36" t="s">
        <v>79</v>
      </c>
      <c r="N131" s="35"/>
      <c r="O131" s="35"/>
      <c r="P131" s="35"/>
      <c r="Q131" s="35"/>
      <c r="R131" s="35"/>
      <c r="S131" s="35"/>
      <c r="T131" s="35"/>
      <c r="U131" s="35"/>
      <c r="V131" s="35"/>
      <c r="W131" s="35"/>
      <c r="X131" s="35"/>
      <c r="Y131" s="35"/>
      <c r="Z131" s="35"/>
    </row>
    <row r="132" spans="1:26">
      <c r="A132" s="217" t="s">
        <v>21</v>
      </c>
      <c r="B132" s="218">
        <f>COUNTA($B$1:B131)</f>
        <v>122</v>
      </c>
      <c r="C132" s="219" t="s">
        <v>265</v>
      </c>
      <c r="D132" s="35"/>
      <c r="E132" s="35"/>
      <c r="F132" s="34"/>
      <c r="G132" s="35" t="s">
        <v>966</v>
      </c>
      <c r="H132" s="35"/>
      <c r="I132" s="35"/>
      <c r="J132" s="35"/>
      <c r="K132" s="34"/>
      <c r="L132" s="35" t="s">
        <v>227</v>
      </c>
      <c r="M132" s="50" t="s">
        <v>266</v>
      </c>
      <c r="N132" s="35"/>
      <c r="O132" s="35"/>
      <c r="P132" s="35"/>
      <c r="Q132" s="35"/>
      <c r="R132" s="52"/>
      <c r="S132" s="35"/>
      <c r="T132" s="35"/>
      <c r="U132" s="35"/>
      <c r="V132" s="35"/>
      <c r="W132" s="35"/>
      <c r="X132" s="35"/>
      <c r="Y132" s="35"/>
      <c r="Z132" s="35"/>
    </row>
    <row r="133" spans="1:26">
      <c r="A133" s="217" t="s">
        <v>21</v>
      </c>
      <c r="B133" s="218">
        <f>COUNTA($B$1:B132)</f>
        <v>123</v>
      </c>
      <c r="C133" s="219" t="s">
        <v>267</v>
      </c>
      <c r="D133" s="35"/>
      <c r="E133" s="35"/>
      <c r="F133" s="34"/>
      <c r="G133" s="35" t="s">
        <v>966</v>
      </c>
      <c r="H133" s="35"/>
      <c r="I133" s="35"/>
      <c r="J133" s="35"/>
      <c r="K133" s="34"/>
      <c r="L133" s="35" t="s">
        <v>227</v>
      </c>
      <c r="M133" s="50" t="s">
        <v>268</v>
      </c>
      <c r="N133" s="35"/>
      <c r="O133" s="35"/>
      <c r="P133" s="35"/>
      <c r="Q133" s="35"/>
      <c r="R133" s="52"/>
      <c r="S133" s="35"/>
      <c r="T133" s="35"/>
      <c r="U133" s="35"/>
      <c r="V133" s="35"/>
      <c r="W133" s="35"/>
      <c r="X133" s="35"/>
      <c r="Y133" s="35"/>
      <c r="Z133" s="35"/>
    </row>
    <row r="134" spans="1:26" s="19" customFormat="1" outlineLevel="1">
      <c r="A134" s="33" t="s">
        <v>965</v>
      </c>
      <c r="B134" s="34">
        <f>COUNTA($B$1:B133)</f>
        <v>124</v>
      </c>
      <c r="C134" s="35" t="s">
        <v>948</v>
      </c>
      <c r="D134" s="35"/>
      <c r="E134" s="35"/>
      <c r="F134" s="34"/>
      <c r="G134" s="35" t="s">
        <v>966</v>
      </c>
      <c r="H134" s="35"/>
      <c r="I134" s="35" t="s">
        <v>55</v>
      </c>
      <c r="J134" s="35" t="s">
        <v>949</v>
      </c>
      <c r="K134" s="34">
        <v>0</v>
      </c>
      <c r="L134" s="35" t="s">
        <v>34</v>
      </c>
      <c r="M134" s="35"/>
      <c r="N134" s="35"/>
      <c r="O134" s="35"/>
      <c r="P134" s="35"/>
      <c r="Q134" s="35"/>
      <c r="R134" s="35"/>
      <c r="S134" s="35"/>
      <c r="T134" s="35"/>
      <c r="U134" s="35"/>
      <c r="V134" s="35"/>
      <c r="W134" s="35"/>
      <c r="X134" s="35"/>
      <c r="Y134" s="35"/>
      <c r="Z134" s="35"/>
    </row>
    <row r="135" spans="1:26" s="19" customFormat="1" outlineLevel="1">
      <c r="A135" s="33" t="s">
        <v>965</v>
      </c>
      <c r="B135" s="34">
        <f>COUNTA($B$1:B134)</f>
        <v>125</v>
      </c>
      <c r="C135" s="35" t="s">
        <v>67</v>
      </c>
      <c r="D135" s="35"/>
      <c r="E135" s="35"/>
      <c r="F135" s="34"/>
      <c r="G135" s="35" t="s">
        <v>966</v>
      </c>
      <c r="H135" s="35"/>
      <c r="I135" s="35"/>
      <c r="J135" s="35"/>
      <c r="K135" s="34"/>
      <c r="L135" s="35" t="s">
        <v>67</v>
      </c>
      <c r="M135" s="36">
        <v>2</v>
      </c>
      <c r="N135" s="35"/>
      <c r="O135" s="35"/>
      <c r="P135" s="35"/>
      <c r="Q135" s="35"/>
      <c r="R135" s="35"/>
      <c r="S135" s="35"/>
      <c r="T135" s="35"/>
      <c r="U135" s="35"/>
      <c r="V135" s="35"/>
      <c r="W135" s="35"/>
      <c r="X135" s="35"/>
      <c r="Y135" s="35"/>
      <c r="Z135" s="35"/>
    </row>
    <row r="136" spans="1:26" s="19" customFormat="1" outlineLevel="1">
      <c r="A136" s="33" t="s">
        <v>965</v>
      </c>
      <c r="B136" s="34">
        <f>COUNTA($B$1:B135)</f>
        <v>126</v>
      </c>
      <c r="C136" s="35" t="s">
        <v>952</v>
      </c>
      <c r="D136" s="35"/>
      <c r="E136" s="35"/>
      <c r="F136" s="34"/>
      <c r="G136" s="35" t="s">
        <v>966</v>
      </c>
      <c r="H136" s="35"/>
      <c r="I136" s="35" t="s">
        <v>55</v>
      </c>
      <c r="J136" s="35" t="s">
        <v>949</v>
      </c>
      <c r="K136" s="34">
        <v>0</v>
      </c>
      <c r="L136" s="35" t="s">
        <v>951</v>
      </c>
      <c r="M136" s="50" t="s">
        <v>266</v>
      </c>
      <c r="N136" s="35"/>
      <c r="O136" s="35"/>
      <c r="P136" s="35"/>
      <c r="Q136" s="35"/>
      <c r="R136" s="35"/>
      <c r="S136" s="35"/>
      <c r="T136" s="35"/>
      <c r="U136" s="35"/>
      <c r="V136" s="35"/>
      <c r="W136" s="35"/>
      <c r="X136" s="35"/>
      <c r="Y136" s="35"/>
      <c r="Z136" s="35"/>
    </row>
    <row r="137" spans="1:26" s="19" customFormat="1" outlineLevel="1">
      <c r="A137" s="33" t="s">
        <v>965</v>
      </c>
      <c r="B137" s="34">
        <f>COUNTA($B$1:B136)</f>
        <v>127</v>
      </c>
      <c r="C137" s="35" t="s">
        <v>953</v>
      </c>
      <c r="D137" s="35"/>
      <c r="E137" s="35"/>
      <c r="F137" s="34"/>
      <c r="G137" s="35" t="s">
        <v>966</v>
      </c>
      <c r="H137" s="35"/>
      <c r="I137" s="35" t="s">
        <v>55</v>
      </c>
      <c r="J137" s="35" t="s">
        <v>949</v>
      </c>
      <c r="K137" s="34">
        <v>0</v>
      </c>
      <c r="L137" s="35" t="s">
        <v>951</v>
      </c>
      <c r="M137" s="50" t="s">
        <v>268</v>
      </c>
      <c r="N137" s="35"/>
      <c r="O137" s="35"/>
      <c r="P137" s="35"/>
      <c r="Q137" s="35"/>
      <c r="R137" s="35"/>
      <c r="S137" s="35"/>
      <c r="T137" s="35"/>
      <c r="U137" s="35"/>
      <c r="V137" s="35"/>
      <c r="W137" s="35"/>
      <c r="X137" s="35"/>
      <c r="Y137" s="35"/>
      <c r="Z137" s="35"/>
    </row>
    <row r="138" spans="1:26" s="19" customFormat="1" outlineLevel="1">
      <c r="A138" s="33" t="s">
        <v>965</v>
      </c>
      <c r="B138" s="34">
        <f>COUNTA($B$1:B137)</f>
        <v>128</v>
      </c>
      <c r="C138" s="35" t="s">
        <v>67</v>
      </c>
      <c r="D138" s="35"/>
      <c r="E138" s="35"/>
      <c r="F138" s="34"/>
      <c r="G138" s="35" t="s">
        <v>966</v>
      </c>
      <c r="H138" s="35"/>
      <c r="I138" s="35"/>
      <c r="J138" s="35"/>
      <c r="K138" s="34"/>
      <c r="L138" s="35" t="s">
        <v>67</v>
      </c>
      <c r="M138" s="36">
        <v>2</v>
      </c>
      <c r="N138" s="35"/>
      <c r="O138" s="35"/>
      <c r="P138" s="35"/>
      <c r="Q138" s="35"/>
      <c r="R138" s="35"/>
      <c r="S138" s="35"/>
      <c r="T138" s="35"/>
      <c r="U138" s="35"/>
      <c r="V138" s="35"/>
      <c r="W138" s="35"/>
      <c r="X138" s="35"/>
      <c r="Y138" s="35"/>
      <c r="Z138" s="35"/>
    </row>
    <row r="139" spans="1:26">
      <c r="A139" s="33" t="s">
        <v>965</v>
      </c>
      <c r="B139" s="34">
        <f>COUNTA($B$1:B138)</f>
        <v>129</v>
      </c>
      <c r="C139" s="35" t="s">
        <v>262</v>
      </c>
      <c r="D139" s="35"/>
      <c r="E139" s="35"/>
      <c r="F139" s="34"/>
      <c r="G139" s="35" t="s">
        <v>966</v>
      </c>
      <c r="H139" s="35"/>
      <c r="I139" s="35"/>
      <c r="J139" s="35"/>
      <c r="K139" s="34">
        <v>0</v>
      </c>
      <c r="L139" s="35" t="s">
        <v>96</v>
      </c>
      <c r="M139" s="35"/>
      <c r="N139" s="35"/>
      <c r="O139" s="35"/>
      <c r="P139" s="35"/>
      <c r="Q139" s="35"/>
      <c r="R139" s="52"/>
      <c r="S139" s="35"/>
      <c r="T139" s="35"/>
      <c r="U139" s="35"/>
      <c r="V139" s="35"/>
      <c r="W139" s="35"/>
      <c r="X139" s="35"/>
      <c r="Y139" s="35"/>
      <c r="Z139" s="35"/>
    </row>
    <row r="140" spans="1:26">
      <c r="A140" s="33" t="s">
        <v>965</v>
      </c>
      <c r="B140" s="34">
        <f>COUNTA($B$1:B139)</f>
        <v>130</v>
      </c>
      <c r="C140" s="35" t="s">
        <v>67</v>
      </c>
      <c r="D140" s="35"/>
      <c r="E140" s="35"/>
      <c r="F140" s="34"/>
      <c r="G140" s="35" t="s">
        <v>966</v>
      </c>
      <c r="H140" s="35"/>
      <c r="I140" s="35"/>
      <c r="J140" s="35"/>
      <c r="K140" s="34"/>
      <c r="L140" s="35" t="s">
        <v>67</v>
      </c>
      <c r="M140" s="36">
        <v>2</v>
      </c>
      <c r="N140" s="35"/>
      <c r="O140" s="35"/>
      <c r="P140" s="35"/>
      <c r="Q140" s="35"/>
      <c r="R140" s="36"/>
      <c r="S140" s="35"/>
      <c r="T140" s="35"/>
      <c r="U140" s="35"/>
      <c r="V140" s="35"/>
      <c r="W140" s="35"/>
      <c r="X140" s="35"/>
      <c r="Y140" s="35"/>
      <c r="Z140" s="35"/>
    </row>
    <row r="141" spans="1:26">
      <c r="A141" s="33" t="s">
        <v>965</v>
      </c>
      <c r="B141" s="34">
        <f>COUNTA($B$1:B140)</f>
        <v>131</v>
      </c>
      <c r="C141" s="35" t="s">
        <v>312</v>
      </c>
      <c r="D141" s="51"/>
      <c r="E141" s="52" t="s">
        <v>154</v>
      </c>
      <c r="F141" s="34"/>
      <c r="G141" s="35" t="s">
        <v>966</v>
      </c>
      <c r="H141" s="35"/>
      <c r="I141" s="35" t="s">
        <v>55</v>
      </c>
      <c r="J141" s="35" t="s">
        <v>313</v>
      </c>
      <c r="K141" s="34">
        <v>0</v>
      </c>
      <c r="L141" s="35" t="s">
        <v>878</v>
      </c>
      <c r="M141" s="36"/>
      <c r="N141" s="35"/>
      <c r="O141" s="35"/>
      <c r="P141" s="35"/>
      <c r="Q141" s="35"/>
      <c r="R141" s="35"/>
      <c r="S141" s="35"/>
      <c r="T141" s="35"/>
      <c r="U141" s="35"/>
      <c r="V141" s="35"/>
      <c r="W141" s="35"/>
      <c r="X141" s="35"/>
      <c r="Y141" s="35"/>
      <c r="Z141" s="35"/>
    </row>
    <row r="142" spans="1:26">
      <c r="A142" s="33" t="s">
        <v>965</v>
      </c>
      <c r="B142" s="34">
        <f>COUNTA($B$1:B141)</f>
        <v>132</v>
      </c>
      <c r="C142" s="35" t="s">
        <v>67</v>
      </c>
      <c r="D142" s="35"/>
      <c r="E142" s="35"/>
      <c r="F142" s="34"/>
      <c r="G142" s="35" t="s">
        <v>966</v>
      </c>
      <c r="H142" s="35"/>
      <c r="I142" s="35"/>
      <c r="J142" s="35"/>
      <c r="K142" s="34"/>
      <c r="L142" s="35" t="s">
        <v>67</v>
      </c>
      <c r="M142" s="36">
        <v>2</v>
      </c>
      <c r="N142" s="35"/>
      <c r="O142" s="35"/>
      <c r="P142" s="35"/>
      <c r="Q142" s="35"/>
      <c r="R142" s="36"/>
      <c r="S142" s="35"/>
      <c r="T142" s="35"/>
      <c r="U142" s="35"/>
      <c r="V142" s="35"/>
      <c r="W142" s="35"/>
      <c r="X142" s="35"/>
      <c r="Y142" s="35"/>
      <c r="Z142" s="35"/>
    </row>
    <row r="143" spans="1:26">
      <c r="A143" s="223" t="str" cm="1">
        <f t="array" ref="A143">_xlfn.IFS(Global!B2="QA","bln696157",Global!B2="UAT","bln696157",Global!B2="PROD","N")</f>
        <v>bln696157</v>
      </c>
      <c r="B143" s="34">
        <f>COUNTA($B$1:B142)</f>
        <v>133</v>
      </c>
      <c r="C143" s="35" t="s">
        <v>190</v>
      </c>
      <c r="D143" s="35"/>
      <c r="E143" s="35"/>
      <c r="F143" s="34"/>
      <c r="G143" s="35" t="s">
        <v>966</v>
      </c>
      <c r="H143" s="35"/>
      <c r="I143" s="35" t="s">
        <v>55</v>
      </c>
      <c r="J143" s="35" t="s">
        <v>87</v>
      </c>
      <c r="K143" s="34">
        <v>0</v>
      </c>
      <c r="L143" s="35" t="s">
        <v>147</v>
      </c>
      <c r="M143" s="36"/>
      <c r="N143" s="35"/>
      <c r="O143" s="35"/>
      <c r="P143" s="35"/>
      <c r="Q143" s="35"/>
      <c r="R143" s="35"/>
      <c r="S143" s="35"/>
      <c r="T143" s="35"/>
      <c r="U143" s="35"/>
      <c r="V143" s="35"/>
      <c r="W143" s="35"/>
      <c r="X143" s="35"/>
      <c r="Y143" s="35"/>
      <c r="Z143" s="35"/>
    </row>
    <row r="144" spans="1:26">
      <c r="A144" s="33" t="str">
        <f>A143</f>
        <v>bln696157</v>
      </c>
      <c r="B144" s="34">
        <f>COUNTA($B$1:B143)</f>
        <v>134</v>
      </c>
      <c r="C144" s="35" t="s">
        <v>67</v>
      </c>
      <c r="D144" s="35"/>
      <c r="E144" s="35"/>
      <c r="F144" s="34"/>
      <c r="G144" s="35" t="s">
        <v>966</v>
      </c>
      <c r="H144" s="35"/>
      <c r="I144" s="35"/>
      <c r="J144" s="35"/>
      <c r="K144" s="34"/>
      <c r="L144" s="35" t="s">
        <v>67</v>
      </c>
      <c r="M144" s="36">
        <v>10</v>
      </c>
      <c r="N144" s="35"/>
      <c r="O144" s="35"/>
      <c r="P144" s="35"/>
      <c r="Q144" s="35"/>
      <c r="R144" s="36"/>
      <c r="S144" s="35"/>
      <c r="T144" s="35"/>
      <c r="U144" s="35"/>
      <c r="V144" s="35"/>
      <c r="W144" s="35"/>
      <c r="X144" s="35"/>
      <c r="Y144" s="35"/>
      <c r="Z144" s="35"/>
    </row>
    <row r="145" spans="1:26">
      <c r="A145" s="30" t="s">
        <v>100</v>
      </c>
      <c r="B145" s="193"/>
      <c r="C145" s="31"/>
      <c r="D145" s="32"/>
      <c r="E145" s="32"/>
      <c r="F145" s="31"/>
      <c r="G145" s="32"/>
      <c r="H145" s="32"/>
      <c r="I145" s="32"/>
      <c r="J145" s="32"/>
      <c r="K145" s="31"/>
      <c r="L145" s="32"/>
      <c r="M145" s="32"/>
      <c r="N145" s="32"/>
      <c r="O145" s="32"/>
      <c r="P145" s="32"/>
      <c r="Q145" s="32"/>
      <c r="R145" s="32"/>
      <c r="S145" s="32"/>
      <c r="T145" s="32"/>
      <c r="U145" s="32"/>
      <c r="V145" s="32"/>
      <c r="W145" s="32"/>
      <c r="X145" s="32"/>
      <c r="Y145" s="32"/>
      <c r="Z145" s="32"/>
    </row>
    <row r="146" spans="1:26">
      <c r="A146" s="45" t="str">
        <f>A144</f>
        <v>bln696157</v>
      </c>
      <c r="B146" s="47">
        <f>COUNTA($B$1:B145)</f>
        <v>135</v>
      </c>
      <c r="C146" s="46" t="s">
        <v>140</v>
      </c>
      <c r="D146" s="46"/>
      <c r="E146" s="46"/>
      <c r="F146" s="47"/>
      <c r="G146" s="46" t="s">
        <v>966</v>
      </c>
      <c r="H146" s="46"/>
      <c r="I146" s="46" t="s">
        <v>55</v>
      </c>
      <c r="J146" s="46" t="s">
        <v>141</v>
      </c>
      <c r="K146" s="47"/>
      <c r="L146" s="46" t="s">
        <v>142</v>
      </c>
      <c r="M146" s="48"/>
      <c r="N146" s="46"/>
      <c r="O146" s="46" t="s">
        <v>2</v>
      </c>
      <c r="P146" s="46"/>
      <c r="Q146" s="46"/>
      <c r="R146" s="49"/>
      <c r="S146" s="46"/>
      <c r="T146" s="46"/>
      <c r="U146" s="46"/>
      <c r="V146" s="46"/>
      <c r="W146" s="46"/>
      <c r="X146" s="46"/>
      <c r="Y146" s="46"/>
      <c r="Z146" s="46"/>
    </row>
    <row r="147" spans="1:26">
      <c r="A147" s="45" t="str">
        <f>A146</f>
        <v>bln696157</v>
      </c>
      <c r="B147" s="47">
        <f>COUNTA($B$1:B146)</f>
        <v>136</v>
      </c>
      <c r="C147" s="46" t="s">
        <v>143</v>
      </c>
      <c r="D147" s="46"/>
      <c r="E147" s="46"/>
      <c r="F147" s="47"/>
      <c r="G147" s="46" t="s">
        <v>966</v>
      </c>
      <c r="H147" s="46"/>
      <c r="I147" s="46" t="s">
        <v>55</v>
      </c>
      <c r="J147" s="46" t="s">
        <v>141</v>
      </c>
      <c r="K147" s="47"/>
      <c r="L147" s="46" t="s">
        <v>98</v>
      </c>
      <c r="M147" s="48"/>
      <c r="N147" s="46" t="s">
        <v>99</v>
      </c>
      <c r="O147" s="46" t="s">
        <v>2</v>
      </c>
      <c r="P147" s="46"/>
      <c r="Q147" s="46"/>
      <c r="R147" s="49" t="s">
        <v>144</v>
      </c>
      <c r="S147" s="46"/>
      <c r="T147" s="46"/>
      <c r="U147" s="46"/>
      <c r="V147" s="46"/>
      <c r="W147" s="46"/>
      <c r="X147" s="46"/>
      <c r="Y147" s="46"/>
      <c r="Z147" s="46"/>
    </row>
    <row r="148" spans="1:26">
      <c r="A148" s="45" t="str">
        <f t="shared" ref="A148" si="0">A146</f>
        <v>bln696157</v>
      </c>
      <c r="B148" s="47">
        <f>COUNTA($B$1:B147)</f>
        <v>137</v>
      </c>
      <c r="C148" s="46" t="s">
        <v>145</v>
      </c>
      <c r="D148" s="46"/>
      <c r="E148" s="46"/>
      <c r="F148" s="47"/>
      <c r="G148" s="46" t="s">
        <v>966</v>
      </c>
      <c r="H148" s="46"/>
      <c r="I148" s="46" t="s">
        <v>55</v>
      </c>
      <c r="J148" s="46" t="s">
        <v>146</v>
      </c>
      <c r="K148" s="47"/>
      <c r="L148" s="46" t="s">
        <v>147</v>
      </c>
      <c r="M148" s="48"/>
      <c r="N148" s="46"/>
      <c r="O148" s="46" t="s">
        <v>2</v>
      </c>
      <c r="P148" s="46"/>
      <c r="Q148" s="46"/>
      <c r="R148" s="48"/>
      <c r="S148" s="46"/>
      <c r="T148" s="46"/>
      <c r="U148" s="46"/>
      <c r="V148" s="46"/>
      <c r="W148" s="46"/>
      <c r="X148" s="46"/>
      <c r="Y148" s="46"/>
      <c r="Z148" s="46"/>
    </row>
    <row r="149" spans="1:26">
      <c r="A149" s="33" t="str">
        <f>A148</f>
        <v>bln696157</v>
      </c>
      <c r="B149" s="34">
        <f>COUNTA($B$1:B148)</f>
        <v>138</v>
      </c>
      <c r="C149" s="194" t="s">
        <v>884</v>
      </c>
      <c r="D149" s="35"/>
      <c r="E149" s="35"/>
      <c r="F149" s="34"/>
      <c r="G149" s="35" t="s">
        <v>966</v>
      </c>
      <c r="H149" s="35"/>
      <c r="I149" s="35"/>
      <c r="J149" s="35"/>
      <c r="K149" s="42"/>
      <c r="L149" s="35" t="s">
        <v>393</v>
      </c>
      <c r="M149" s="70" t="str">
        <f>Global!B9 &amp; "AirNewZealandLogo.png"</f>
        <v>Travel EX Migration_AEM Regression_UATAirNewZealandLogo.png</v>
      </c>
      <c r="N149" s="35"/>
      <c r="O149" s="35"/>
      <c r="P149" s="35"/>
      <c r="Q149" s="35"/>
      <c r="R149" s="55"/>
      <c r="S149" s="35"/>
      <c r="T149" s="35"/>
      <c r="U149" s="35"/>
      <c r="V149" s="35"/>
      <c r="W149" s="35"/>
      <c r="X149" s="35"/>
      <c r="Y149" s="35"/>
      <c r="Z149" s="35"/>
    </row>
    <row r="150" spans="1:26">
      <c r="A150" s="33" t="str">
        <f t="shared" ref="A150:A176" si="1">A149</f>
        <v>bln696157</v>
      </c>
      <c r="B150" s="34">
        <f>COUNTA($B$1:B149)</f>
        <v>139</v>
      </c>
      <c r="C150" s="195" t="s">
        <v>317</v>
      </c>
      <c r="D150" s="57"/>
      <c r="E150" s="58" t="s">
        <v>154</v>
      </c>
      <c r="F150" s="59"/>
      <c r="G150" s="35" t="s">
        <v>966</v>
      </c>
      <c r="H150" s="56"/>
      <c r="I150" s="56" t="s">
        <v>55</v>
      </c>
      <c r="J150" s="56" t="s">
        <v>456</v>
      </c>
      <c r="K150" s="34">
        <v>0</v>
      </c>
      <c r="L150" s="56" t="s">
        <v>98</v>
      </c>
      <c r="M150" s="56"/>
      <c r="N150" s="56" t="s">
        <v>99</v>
      </c>
      <c r="O150" s="56"/>
      <c r="P150" s="56"/>
      <c r="Q150" s="56"/>
      <c r="R150" s="58" t="s">
        <v>319</v>
      </c>
      <c r="S150" s="58" t="s">
        <v>319</v>
      </c>
      <c r="T150" s="56" t="s">
        <v>2</v>
      </c>
      <c r="U150" s="56"/>
      <c r="V150" s="56"/>
      <c r="W150" s="35"/>
      <c r="X150" s="35"/>
      <c r="Y150" s="35"/>
      <c r="Z150" s="35"/>
    </row>
    <row r="151" spans="1:26">
      <c r="A151" s="33" t="str">
        <f t="shared" si="1"/>
        <v>bln696157</v>
      </c>
      <c r="B151" s="34">
        <f>COUNTA($B$1:B150)</f>
        <v>140</v>
      </c>
      <c r="C151" s="195" t="s">
        <v>320</v>
      </c>
      <c r="D151" s="57"/>
      <c r="E151" s="58" t="s">
        <v>154</v>
      </c>
      <c r="F151" s="59"/>
      <c r="G151" s="35" t="s">
        <v>966</v>
      </c>
      <c r="H151" s="56"/>
      <c r="I151" s="56" t="s">
        <v>55</v>
      </c>
      <c r="J151" s="56" t="s">
        <v>885</v>
      </c>
      <c r="K151" s="34">
        <v>0</v>
      </c>
      <c r="L151" s="56" t="s">
        <v>98</v>
      </c>
      <c r="M151" s="56"/>
      <c r="N151" s="56" t="s">
        <v>99</v>
      </c>
      <c r="O151" s="56"/>
      <c r="P151" s="56"/>
      <c r="Q151" s="56"/>
      <c r="R151" s="58" t="s">
        <v>322</v>
      </c>
      <c r="S151" s="58" t="s">
        <v>322</v>
      </c>
      <c r="T151" s="56" t="s">
        <v>2</v>
      </c>
      <c r="U151" s="56"/>
      <c r="V151" s="56"/>
      <c r="W151" s="35"/>
      <c r="X151" s="35"/>
      <c r="Y151" s="35"/>
      <c r="Z151" s="35"/>
    </row>
    <row r="152" spans="1:26">
      <c r="A152" s="33" t="str">
        <f t="shared" si="1"/>
        <v>bln696157</v>
      </c>
      <c r="B152" s="34">
        <f>COUNTA($B$1:B151)</f>
        <v>141</v>
      </c>
      <c r="C152" s="195" t="s">
        <v>323</v>
      </c>
      <c r="D152" s="57"/>
      <c r="E152" s="58"/>
      <c r="F152" s="59"/>
      <c r="G152" s="35" t="s">
        <v>966</v>
      </c>
      <c r="H152" s="56"/>
      <c r="I152" s="56" t="s">
        <v>55</v>
      </c>
      <c r="J152" s="56" t="s">
        <v>534</v>
      </c>
      <c r="K152" s="34">
        <v>0</v>
      </c>
      <c r="L152" s="56" t="s">
        <v>98</v>
      </c>
      <c r="M152" s="56"/>
      <c r="N152" s="56" t="s">
        <v>99</v>
      </c>
      <c r="O152" s="56"/>
      <c r="P152" s="56"/>
      <c r="Q152" s="56"/>
      <c r="R152" s="58" t="s">
        <v>101</v>
      </c>
      <c r="S152" s="56"/>
      <c r="T152" s="56" t="s">
        <v>2</v>
      </c>
      <c r="U152" s="56"/>
      <c r="V152" s="56"/>
      <c r="W152" s="35"/>
      <c r="X152" s="35"/>
      <c r="Y152" s="35"/>
      <c r="Z152" s="35"/>
    </row>
    <row r="153" spans="1:26">
      <c r="A153" s="33" t="str">
        <f t="shared" si="1"/>
        <v>bln696157</v>
      </c>
      <c r="B153" s="34">
        <f>COUNTA($B$1:B152)</f>
        <v>142</v>
      </c>
      <c r="C153" s="195" t="s">
        <v>325</v>
      </c>
      <c r="D153" s="57"/>
      <c r="E153" s="58"/>
      <c r="F153" s="59"/>
      <c r="G153" s="35" t="s">
        <v>966</v>
      </c>
      <c r="H153" s="56"/>
      <c r="I153" s="56" t="s">
        <v>55</v>
      </c>
      <c r="J153" s="56" t="s">
        <v>326</v>
      </c>
      <c r="K153" s="34">
        <v>0</v>
      </c>
      <c r="L153" s="56" t="s">
        <v>98</v>
      </c>
      <c r="M153" s="56"/>
      <c r="N153" s="56" t="s">
        <v>99</v>
      </c>
      <c r="O153" s="56"/>
      <c r="P153" s="56"/>
      <c r="Q153" s="56"/>
      <c r="R153" s="58" t="s">
        <v>322</v>
      </c>
      <c r="S153" s="56"/>
      <c r="T153" s="56" t="s">
        <v>2</v>
      </c>
      <c r="U153" s="56"/>
      <c r="V153" s="56"/>
      <c r="W153" s="35"/>
      <c r="X153" s="52"/>
      <c r="Y153" s="52"/>
      <c r="Z153" s="52"/>
    </row>
    <row r="154" spans="1:26">
      <c r="A154" s="33" t="str">
        <f t="shared" si="1"/>
        <v>bln696157</v>
      </c>
      <c r="B154" s="34">
        <f>COUNTA($B$1:B153)</f>
        <v>143</v>
      </c>
      <c r="C154" s="194" t="s">
        <v>327</v>
      </c>
      <c r="D154" s="51"/>
      <c r="E154" s="52"/>
      <c r="F154" s="34"/>
      <c r="G154" s="35" t="s">
        <v>966</v>
      </c>
      <c r="H154" s="35"/>
      <c r="I154" s="35" t="s">
        <v>55</v>
      </c>
      <c r="J154" s="35" t="s">
        <v>328</v>
      </c>
      <c r="K154" s="34">
        <v>0</v>
      </c>
      <c r="L154" s="35" t="s">
        <v>98</v>
      </c>
      <c r="M154" s="35"/>
      <c r="N154" s="35" t="s">
        <v>99</v>
      </c>
      <c r="O154" s="35"/>
      <c r="P154" s="35"/>
      <c r="Q154" s="35"/>
      <c r="R154" s="35"/>
      <c r="S154" s="196" t="s">
        <v>329</v>
      </c>
      <c r="T154" s="35"/>
      <c r="U154" s="35"/>
      <c r="V154" s="35"/>
      <c r="W154" s="35"/>
      <c r="X154" s="35"/>
      <c r="Y154" s="35"/>
      <c r="Z154" s="35"/>
    </row>
    <row r="155" spans="1:26">
      <c r="A155" s="237" t="str">
        <f t="shared" si="1"/>
        <v>bln696157</v>
      </c>
      <c r="B155" s="238">
        <f>COUNTA($B$1:B154)</f>
        <v>144</v>
      </c>
      <c r="C155" s="239" t="s">
        <v>330</v>
      </c>
      <c r="D155" s="240"/>
      <c r="E155" s="240"/>
      <c r="F155" s="238"/>
      <c r="G155" s="240" t="s">
        <v>966</v>
      </c>
      <c r="H155" s="240"/>
      <c r="I155" s="240" t="s">
        <v>55</v>
      </c>
      <c r="J155" s="240" t="s">
        <v>430</v>
      </c>
      <c r="K155" s="238">
        <v>0</v>
      </c>
      <c r="L155" s="240" t="s">
        <v>98</v>
      </c>
      <c r="M155" s="241"/>
      <c r="N155" s="240" t="s">
        <v>99</v>
      </c>
      <c r="O155" s="240"/>
      <c r="P155" s="240"/>
      <c r="Q155" s="240"/>
      <c r="R155" s="242"/>
      <c r="S155" s="240"/>
      <c r="T155" s="240"/>
      <c r="U155" s="240"/>
      <c r="V155" s="240"/>
      <c r="W155" s="240"/>
      <c r="X155" s="243"/>
      <c r="Y155" s="243"/>
      <c r="Z155" s="243"/>
    </row>
    <row r="156" spans="1:26" s="65" customFormat="1">
      <c r="A156" s="237" t="str">
        <f t="shared" si="1"/>
        <v>bln696157</v>
      </c>
      <c r="B156" s="34">
        <f>COUNTA($B$1:B155)</f>
        <v>145</v>
      </c>
      <c r="C156" s="35" t="s">
        <v>331</v>
      </c>
      <c r="D156" s="35"/>
      <c r="E156" s="35"/>
      <c r="F156" s="34"/>
      <c r="G156" s="240" t="s">
        <v>966</v>
      </c>
      <c r="H156" s="35"/>
      <c r="I156" s="35" t="s">
        <v>55</v>
      </c>
      <c r="J156" s="35" t="s">
        <v>886</v>
      </c>
      <c r="K156" s="69">
        <v>0</v>
      </c>
      <c r="L156" s="35" t="s">
        <v>98</v>
      </c>
      <c r="M156" s="36"/>
      <c r="N156" s="35" t="s">
        <v>99</v>
      </c>
      <c r="O156" s="35"/>
      <c r="P156" s="35"/>
      <c r="Q156" s="35"/>
      <c r="R156" s="52" t="s">
        <v>980</v>
      </c>
      <c r="S156" s="35"/>
      <c r="T156" s="35" t="s">
        <v>2</v>
      </c>
      <c r="U156" s="35"/>
      <c r="V156" s="35"/>
      <c r="W156" s="35"/>
      <c r="X156" s="35"/>
      <c r="Y156" s="35"/>
      <c r="Z156" s="35"/>
    </row>
    <row r="157" spans="1:26" s="65" customFormat="1">
      <c r="A157" s="237" t="str">
        <f t="shared" si="1"/>
        <v>bln696157</v>
      </c>
      <c r="B157" s="34">
        <f>COUNTA($B$1:B156)</f>
        <v>146</v>
      </c>
      <c r="C157" s="35" t="s">
        <v>334</v>
      </c>
      <c r="D157" s="35"/>
      <c r="E157" s="35"/>
      <c r="F157" s="34"/>
      <c r="G157" s="240" t="s">
        <v>966</v>
      </c>
      <c r="H157" s="35"/>
      <c r="I157" s="35" t="s">
        <v>55</v>
      </c>
      <c r="J157" s="35" t="s">
        <v>460</v>
      </c>
      <c r="K157" s="69">
        <v>0</v>
      </c>
      <c r="L157" s="35" t="s">
        <v>98</v>
      </c>
      <c r="M157" s="36"/>
      <c r="N157" s="35" t="s">
        <v>99</v>
      </c>
      <c r="O157" s="35"/>
      <c r="P157" s="35"/>
      <c r="Q157" s="35"/>
      <c r="R157" s="52" t="s">
        <v>981</v>
      </c>
      <c r="S157" s="35"/>
      <c r="T157" s="35" t="s">
        <v>2</v>
      </c>
      <c r="U157" s="35"/>
      <c r="V157" s="35"/>
      <c r="W157" s="35"/>
      <c r="X157" s="52"/>
      <c r="Y157" s="52"/>
      <c r="Z157" s="52"/>
    </row>
    <row r="158" spans="1:26" s="65" customFormat="1">
      <c r="A158" s="237" t="str">
        <f t="shared" si="1"/>
        <v>bln696157</v>
      </c>
      <c r="B158" s="34">
        <f>COUNTA($B$1:B157)</f>
        <v>147</v>
      </c>
      <c r="C158" s="35" t="s">
        <v>337</v>
      </c>
      <c r="D158" s="35"/>
      <c r="E158" s="35"/>
      <c r="F158" s="34"/>
      <c r="G158" s="240" t="s">
        <v>966</v>
      </c>
      <c r="H158" s="35"/>
      <c r="I158" s="35" t="s">
        <v>55</v>
      </c>
      <c r="J158" s="35" t="s">
        <v>463</v>
      </c>
      <c r="K158" s="69">
        <v>0</v>
      </c>
      <c r="L158" s="35" t="s">
        <v>98</v>
      </c>
      <c r="M158" s="36"/>
      <c r="N158" s="35" t="s">
        <v>99</v>
      </c>
      <c r="O158" s="35"/>
      <c r="P158" s="35"/>
      <c r="Q158" s="35"/>
      <c r="R158" s="52" t="s">
        <v>982</v>
      </c>
      <c r="S158" s="35"/>
      <c r="T158" s="35" t="s">
        <v>2</v>
      </c>
      <c r="U158" s="35"/>
      <c r="V158" s="35"/>
      <c r="W158" s="35"/>
      <c r="X158" s="35"/>
      <c r="Y158" s="35"/>
      <c r="Z158" s="35"/>
    </row>
    <row r="159" spans="1:26" s="65" customFormat="1">
      <c r="A159" s="237" t="str">
        <f t="shared" si="1"/>
        <v>bln696157</v>
      </c>
      <c r="B159" s="34">
        <f>COUNTA($B$1:B158)</f>
        <v>148</v>
      </c>
      <c r="C159" s="35" t="s">
        <v>340</v>
      </c>
      <c r="D159" s="35"/>
      <c r="E159" s="35"/>
      <c r="F159" s="34"/>
      <c r="G159" s="240" t="s">
        <v>966</v>
      </c>
      <c r="H159" s="35"/>
      <c r="I159" s="35" t="s">
        <v>55</v>
      </c>
      <c r="J159" s="35" t="s">
        <v>466</v>
      </c>
      <c r="K159" s="69">
        <v>0</v>
      </c>
      <c r="L159" s="35" t="s">
        <v>98</v>
      </c>
      <c r="M159" s="36"/>
      <c r="N159" s="35" t="s">
        <v>99</v>
      </c>
      <c r="O159" s="35"/>
      <c r="P159" s="35"/>
      <c r="Q159" s="35"/>
      <c r="R159" s="52" t="s">
        <v>890</v>
      </c>
      <c r="S159" s="35"/>
      <c r="T159" s="35" t="s">
        <v>2</v>
      </c>
      <c r="U159" s="35"/>
      <c r="V159" s="35"/>
      <c r="W159" s="35"/>
      <c r="X159" s="52"/>
      <c r="Y159" s="52"/>
      <c r="Z159" s="52"/>
    </row>
    <row r="160" spans="1:26" s="65" customFormat="1">
      <c r="A160" s="237" t="str">
        <f t="shared" si="1"/>
        <v>bln696157</v>
      </c>
      <c r="B160" s="34">
        <f>COUNTA($B$1:B159)</f>
        <v>149</v>
      </c>
      <c r="C160" s="35" t="s">
        <v>343</v>
      </c>
      <c r="D160" s="35"/>
      <c r="E160" s="35"/>
      <c r="F160" s="34"/>
      <c r="G160" s="240" t="s">
        <v>966</v>
      </c>
      <c r="H160" s="35"/>
      <c r="I160" s="35" t="s">
        <v>55</v>
      </c>
      <c r="J160" s="35" t="s">
        <v>469</v>
      </c>
      <c r="K160" s="69">
        <v>0</v>
      </c>
      <c r="L160" s="35" t="s">
        <v>98</v>
      </c>
      <c r="M160" s="36"/>
      <c r="N160" s="35" t="s">
        <v>99</v>
      </c>
      <c r="O160" s="35"/>
      <c r="P160" s="35"/>
      <c r="Q160" s="35"/>
      <c r="R160" s="52" t="s">
        <v>983</v>
      </c>
      <c r="S160" s="35"/>
      <c r="T160" s="35" t="s">
        <v>2</v>
      </c>
      <c r="U160" s="35"/>
      <c r="V160" s="35"/>
      <c r="W160" s="35"/>
      <c r="X160" s="35"/>
      <c r="Y160" s="35"/>
      <c r="Z160" s="35"/>
    </row>
    <row r="161" spans="1:26" s="65" customFormat="1">
      <c r="A161" s="237" t="str">
        <f t="shared" si="1"/>
        <v>bln696157</v>
      </c>
      <c r="B161" s="34">
        <f>COUNTA($B$1:B160)</f>
        <v>150</v>
      </c>
      <c r="C161" s="35" t="s">
        <v>346</v>
      </c>
      <c r="D161" s="35"/>
      <c r="E161" s="35"/>
      <c r="F161" s="34"/>
      <c r="G161" s="240" t="s">
        <v>966</v>
      </c>
      <c r="H161" s="35"/>
      <c r="I161" s="35" t="s">
        <v>55</v>
      </c>
      <c r="J161" s="35" t="s">
        <v>472</v>
      </c>
      <c r="K161" s="69">
        <v>0</v>
      </c>
      <c r="L161" s="35" t="s">
        <v>98</v>
      </c>
      <c r="M161" s="36"/>
      <c r="N161" s="35" t="s">
        <v>99</v>
      </c>
      <c r="O161" s="35"/>
      <c r="P161" s="35"/>
      <c r="Q161" s="35"/>
      <c r="R161" s="52" t="s">
        <v>342</v>
      </c>
      <c r="S161" s="35"/>
      <c r="T161" s="35" t="s">
        <v>2</v>
      </c>
      <c r="U161" s="35"/>
      <c r="V161" s="35"/>
      <c r="W161" s="35"/>
      <c r="X161" s="52"/>
      <c r="Y161" s="52"/>
      <c r="Z161" s="52"/>
    </row>
    <row r="162" spans="1:26" s="65" customFormat="1">
      <c r="A162" s="237" t="str">
        <f t="shared" si="1"/>
        <v>bln696157</v>
      </c>
      <c r="B162" s="34">
        <f>COUNTA($B$1:B161)</f>
        <v>151</v>
      </c>
      <c r="C162" s="35" t="s">
        <v>349</v>
      </c>
      <c r="D162" s="35"/>
      <c r="E162" s="35"/>
      <c r="F162" s="34"/>
      <c r="G162" s="240" t="s">
        <v>966</v>
      </c>
      <c r="H162" s="35"/>
      <c r="I162" s="35" t="s">
        <v>55</v>
      </c>
      <c r="J162" s="35" t="s">
        <v>892</v>
      </c>
      <c r="K162" s="69">
        <v>0</v>
      </c>
      <c r="L162" s="35" t="s">
        <v>98</v>
      </c>
      <c r="M162" s="36"/>
      <c r="N162" s="35" t="s">
        <v>99</v>
      </c>
      <c r="O162" s="35"/>
      <c r="P162" s="35"/>
      <c r="Q162" s="35"/>
      <c r="R162" s="52" t="s">
        <v>591</v>
      </c>
      <c r="S162" s="35"/>
      <c r="T162" s="35" t="s">
        <v>2</v>
      </c>
      <c r="U162" s="35"/>
      <c r="V162" s="35"/>
      <c r="W162" s="35"/>
      <c r="X162" s="35"/>
      <c r="Y162" s="35"/>
      <c r="Z162" s="35"/>
    </row>
    <row r="163" spans="1:26" s="65" customFormat="1">
      <c r="A163" s="237" t="str">
        <f t="shared" si="1"/>
        <v>bln696157</v>
      </c>
      <c r="B163" s="34">
        <f>COUNTA($B$1:B162)</f>
        <v>152</v>
      </c>
      <c r="C163" s="35" t="s">
        <v>352</v>
      </c>
      <c r="D163" s="35"/>
      <c r="E163" s="35"/>
      <c r="F163" s="34"/>
      <c r="G163" s="240" t="s">
        <v>966</v>
      </c>
      <c r="H163" s="35"/>
      <c r="I163" s="35" t="s">
        <v>55</v>
      </c>
      <c r="J163" s="35" t="s">
        <v>423</v>
      </c>
      <c r="K163" s="69">
        <v>0</v>
      </c>
      <c r="L163" s="35" t="s">
        <v>98</v>
      </c>
      <c r="M163" s="36"/>
      <c r="N163" s="35" t="s">
        <v>99</v>
      </c>
      <c r="O163" s="35"/>
      <c r="P163" s="35"/>
      <c r="Q163" s="35"/>
      <c r="R163" s="36" t="str">
        <f>TEXT(M81,"0")</f>
        <v>Destination1</v>
      </c>
      <c r="S163" s="35"/>
      <c r="T163" s="35" t="s">
        <v>2</v>
      </c>
      <c r="U163" s="35"/>
      <c r="V163" s="35"/>
      <c r="W163" s="35"/>
      <c r="X163" s="35"/>
      <c r="Y163" s="35"/>
      <c r="Z163" s="35"/>
    </row>
    <row r="164" spans="1:26" s="65" customFormat="1">
      <c r="A164" s="237" t="str">
        <f t="shared" si="1"/>
        <v>bln696157</v>
      </c>
      <c r="B164" s="34">
        <f>COUNTA($B$1:B163)</f>
        <v>153</v>
      </c>
      <c r="C164" s="35" t="s">
        <v>354</v>
      </c>
      <c r="D164" s="35"/>
      <c r="E164" s="35"/>
      <c r="F164" s="34"/>
      <c r="G164" s="240" t="s">
        <v>966</v>
      </c>
      <c r="H164" s="35"/>
      <c r="I164" s="35" t="s">
        <v>55</v>
      </c>
      <c r="J164" s="35" t="s">
        <v>355</v>
      </c>
      <c r="K164" s="69">
        <v>0</v>
      </c>
      <c r="L164" s="35" t="s">
        <v>98</v>
      </c>
      <c r="M164" s="36"/>
      <c r="N164" s="35" t="s">
        <v>99</v>
      </c>
      <c r="O164" s="35"/>
      <c r="P164" s="35"/>
      <c r="Q164" s="35"/>
      <c r="R164" s="36" t="str">
        <f>TEXT(M84,"mm/dd/yyyy")</f>
        <v>DepDate1</v>
      </c>
      <c r="S164" s="35"/>
      <c r="T164" s="35" t="s">
        <v>2</v>
      </c>
      <c r="U164" s="35"/>
      <c r="V164" s="35"/>
      <c r="W164" s="35"/>
      <c r="X164" s="35"/>
      <c r="Y164" s="35"/>
      <c r="Z164" s="35"/>
    </row>
    <row r="165" spans="1:26" s="65" customFormat="1">
      <c r="A165" s="237" t="str">
        <f t="shared" si="1"/>
        <v>bln696157</v>
      </c>
      <c r="B165" s="34">
        <f>COUNTA($B$1:B164)</f>
        <v>154</v>
      </c>
      <c r="C165" s="35" t="s">
        <v>356</v>
      </c>
      <c r="D165" s="35"/>
      <c r="E165" s="35"/>
      <c r="F165" s="34"/>
      <c r="G165" s="240" t="s">
        <v>966</v>
      </c>
      <c r="H165" s="35"/>
      <c r="I165" s="35" t="s">
        <v>55</v>
      </c>
      <c r="J165" s="35" t="s">
        <v>357</v>
      </c>
      <c r="K165" s="69">
        <v>0</v>
      </c>
      <c r="L165" s="35" t="s">
        <v>98</v>
      </c>
      <c r="M165" s="36"/>
      <c r="N165" s="35" t="s">
        <v>99</v>
      </c>
      <c r="O165" s="35"/>
      <c r="P165" s="35"/>
      <c r="Q165" s="35"/>
      <c r="R165" s="36" t="str">
        <f>TEXT(M85,"mm/dd/yyyy")</f>
        <v>RetDate1</v>
      </c>
      <c r="S165" s="35"/>
      <c r="T165" s="35" t="s">
        <v>2</v>
      </c>
      <c r="U165" s="35"/>
      <c r="V165" s="35"/>
      <c r="W165" s="35"/>
      <c r="X165" s="35"/>
      <c r="Y165" s="35"/>
      <c r="Z165" s="35"/>
    </row>
    <row r="166" spans="1:26" s="65" customFormat="1">
      <c r="A166" s="237" t="str">
        <f t="shared" si="1"/>
        <v>bln696157</v>
      </c>
      <c r="B166" s="34">
        <f>COUNTA($B$1:B165)</f>
        <v>155</v>
      </c>
      <c r="C166" s="35" t="s">
        <v>539</v>
      </c>
      <c r="D166" s="35"/>
      <c r="E166" s="35"/>
      <c r="F166" s="34"/>
      <c r="G166" s="240" t="s">
        <v>966</v>
      </c>
      <c r="H166" s="35"/>
      <c r="I166" s="35" t="s">
        <v>55</v>
      </c>
      <c r="J166" s="35" t="s">
        <v>480</v>
      </c>
      <c r="K166" s="69">
        <v>0</v>
      </c>
      <c r="L166" s="35" t="s">
        <v>98</v>
      </c>
      <c r="M166" s="36"/>
      <c r="N166" s="35" t="s">
        <v>99</v>
      </c>
      <c r="O166" s="35"/>
      <c r="P166" s="35"/>
      <c r="Q166" s="35"/>
      <c r="R166" s="52" t="s">
        <v>873</v>
      </c>
      <c r="S166" s="52"/>
      <c r="T166" s="35" t="s">
        <v>2</v>
      </c>
      <c r="U166" s="35"/>
      <c r="V166" s="35"/>
      <c r="W166" s="35"/>
      <c r="X166" s="35"/>
      <c r="Y166" s="35"/>
      <c r="Z166" s="35"/>
    </row>
    <row r="167" spans="1:26" s="65" customFormat="1">
      <c r="A167" s="237" t="str">
        <f t="shared" si="1"/>
        <v>bln696157</v>
      </c>
      <c r="B167" s="34">
        <f>COUNTA($B$1:B166)</f>
        <v>156</v>
      </c>
      <c r="C167" s="35" t="s">
        <v>360</v>
      </c>
      <c r="D167" s="35"/>
      <c r="E167" s="35"/>
      <c r="F167" s="34"/>
      <c r="G167" s="240" t="s">
        <v>966</v>
      </c>
      <c r="H167" s="35"/>
      <c r="I167" s="35" t="s">
        <v>55</v>
      </c>
      <c r="J167" s="35" t="s">
        <v>481</v>
      </c>
      <c r="K167" s="69">
        <v>0</v>
      </c>
      <c r="L167" s="35" t="s">
        <v>98</v>
      </c>
      <c r="M167" s="36"/>
      <c r="N167" s="35" t="s">
        <v>99</v>
      </c>
      <c r="O167" s="35"/>
      <c r="P167" s="35"/>
      <c r="Q167" s="35"/>
      <c r="R167" s="36"/>
      <c r="S167" s="35"/>
      <c r="T167" s="35"/>
      <c r="U167" s="35"/>
      <c r="V167" s="35"/>
      <c r="W167" s="35"/>
      <c r="X167" s="35"/>
      <c r="Y167" s="35"/>
      <c r="Z167" s="35"/>
    </row>
    <row r="168" spans="1:26" s="65" customFormat="1">
      <c r="A168" s="237" t="str">
        <f t="shared" si="1"/>
        <v>bln696157</v>
      </c>
      <c r="B168" s="34">
        <f>COUNTA($B$1:B167)</f>
        <v>157</v>
      </c>
      <c r="C168" s="35" t="s">
        <v>362</v>
      </c>
      <c r="D168" s="35"/>
      <c r="E168" s="35"/>
      <c r="F168" s="34"/>
      <c r="G168" s="240" t="s">
        <v>966</v>
      </c>
      <c r="H168" s="35"/>
      <c r="I168" s="35" t="s">
        <v>55</v>
      </c>
      <c r="J168" s="35" t="s">
        <v>482</v>
      </c>
      <c r="K168" s="69">
        <v>0</v>
      </c>
      <c r="L168" s="35" t="s">
        <v>98</v>
      </c>
      <c r="M168" s="36"/>
      <c r="N168" s="35" t="s">
        <v>99</v>
      </c>
      <c r="O168" s="35"/>
      <c r="P168" s="35"/>
      <c r="Q168" s="35"/>
      <c r="R168" s="36"/>
      <c r="S168" s="35"/>
      <c r="T168" s="35"/>
      <c r="U168" s="35"/>
      <c r="V168" s="35"/>
      <c r="W168" s="35"/>
      <c r="X168" s="35"/>
      <c r="Y168" s="35"/>
      <c r="Z168" s="35"/>
    </row>
    <row r="169" spans="1:26" s="65" customFormat="1">
      <c r="A169" s="237" t="str">
        <f t="shared" si="1"/>
        <v>bln696157</v>
      </c>
      <c r="B169" s="34">
        <f>COUNTA($B$1:B168)</f>
        <v>158</v>
      </c>
      <c r="C169" s="35" t="s">
        <v>366</v>
      </c>
      <c r="D169" s="35"/>
      <c r="E169" s="35"/>
      <c r="F169" s="34"/>
      <c r="G169" s="240" t="s">
        <v>966</v>
      </c>
      <c r="H169" s="35"/>
      <c r="I169" s="35" t="s">
        <v>55</v>
      </c>
      <c r="J169" s="35" t="s">
        <v>367</v>
      </c>
      <c r="K169" s="69">
        <v>0</v>
      </c>
      <c r="L169" s="35" t="s">
        <v>98</v>
      </c>
      <c r="M169" s="36"/>
      <c r="N169" s="35" t="s">
        <v>99</v>
      </c>
      <c r="O169" s="35"/>
      <c r="P169" s="35"/>
      <c r="Q169" s="35"/>
      <c r="R169" s="55" t="str">
        <f>M113</f>
        <v>Phone1</v>
      </c>
      <c r="S169" s="35"/>
      <c r="T169" s="35" t="s">
        <v>2</v>
      </c>
      <c r="U169" s="35"/>
      <c r="V169" s="35"/>
      <c r="W169" s="35"/>
      <c r="X169" s="35"/>
      <c r="Y169" s="35"/>
      <c r="Z169" s="35"/>
    </row>
    <row r="170" spans="1:26" s="65" customFormat="1">
      <c r="A170" s="237" t="str">
        <f t="shared" si="1"/>
        <v>bln696157</v>
      </c>
      <c r="B170" s="34">
        <f>COUNTA($B$1:B169)</f>
        <v>159</v>
      </c>
      <c r="C170" s="35" t="s">
        <v>984</v>
      </c>
      <c r="D170" s="35"/>
      <c r="E170" s="35"/>
      <c r="F170" s="34"/>
      <c r="G170" s="240" t="s">
        <v>966</v>
      </c>
      <c r="H170" s="35"/>
      <c r="I170" s="35" t="s">
        <v>55</v>
      </c>
      <c r="J170" s="35" t="s">
        <v>485</v>
      </c>
      <c r="K170" s="69">
        <v>0</v>
      </c>
      <c r="L170" s="35" t="s">
        <v>98</v>
      </c>
      <c r="M170" s="36"/>
      <c r="N170" s="35" t="s">
        <v>99</v>
      </c>
      <c r="O170" s="35"/>
      <c r="P170" s="35"/>
      <c r="Q170" s="35"/>
      <c r="R170" s="52" t="s">
        <v>873</v>
      </c>
      <c r="S170" s="35"/>
      <c r="T170" s="35" t="s">
        <v>2</v>
      </c>
      <c r="U170" s="35"/>
      <c r="V170" s="35"/>
      <c r="W170" s="35"/>
      <c r="X170" s="35"/>
      <c r="Y170" s="35"/>
      <c r="Z170" s="35"/>
    </row>
    <row r="171" spans="1:26" s="65" customFormat="1">
      <c r="A171" s="237" t="str">
        <f t="shared" si="1"/>
        <v>bln696157</v>
      </c>
      <c r="B171" s="34">
        <f>COUNTA($B$1:B170)</f>
        <v>160</v>
      </c>
      <c r="C171" s="35" t="s">
        <v>383</v>
      </c>
      <c r="D171" s="35"/>
      <c r="E171" s="35"/>
      <c r="F171" s="34"/>
      <c r="G171" s="240" t="s">
        <v>966</v>
      </c>
      <c r="H171" s="35"/>
      <c r="I171" s="35" t="s">
        <v>55</v>
      </c>
      <c r="J171" s="35" t="s">
        <v>985</v>
      </c>
      <c r="K171" s="69">
        <v>0</v>
      </c>
      <c r="L171" s="35" t="s">
        <v>98</v>
      </c>
      <c r="M171" s="36"/>
      <c r="N171" s="35" t="s">
        <v>99</v>
      </c>
      <c r="O171" s="35"/>
      <c r="P171" s="35"/>
      <c r="Q171" s="35"/>
      <c r="R171" s="36">
        <f>S125</f>
        <v>0</v>
      </c>
      <c r="S171" s="35"/>
      <c r="T171" s="35" t="s">
        <v>2</v>
      </c>
      <c r="U171" s="35"/>
      <c r="V171" s="35"/>
      <c r="W171" s="35"/>
      <c r="X171" s="35"/>
      <c r="Y171" s="35"/>
      <c r="Z171" s="35"/>
    </row>
    <row r="172" spans="1:26" s="65" customFormat="1">
      <c r="A172" s="237" t="str">
        <f t="shared" si="1"/>
        <v>bln696157</v>
      </c>
      <c r="B172" s="34">
        <f>COUNTA($B$1:B171)</f>
        <v>161</v>
      </c>
      <c r="C172" s="56" t="s">
        <v>67</v>
      </c>
      <c r="D172" s="57"/>
      <c r="E172" s="58" t="s">
        <v>154</v>
      </c>
      <c r="F172" s="59"/>
      <c r="G172" s="240" t="s">
        <v>966</v>
      </c>
      <c r="H172" s="56"/>
      <c r="I172" s="56"/>
      <c r="J172" s="56"/>
      <c r="K172" s="244"/>
      <c r="L172" s="56" t="s">
        <v>67</v>
      </c>
      <c r="M172" s="60">
        <v>4</v>
      </c>
      <c r="N172" s="35"/>
      <c r="O172" s="35"/>
      <c r="P172" s="35"/>
      <c r="Q172" s="35"/>
      <c r="R172" s="36"/>
      <c r="S172" s="52"/>
      <c r="T172" s="35"/>
      <c r="U172" s="35"/>
      <c r="V172" s="35"/>
      <c r="W172" s="35"/>
      <c r="X172" s="52"/>
      <c r="Y172" s="52"/>
      <c r="Z172" s="52"/>
    </row>
    <row r="173" spans="1:26" s="65" customFormat="1">
      <c r="A173" s="237" t="str">
        <f t="shared" si="1"/>
        <v>bln696157</v>
      </c>
      <c r="B173" s="34">
        <f>COUNTA($B$1:B172)</f>
        <v>162</v>
      </c>
      <c r="C173" s="56" t="s">
        <v>602</v>
      </c>
      <c r="D173" s="57"/>
      <c r="E173" s="58" t="s">
        <v>154</v>
      </c>
      <c r="F173" s="59"/>
      <c r="G173" s="240" t="s">
        <v>966</v>
      </c>
      <c r="H173" s="56"/>
      <c r="I173" s="35" t="s">
        <v>55</v>
      </c>
      <c r="J173" s="35" t="s">
        <v>603</v>
      </c>
      <c r="K173" s="69">
        <v>0</v>
      </c>
      <c r="L173" s="35" t="s">
        <v>147</v>
      </c>
      <c r="M173" s="60"/>
      <c r="N173" s="35"/>
      <c r="O173" s="35"/>
      <c r="P173" s="35"/>
      <c r="Q173" s="35"/>
      <c r="R173" s="36"/>
      <c r="S173" s="52"/>
      <c r="T173" s="35"/>
      <c r="U173" s="35"/>
      <c r="V173" s="35"/>
      <c r="W173" s="35"/>
      <c r="X173" s="52"/>
      <c r="Y173" s="52"/>
      <c r="Z173" s="52"/>
    </row>
    <row r="174" spans="1:26" s="65" customFormat="1">
      <c r="A174" s="237" t="str">
        <f t="shared" si="1"/>
        <v>bln696157</v>
      </c>
      <c r="B174" s="34">
        <f>COUNTA($B$1:B173)</f>
        <v>163</v>
      </c>
      <c r="C174" s="35" t="s">
        <v>67</v>
      </c>
      <c r="D174" s="35"/>
      <c r="E174" s="35"/>
      <c r="F174" s="34"/>
      <c r="G174" s="240" t="s">
        <v>966</v>
      </c>
      <c r="H174" s="35"/>
      <c r="I174" s="35"/>
      <c r="J174" s="35"/>
      <c r="K174" s="69"/>
      <c r="L174" s="35" t="s">
        <v>67</v>
      </c>
      <c r="M174" s="36">
        <v>5</v>
      </c>
      <c r="N174" s="35"/>
      <c r="O174" s="35"/>
      <c r="P174" s="35"/>
      <c r="Q174" s="35"/>
      <c r="R174" s="52"/>
      <c r="S174" s="35"/>
      <c r="T174" s="35"/>
      <c r="U174" s="35"/>
      <c r="V174" s="35"/>
      <c r="W174" s="35"/>
      <c r="X174" s="52"/>
      <c r="Y174" s="52"/>
      <c r="Z174" s="52"/>
    </row>
    <row r="175" spans="1:26" s="65" customFormat="1">
      <c r="A175" s="237" t="str">
        <f t="shared" si="1"/>
        <v>bln696157</v>
      </c>
      <c r="B175" s="34">
        <f>COUNTA($B$1:B174)</f>
        <v>164</v>
      </c>
      <c r="C175" s="70" t="s">
        <v>489</v>
      </c>
      <c r="D175" s="70"/>
      <c r="E175" s="70"/>
      <c r="F175" s="70"/>
      <c r="G175" s="240" t="s">
        <v>966</v>
      </c>
      <c r="H175" s="70"/>
      <c r="I175" s="70"/>
      <c r="J175" s="70"/>
      <c r="K175" s="245">
        <v>0</v>
      </c>
      <c r="L175" s="70" t="s">
        <v>388</v>
      </c>
      <c r="M175" s="70" t="s">
        <v>389</v>
      </c>
      <c r="N175" s="35"/>
      <c r="O175" s="35"/>
      <c r="P175" s="35"/>
      <c r="Q175" s="35"/>
      <c r="R175" s="52"/>
      <c r="S175" s="35"/>
      <c r="T175" s="35"/>
      <c r="U175" s="35"/>
      <c r="V175" s="35"/>
      <c r="W175" s="35"/>
      <c r="X175" s="52"/>
      <c r="Y175" s="52"/>
      <c r="Z175" s="52"/>
    </row>
    <row r="176" spans="1:26" s="65" customFormat="1">
      <c r="A176" s="237" t="str">
        <f t="shared" si="1"/>
        <v>bln696157</v>
      </c>
      <c r="B176" s="34">
        <f>COUNTA($B$1:B175)</f>
        <v>165</v>
      </c>
      <c r="C176" s="70" t="s">
        <v>490</v>
      </c>
      <c r="D176" s="70"/>
      <c r="E176" s="70"/>
      <c r="F176" s="70"/>
      <c r="G176" s="240" t="s">
        <v>966</v>
      </c>
      <c r="H176" s="70"/>
      <c r="I176" s="70"/>
      <c r="J176" s="70"/>
      <c r="K176" s="245"/>
      <c r="L176" s="35" t="s">
        <v>398</v>
      </c>
      <c r="M176" s="35" t="s">
        <v>491</v>
      </c>
      <c r="N176" s="35"/>
      <c r="O176" s="35"/>
      <c r="P176" s="35"/>
      <c r="Q176" s="35"/>
      <c r="R176" s="52"/>
      <c r="S176" s="35"/>
      <c r="T176" s="35"/>
      <c r="U176" s="35"/>
      <c r="V176" s="35"/>
      <c r="W176" s="35"/>
      <c r="X176" s="52"/>
      <c r="Y176" s="52"/>
      <c r="Z176" s="52"/>
    </row>
    <row r="177" spans="1:26">
      <c r="A177" s="30" t="s">
        <v>411</v>
      </c>
      <c r="B177" s="193"/>
      <c r="C177" s="31"/>
      <c r="D177" s="32"/>
      <c r="E177" s="32"/>
      <c r="F177" s="31"/>
      <c r="G177" s="32"/>
      <c r="H177" s="32"/>
      <c r="I177" s="32"/>
      <c r="J177" s="32"/>
      <c r="K177" s="31"/>
      <c r="L177" s="32"/>
      <c r="M177" s="32"/>
      <c r="N177" s="32"/>
      <c r="O177" s="32"/>
      <c r="P177" s="32"/>
      <c r="Q177" s="32"/>
      <c r="R177" s="32"/>
      <c r="S177" s="32"/>
      <c r="T177" s="32"/>
      <c r="U177" s="32"/>
      <c r="V177" s="32"/>
      <c r="W177" s="32"/>
      <c r="X177" s="32"/>
      <c r="Y177" s="32"/>
      <c r="Z177" s="32"/>
    </row>
    <row r="178" spans="1:26">
      <c r="A178" s="33" t="s">
        <v>965</v>
      </c>
      <c r="B178" s="34">
        <f>COUNTA($B$1:B177)</f>
        <v>166</v>
      </c>
      <c r="C178" s="61" t="s">
        <v>97</v>
      </c>
      <c r="D178" s="61"/>
      <c r="E178" s="61"/>
      <c r="F178" s="62"/>
      <c r="G178" s="35" t="s">
        <v>966</v>
      </c>
      <c r="H178" s="61"/>
      <c r="I178" s="61"/>
      <c r="J178" s="61"/>
      <c r="K178" s="62"/>
      <c r="L178" s="61" t="s">
        <v>97</v>
      </c>
      <c r="M178" s="63"/>
      <c r="N178" s="61"/>
      <c r="O178" s="61"/>
      <c r="P178" s="61"/>
      <c r="Q178" s="61"/>
      <c r="R178" s="61"/>
      <c r="S178" s="61"/>
      <c r="T178" s="61"/>
      <c r="U178" s="35"/>
      <c r="V178" s="35"/>
      <c r="W178" s="35"/>
      <c r="X178" s="35"/>
      <c r="Y178" s="35"/>
      <c r="Z178" s="35"/>
    </row>
  </sheetData>
  <pageMargins left="0.7" right="0.7" top="0.75" bottom="0.75" header="0.3" footer="0.3"/>
  <pageSetup orientation="portrait" r:id="rId1"/>
  <headerFooter>
    <oddFooter>&amp;L_x000D_&amp;1#&amp;"Aptos"&amp;10&amp;K000000 INTERNAL USE ONLY</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62680-1184-4599-A7EF-F2E696139D5C}">
  <sheetPr>
    <tabColor theme="5"/>
  </sheetPr>
  <dimension ref="A1:IM3"/>
  <sheetViews>
    <sheetView showGridLines="0" zoomScale="92" zoomScaleNormal="92" workbookViewId="0">
      <pane xSplit="2" ySplit="1" topLeftCell="C2" activePane="bottomRight" state="frozen"/>
      <selection pane="topRight" activeCell="C1" sqref="C1"/>
      <selection pane="bottomLeft" activeCell="A2" sqref="A2"/>
      <selection pane="bottomRight" activeCell="H3" sqref="H3"/>
    </sheetView>
  </sheetViews>
  <sheetFormatPr defaultColWidth="9.140625" defaultRowHeight="12.75"/>
  <cols>
    <col min="1" max="1" width="23.42578125" style="15" bestFit="1" customWidth="1"/>
    <col min="2" max="2" width="12" style="15" bestFit="1" customWidth="1"/>
    <col min="3" max="3" width="11.140625" style="15" customWidth="1"/>
    <col min="4" max="4" width="8.140625" style="15" bestFit="1" customWidth="1"/>
    <col min="5" max="5" width="18.42578125" style="15" bestFit="1" customWidth="1"/>
    <col min="6" max="7" width="18.42578125" style="15" customWidth="1"/>
    <col min="8" max="8" width="36.85546875" style="15" bestFit="1" customWidth="1"/>
    <col min="9" max="10" width="13.85546875" style="15" bestFit="1" customWidth="1"/>
    <col min="11" max="11" width="41.42578125" style="15" bestFit="1" customWidth="1"/>
    <col min="12" max="12" width="19.140625" style="15" bestFit="1" customWidth="1"/>
    <col min="13" max="13" width="12.42578125" style="15" bestFit="1" customWidth="1"/>
    <col min="14" max="14" width="11.140625" style="15" bestFit="1" customWidth="1"/>
    <col min="15" max="15" width="14.5703125" style="15" bestFit="1" customWidth="1"/>
    <col min="16" max="16" width="14" style="15" bestFit="1" customWidth="1"/>
    <col min="17" max="17" width="13.42578125" style="15" bestFit="1" customWidth="1"/>
    <col min="18" max="18" width="9.7109375" style="15" bestFit="1" customWidth="1"/>
    <col min="19" max="19" width="12.28515625" style="15" bestFit="1" customWidth="1"/>
    <col min="20" max="20" width="9.7109375" style="15" bestFit="1" customWidth="1"/>
    <col min="21" max="21" width="9.5703125" style="15" customWidth="1"/>
    <col min="22" max="22" width="15.85546875" style="15" customWidth="1"/>
    <col min="23" max="24" width="11.7109375" style="15" customWidth="1"/>
    <col min="25" max="25" width="7.85546875" style="15" bestFit="1" customWidth="1"/>
    <col min="26" max="26" width="9.7109375" style="15" bestFit="1" customWidth="1"/>
    <col min="27" max="27" width="7.85546875" style="15" bestFit="1" customWidth="1"/>
    <col min="28" max="29" width="14.85546875" style="15" bestFit="1" customWidth="1"/>
    <col min="30" max="33" width="17.85546875" style="15" customWidth="1"/>
    <col min="34" max="35" width="17.85546875" style="15" bestFit="1" customWidth="1"/>
    <col min="36" max="53" width="17.85546875" style="15" customWidth="1"/>
    <col min="54" max="57" width="22.85546875" style="15" bestFit="1" customWidth="1"/>
    <col min="58" max="59" width="18.42578125" style="15" bestFit="1" customWidth="1"/>
    <col min="60" max="60" width="28.5703125" style="15" bestFit="1" customWidth="1"/>
    <col min="61" max="61" width="27.28515625" style="15" bestFit="1" customWidth="1"/>
    <col min="62" max="64" width="18.42578125" style="15" customWidth="1"/>
    <col min="65" max="65" width="18.42578125" style="15" bestFit="1" customWidth="1"/>
    <col min="66" max="66" width="16.140625" style="15" bestFit="1" customWidth="1"/>
    <col min="67" max="16384" width="9.140625" style="15"/>
  </cols>
  <sheetData>
    <row r="1" spans="1:247" s="146" customFormat="1" ht="14.1" customHeight="1">
      <c r="A1" s="141" t="s">
        <v>78</v>
      </c>
      <c r="B1" s="142" t="s">
        <v>5</v>
      </c>
      <c r="C1" s="143" t="s">
        <v>84</v>
      </c>
      <c r="D1" s="143" t="s">
        <v>76</v>
      </c>
      <c r="E1" s="142" t="s">
        <v>965</v>
      </c>
      <c r="F1" s="142" t="s">
        <v>134</v>
      </c>
      <c r="G1" s="142" t="s">
        <v>11</v>
      </c>
      <c r="H1" s="142" t="s">
        <v>57</v>
      </c>
      <c r="I1" s="142" t="s">
        <v>604</v>
      </c>
      <c r="J1" s="142" t="s">
        <v>329</v>
      </c>
      <c r="K1" s="142" t="s">
        <v>139</v>
      </c>
      <c r="L1" s="142" t="s">
        <v>605</v>
      </c>
      <c r="M1" s="142" t="s">
        <v>152</v>
      </c>
      <c r="N1" s="142" t="s">
        <v>606</v>
      </c>
      <c r="O1" s="142" t="s">
        <v>274</v>
      </c>
      <c r="P1" s="142" t="s">
        <v>607</v>
      </c>
      <c r="Q1" s="142" t="s">
        <v>608</v>
      </c>
      <c r="R1" s="142" t="s">
        <v>609</v>
      </c>
      <c r="S1" s="142" t="s">
        <v>610</v>
      </c>
      <c r="T1" s="142" t="s">
        <v>611</v>
      </c>
      <c r="U1" s="142" t="s">
        <v>612</v>
      </c>
      <c r="V1" s="142" t="s">
        <v>613</v>
      </c>
      <c r="W1" s="142" t="s">
        <v>614</v>
      </c>
      <c r="X1" s="142" t="s">
        <v>615</v>
      </c>
      <c r="Y1" s="142" t="s">
        <v>616</v>
      </c>
      <c r="Z1" s="142" t="s">
        <v>617</v>
      </c>
      <c r="AA1" s="142" t="s">
        <v>618</v>
      </c>
      <c r="AB1" s="142" t="s">
        <v>619</v>
      </c>
      <c r="AC1" s="142" t="s">
        <v>620</v>
      </c>
      <c r="AD1" s="142" t="s">
        <v>621</v>
      </c>
      <c r="AE1" s="142" t="s">
        <v>622</v>
      </c>
      <c r="AF1" s="142" t="s">
        <v>623</v>
      </c>
      <c r="AG1" s="142" t="s">
        <v>624</v>
      </c>
      <c r="AH1" s="142" t="s">
        <v>625</v>
      </c>
      <c r="AI1" s="142" t="s">
        <v>626</v>
      </c>
      <c r="AJ1" s="142" t="s">
        <v>627</v>
      </c>
      <c r="AK1" s="142" t="s">
        <v>628</v>
      </c>
      <c r="AL1" s="142" t="s">
        <v>629</v>
      </c>
      <c r="AM1" s="142" t="s">
        <v>630</v>
      </c>
      <c r="AN1" s="142" t="s">
        <v>631</v>
      </c>
      <c r="AO1" s="142" t="s">
        <v>632</v>
      </c>
      <c r="AP1" s="142" t="s">
        <v>633</v>
      </c>
      <c r="AQ1" s="142" t="s">
        <v>634</v>
      </c>
      <c r="AR1" s="142" t="s">
        <v>635</v>
      </c>
      <c r="AS1" s="142" t="s">
        <v>636</v>
      </c>
      <c r="AT1" s="142" t="s">
        <v>637</v>
      </c>
      <c r="AU1" s="142" t="s">
        <v>638</v>
      </c>
      <c r="AV1" s="142" t="s">
        <v>155</v>
      </c>
      <c r="AW1" s="142" t="s">
        <v>440</v>
      </c>
      <c r="AX1" s="142" t="s">
        <v>275</v>
      </c>
      <c r="AY1" s="142" t="s">
        <v>157</v>
      </c>
      <c r="AZ1" s="142" t="s">
        <v>441</v>
      </c>
      <c r="BA1" s="142" t="s">
        <v>276</v>
      </c>
      <c r="BB1" s="142" t="s">
        <v>160</v>
      </c>
      <c r="BC1" s="142" t="s">
        <v>639</v>
      </c>
      <c r="BD1" s="142" t="s">
        <v>640</v>
      </c>
      <c r="BE1" s="142" t="s">
        <v>641</v>
      </c>
      <c r="BF1" s="142" t="s">
        <v>642</v>
      </c>
      <c r="BG1" s="142" t="s">
        <v>643</v>
      </c>
      <c r="BH1" s="142" t="s">
        <v>644</v>
      </c>
      <c r="BI1" s="142" t="s">
        <v>164</v>
      </c>
      <c r="BJ1" s="142" t="s">
        <v>278</v>
      </c>
      <c r="BK1" s="142" t="s">
        <v>645</v>
      </c>
      <c r="BL1" s="142" t="s">
        <v>646</v>
      </c>
      <c r="BM1" s="142" t="s">
        <v>647</v>
      </c>
      <c r="BN1" s="142" t="s">
        <v>648</v>
      </c>
      <c r="BO1" s="142" t="s">
        <v>649</v>
      </c>
      <c r="BP1" s="142" t="s">
        <v>650</v>
      </c>
      <c r="BQ1" s="142" t="s">
        <v>651</v>
      </c>
      <c r="BR1" s="142" t="s">
        <v>652</v>
      </c>
      <c r="BS1" s="142" t="s">
        <v>653</v>
      </c>
      <c r="BT1" s="142" t="s">
        <v>654</v>
      </c>
      <c r="BU1" s="142" t="s">
        <v>655</v>
      </c>
      <c r="BV1" s="142" t="s">
        <v>656</v>
      </c>
      <c r="BW1" s="142" t="s">
        <v>657</v>
      </c>
      <c r="BX1" s="142" t="s">
        <v>658</v>
      </c>
      <c r="BY1" s="142" t="s">
        <v>659</v>
      </c>
      <c r="BZ1" s="142" t="s">
        <v>660</v>
      </c>
      <c r="CA1" s="142" t="s">
        <v>661</v>
      </c>
      <c r="CB1" s="142" t="s">
        <v>662</v>
      </c>
      <c r="CC1" s="142" t="s">
        <v>663</v>
      </c>
      <c r="CD1" s="142" t="s">
        <v>664</v>
      </c>
      <c r="CE1" s="142" t="s">
        <v>665</v>
      </c>
      <c r="CF1" s="142" t="s">
        <v>666</v>
      </c>
      <c r="CG1" s="142" t="s">
        <v>667</v>
      </c>
      <c r="CH1" s="142" t="s">
        <v>668</v>
      </c>
      <c r="CI1" s="142" t="s">
        <v>669</v>
      </c>
      <c r="CJ1" s="142" t="s">
        <v>670</v>
      </c>
      <c r="CK1" s="142" t="s">
        <v>671</v>
      </c>
      <c r="CL1" s="142" t="s">
        <v>672</v>
      </c>
      <c r="CM1" s="142" t="s">
        <v>673</v>
      </c>
      <c r="CN1" s="142" t="s">
        <v>674</v>
      </c>
      <c r="CO1" s="142" t="s">
        <v>675</v>
      </c>
      <c r="CP1" s="142" t="s">
        <v>676</v>
      </c>
      <c r="CQ1" s="142" t="s">
        <v>677</v>
      </c>
      <c r="CR1" s="142" t="s">
        <v>678</v>
      </c>
      <c r="CS1" s="142" t="s">
        <v>679</v>
      </c>
      <c r="CT1" s="142" t="s">
        <v>680</v>
      </c>
      <c r="CU1" s="142" t="s">
        <v>681</v>
      </c>
      <c r="CV1" s="142" t="s">
        <v>682</v>
      </c>
      <c r="CW1" s="142" t="s">
        <v>683</v>
      </c>
      <c r="CX1" s="142" t="s">
        <v>684</v>
      </c>
      <c r="CY1" s="142" t="s">
        <v>685</v>
      </c>
      <c r="CZ1" s="142" t="s">
        <v>686</v>
      </c>
      <c r="DA1" s="142" t="s">
        <v>687</v>
      </c>
      <c r="DB1" s="142" t="s">
        <v>688</v>
      </c>
      <c r="DC1" s="142" t="s">
        <v>689</v>
      </c>
      <c r="DD1" s="142" t="s">
        <v>690</v>
      </c>
      <c r="DE1" s="142" t="s">
        <v>691</v>
      </c>
      <c r="DF1" s="142" t="s">
        <v>692</v>
      </c>
      <c r="DG1" s="142" t="s">
        <v>693</v>
      </c>
      <c r="DH1" s="142" t="s">
        <v>694</v>
      </c>
      <c r="DI1" s="142" t="s">
        <v>695</v>
      </c>
      <c r="DJ1" s="142" t="s">
        <v>696</v>
      </c>
      <c r="DK1" s="142" t="s">
        <v>167</v>
      </c>
      <c r="DL1" s="142" t="s">
        <v>170</v>
      </c>
      <c r="DM1" s="142" t="s">
        <v>697</v>
      </c>
      <c r="DN1" s="142" t="s">
        <v>174</v>
      </c>
      <c r="DO1" s="142" t="s">
        <v>177</v>
      </c>
      <c r="DP1" s="142" t="s">
        <v>288</v>
      </c>
      <c r="DQ1" s="142" t="s">
        <v>291</v>
      </c>
      <c r="DR1" s="142" t="s">
        <v>698</v>
      </c>
      <c r="DS1" s="142" t="s">
        <v>180</v>
      </c>
      <c r="DT1" s="142" t="s">
        <v>183</v>
      </c>
      <c r="DU1" s="142" t="s">
        <v>245</v>
      </c>
      <c r="DV1" s="142" t="s">
        <v>248</v>
      </c>
      <c r="DW1" s="142" t="s">
        <v>251</v>
      </c>
      <c r="DX1" s="142" t="s">
        <v>186</v>
      </c>
      <c r="DY1" s="142" t="s">
        <v>189</v>
      </c>
      <c r="DZ1" s="142" t="s">
        <v>254</v>
      </c>
      <c r="EA1" s="142" t="s">
        <v>257</v>
      </c>
      <c r="EB1" s="142" t="s">
        <v>260</v>
      </c>
      <c r="EC1" s="142" t="s">
        <v>699</v>
      </c>
      <c r="ED1" s="142" t="s">
        <v>700</v>
      </c>
      <c r="EE1" s="142" t="s">
        <v>701</v>
      </c>
      <c r="EF1" s="142" t="s">
        <v>702</v>
      </c>
      <c r="EG1" s="142" t="s">
        <v>703</v>
      </c>
      <c r="EH1" s="142" t="s">
        <v>704</v>
      </c>
      <c r="EI1" s="142" t="s">
        <v>705</v>
      </c>
      <c r="EJ1" s="142" t="s">
        <v>706</v>
      </c>
      <c r="EK1" s="142" t="s">
        <v>707</v>
      </c>
      <c r="EL1" s="142" t="s">
        <v>708</v>
      </c>
      <c r="EM1" s="142" t="s">
        <v>709</v>
      </c>
      <c r="EN1" s="142" t="s">
        <v>710</v>
      </c>
      <c r="EO1" s="142" t="s">
        <v>711</v>
      </c>
      <c r="EP1" s="142" t="s">
        <v>712</v>
      </c>
      <c r="EQ1" s="142" t="s">
        <v>713</v>
      </c>
      <c r="ER1" s="142" t="s">
        <v>714</v>
      </c>
      <c r="ES1" s="142" t="s">
        <v>715</v>
      </c>
      <c r="ET1" s="142" t="s">
        <v>716</v>
      </c>
      <c r="EU1" s="142" t="s">
        <v>717</v>
      </c>
      <c r="EV1" s="142" t="s">
        <v>718</v>
      </c>
      <c r="EW1" s="142" t="s">
        <v>719</v>
      </c>
      <c r="EX1" s="142" t="s">
        <v>720</v>
      </c>
      <c r="EY1" s="142" t="s">
        <v>721</v>
      </c>
      <c r="EZ1" s="142" t="s">
        <v>722</v>
      </c>
      <c r="FA1" s="142" t="s">
        <v>723</v>
      </c>
      <c r="FB1" s="142" t="s">
        <v>724</v>
      </c>
      <c r="FC1" s="142" t="s">
        <v>725</v>
      </c>
      <c r="FD1" s="142" t="s">
        <v>726</v>
      </c>
      <c r="FE1" s="142" t="s">
        <v>727</v>
      </c>
      <c r="FF1" s="142" t="s">
        <v>728</v>
      </c>
      <c r="FG1" s="142" t="s">
        <v>203</v>
      </c>
      <c r="FH1" s="142" t="s">
        <v>206</v>
      </c>
      <c r="FI1" s="142" t="s">
        <v>211</v>
      </c>
      <c r="FJ1" s="142" t="s">
        <v>212</v>
      </c>
      <c r="FK1" s="142" t="s">
        <v>214</v>
      </c>
      <c r="FL1" s="142" t="s">
        <v>215</v>
      </c>
      <c r="FM1" s="142" t="s">
        <v>527</v>
      </c>
      <c r="FN1" s="142" t="s">
        <v>528</v>
      </c>
      <c r="FO1" s="142" t="s">
        <v>529</v>
      </c>
      <c r="FP1" s="142" t="s">
        <v>530</v>
      </c>
      <c r="FQ1" s="142" t="s">
        <v>222</v>
      </c>
      <c r="FR1" s="142" t="s">
        <v>223</v>
      </c>
      <c r="FS1" s="142" t="s">
        <v>225</v>
      </c>
      <c r="FT1" s="142" t="s">
        <v>729</v>
      </c>
      <c r="FU1" s="142" t="s">
        <v>294</v>
      </c>
      <c r="FV1" s="142" t="s">
        <v>230</v>
      </c>
      <c r="FW1" s="142" t="s">
        <v>104</v>
      </c>
      <c r="FX1" s="142" t="s">
        <v>234</v>
      </c>
      <c r="FY1" s="142" t="s">
        <v>818</v>
      </c>
      <c r="FZ1" s="142" t="s">
        <v>816</v>
      </c>
      <c r="GA1" s="142" t="s">
        <v>281</v>
      </c>
      <c r="GB1" s="142" t="s">
        <v>237</v>
      </c>
      <c r="GC1" s="142" t="s">
        <v>282</v>
      </c>
      <c r="GD1" s="142" t="s">
        <v>239</v>
      </c>
      <c r="GE1" s="142" t="s">
        <v>283</v>
      </c>
      <c r="GF1" s="142" t="s">
        <v>242</v>
      </c>
      <c r="GG1" s="142" t="s">
        <v>525</v>
      </c>
      <c r="GH1" s="142" t="s">
        <v>261</v>
      </c>
      <c r="GI1" s="142" t="s">
        <v>264</v>
      </c>
      <c r="GJ1" s="142" t="s">
        <v>730</v>
      </c>
      <c r="GK1" s="142" t="s">
        <v>266</v>
      </c>
      <c r="GL1" s="142" t="s">
        <v>268</v>
      </c>
      <c r="GM1" s="144" t="s">
        <v>731</v>
      </c>
      <c r="GN1" s="144" t="s">
        <v>732</v>
      </c>
      <c r="GO1" s="144" t="s">
        <v>733</v>
      </c>
      <c r="GP1" s="144" t="s">
        <v>734</v>
      </c>
      <c r="GQ1" s="144" t="s">
        <v>605</v>
      </c>
      <c r="GR1" s="144" t="s">
        <v>735</v>
      </c>
      <c r="GS1" s="144" t="s">
        <v>736</v>
      </c>
      <c r="GT1" s="144" t="s">
        <v>737</v>
      </c>
      <c r="GU1" s="144" t="s">
        <v>738</v>
      </c>
      <c r="GV1" s="144" t="s">
        <v>736</v>
      </c>
      <c r="GW1" s="144" t="s">
        <v>739</v>
      </c>
      <c r="GX1" s="144" t="s">
        <v>740</v>
      </c>
      <c r="GY1" s="144" t="s">
        <v>736</v>
      </c>
      <c r="GZ1" s="144" t="s">
        <v>741</v>
      </c>
      <c r="HA1" s="144" t="s">
        <v>742</v>
      </c>
      <c r="HB1" s="144" t="s">
        <v>743</v>
      </c>
      <c r="HC1" s="144" t="s">
        <v>744</v>
      </c>
      <c r="HD1" s="144" t="s">
        <v>745</v>
      </c>
      <c r="HE1" s="144" t="s">
        <v>743</v>
      </c>
      <c r="HF1" s="144" t="s">
        <v>746</v>
      </c>
      <c r="HG1" s="144" t="s">
        <v>747</v>
      </c>
      <c r="HH1" s="144" t="s">
        <v>743</v>
      </c>
      <c r="HI1" s="144" t="s">
        <v>748</v>
      </c>
      <c r="HJ1" s="144" t="s">
        <v>749</v>
      </c>
      <c r="HK1" s="144" t="s">
        <v>743</v>
      </c>
      <c r="HL1" s="144" t="s">
        <v>750</v>
      </c>
      <c r="HM1" s="144" t="s">
        <v>751</v>
      </c>
      <c r="HN1" s="144" t="s">
        <v>752</v>
      </c>
      <c r="HO1" s="144" t="s">
        <v>753</v>
      </c>
      <c r="HP1" s="144" t="s">
        <v>754</v>
      </c>
      <c r="HQ1" s="144" t="s">
        <v>755</v>
      </c>
      <c r="HR1" s="144" t="s">
        <v>756</v>
      </c>
      <c r="HS1" s="144" t="s">
        <v>757</v>
      </c>
      <c r="HT1" s="144" t="s">
        <v>758</v>
      </c>
      <c r="HU1" s="144" t="s">
        <v>759</v>
      </c>
      <c r="HV1" s="144" t="s">
        <v>760</v>
      </c>
      <c r="HW1" s="144" t="s">
        <v>761</v>
      </c>
      <c r="HX1" s="144" t="s">
        <v>762</v>
      </c>
      <c r="HY1" s="144" t="s">
        <v>763</v>
      </c>
      <c r="HZ1" s="144" t="s">
        <v>764</v>
      </c>
      <c r="IA1" s="144" t="s">
        <v>765</v>
      </c>
      <c r="IB1" s="144" t="s">
        <v>766</v>
      </c>
      <c r="IC1" s="144" t="s">
        <v>767</v>
      </c>
      <c r="ID1" s="144" t="s">
        <v>768</v>
      </c>
      <c r="IE1" s="144" t="s">
        <v>769</v>
      </c>
      <c r="IF1" s="144" t="s">
        <v>770</v>
      </c>
      <c r="IG1" s="144" t="s">
        <v>771</v>
      </c>
      <c r="IH1" s="144" t="s">
        <v>772</v>
      </c>
      <c r="II1" s="144" t="s">
        <v>773</v>
      </c>
      <c r="IJ1" s="145" t="s">
        <v>774</v>
      </c>
      <c r="IK1" s="145" t="s">
        <v>775</v>
      </c>
      <c r="IL1" s="145" t="s">
        <v>776</v>
      </c>
      <c r="IM1" s="145" t="s">
        <v>777</v>
      </c>
    </row>
    <row r="2" spans="1:247" s="160" customFormat="1" ht="12.75" customHeight="1">
      <c r="A2" s="142" t="s">
        <v>965</v>
      </c>
      <c r="B2" s="142" t="s">
        <v>2</v>
      </c>
      <c r="C2" s="142" t="s">
        <v>2</v>
      </c>
      <c r="D2" s="142" t="s">
        <v>2</v>
      </c>
      <c r="E2" s="147" t="s">
        <v>2</v>
      </c>
      <c r="F2" s="147" t="s">
        <v>778</v>
      </c>
      <c r="G2" s="148" t="s">
        <v>971</v>
      </c>
      <c r="H2" s="251" t="str" cm="1">
        <f t="array" ref="H2">_xlfn.IFS(Global!B2="QA","https://cw.qa.travelexinsurance.net/",Global!B2="UAT","https://cw.uat.travelexinsurance.net/",Global!B2="PROD","https://cw.travelexinsurance.com")</f>
        <v>https://cw.uat.travelexinsurance.net/</v>
      </c>
      <c r="I2" s="149">
        <f t="shared" ref="I2" ca="1" si="0">TODAY()</f>
        <v>46266</v>
      </c>
      <c r="J2" s="149"/>
      <c r="K2" s="150"/>
      <c r="L2" s="150" t="s">
        <v>873</v>
      </c>
      <c r="M2" s="150" t="s">
        <v>975</v>
      </c>
      <c r="N2" s="150"/>
      <c r="O2" s="150" t="s">
        <v>976</v>
      </c>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c r="AP2" s="150"/>
      <c r="AQ2" s="150"/>
      <c r="AR2" s="150"/>
      <c r="AS2" s="150"/>
      <c r="AT2" s="150"/>
      <c r="AU2" s="150"/>
      <c r="AV2" s="151" t="str">
        <f t="shared" ref="AV2" ca="1" si="1">TEXT(I2+1,"mm/dd/yyyy")</f>
        <v>09/02/2026</v>
      </c>
      <c r="AW2" s="152" t="str">
        <f t="shared" ref="AW2" ca="1" si="2">TEXT(I2+7,"mm/dd/yyyy")</f>
        <v>09/08/2026</v>
      </c>
      <c r="AX2" s="153" t="str">
        <f t="shared" ref="AX2" ca="1" si="3">TEXT(I2+7,"mm/dd/yyyy")</f>
        <v>09/08/2026</v>
      </c>
      <c r="AY2" s="154" t="str">
        <f t="shared" ref="AY2" ca="1" si="4">TEXT(AV2+89,"mm/dd/yyyy")</f>
        <v>11/30/2026</v>
      </c>
      <c r="AZ2" s="152" t="str">
        <f t="shared" ref="AZ2" ca="1" si="5">TEXT(AW2+14,"mm/dd/yyyy")</f>
        <v>09/22/2026</v>
      </c>
      <c r="BA2" s="153" t="str">
        <f t="shared" ref="BA2" ca="1" si="6">TEXT(AV2+14,"mm/dd/yyyy")</f>
        <v>09/16/2026</v>
      </c>
      <c r="BB2" s="155" t="str">
        <f t="shared" ref="BB2" ca="1" si="7">TEXT(I2-1,"mm/dd/yyyy")</f>
        <v>08/31/2026</v>
      </c>
      <c r="BC2" s="155"/>
      <c r="BD2" s="155"/>
      <c r="BE2" s="155"/>
      <c r="BF2" s="155"/>
      <c r="BG2" s="155"/>
      <c r="BH2" s="155"/>
      <c r="BI2" s="156" t="s">
        <v>783</v>
      </c>
      <c r="BJ2" s="147" t="s">
        <v>979</v>
      </c>
      <c r="BK2" s="147" t="s">
        <v>784</v>
      </c>
      <c r="BL2" s="156"/>
      <c r="BM2" s="147"/>
      <c r="BN2" s="147"/>
      <c r="BO2" s="156"/>
      <c r="BP2" s="147"/>
      <c r="BQ2" s="147"/>
      <c r="BR2" s="156"/>
      <c r="BS2" s="147"/>
      <c r="BT2" s="147"/>
      <c r="BU2" s="156"/>
      <c r="BV2" s="147"/>
      <c r="BW2" s="147"/>
      <c r="BX2" s="156"/>
      <c r="BY2" s="147"/>
      <c r="BZ2" s="147"/>
      <c r="CA2" s="156"/>
      <c r="CB2" s="147"/>
      <c r="CC2" s="147"/>
      <c r="CD2" s="156"/>
      <c r="CE2" s="147"/>
      <c r="CF2" s="147"/>
      <c r="CG2" s="156"/>
      <c r="CH2" s="147"/>
      <c r="CI2" s="147"/>
      <c r="CJ2" s="156"/>
      <c r="CK2" s="147"/>
      <c r="CL2" s="147"/>
      <c r="CM2" s="156"/>
      <c r="CN2" s="147"/>
      <c r="CO2" s="147"/>
      <c r="CP2" s="156"/>
      <c r="CQ2" s="147"/>
      <c r="CR2" s="147"/>
      <c r="CS2" s="156"/>
      <c r="CT2" s="147"/>
      <c r="CU2" s="147"/>
      <c r="CV2" s="156"/>
      <c r="CW2" s="147"/>
      <c r="CX2" s="147"/>
      <c r="CY2" s="156"/>
      <c r="CZ2" s="147"/>
      <c r="DA2" s="147"/>
      <c r="DB2" s="156"/>
      <c r="DC2" s="147"/>
      <c r="DD2" s="147"/>
      <c r="DE2" s="156"/>
      <c r="DF2" s="147"/>
      <c r="DG2" s="147"/>
      <c r="DH2" s="156"/>
      <c r="DI2" s="147"/>
      <c r="DJ2" s="147"/>
      <c r="DK2" s="156" t="s">
        <v>786</v>
      </c>
      <c r="DL2" s="156" t="s">
        <v>787</v>
      </c>
      <c r="DM2" s="157" t="s">
        <v>88</v>
      </c>
      <c r="DN2" s="156" t="s">
        <v>86</v>
      </c>
      <c r="DO2" s="156" t="s">
        <v>788</v>
      </c>
      <c r="DP2" s="156" t="str">
        <f t="shared" ref="DP2" ca="1" si="8">"QAFIRSTNAME"&amp;CHAR(RANDBETWEEN(65,90))&amp;CHAR(RANDBETWEEN(65,90))</f>
        <v>QAFIRSTNAMEAI</v>
      </c>
      <c r="DQ2" s="156" t="str">
        <f t="shared" ref="DQ2" ca="1" si="9">"QALASTNAME"&amp;CHAR(RANDBETWEEN(65,90))&amp;CHAR(RANDBETWEEN(65,90))</f>
        <v>QALASTNAMEPV</v>
      </c>
      <c r="DR2" s="156" t="str">
        <f ca="1">TEXT(DATE(YEAR(TODAY())-DN2,MONTH(TODAY()),DAY(TODAY())),"MM/DD/YYYY")</f>
        <v>09/01/2008</v>
      </c>
      <c r="DS2" s="156"/>
      <c r="DT2" s="156"/>
      <c r="DU2" s="156"/>
      <c r="DV2" s="156"/>
      <c r="DW2" s="156"/>
      <c r="DX2" s="156"/>
      <c r="DY2" s="156"/>
      <c r="DZ2" s="156"/>
      <c r="EA2" s="156"/>
      <c r="EB2" s="156"/>
      <c r="EC2" s="156"/>
      <c r="ED2" s="156"/>
      <c r="EE2" s="156"/>
      <c r="EF2" s="156"/>
      <c r="EG2" s="156"/>
      <c r="EH2" s="156"/>
      <c r="EI2" s="156"/>
      <c r="EJ2" s="156"/>
      <c r="EK2" s="156"/>
      <c r="EL2" s="156"/>
      <c r="EM2" s="156"/>
      <c r="EN2" s="156"/>
      <c r="EO2" s="156"/>
      <c r="EP2" s="156"/>
      <c r="EQ2" s="156"/>
      <c r="ER2" s="156"/>
      <c r="ES2" s="156"/>
      <c r="ET2" s="156"/>
      <c r="EU2" s="156"/>
      <c r="EV2" s="156"/>
      <c r="EW2" s="156"/>
      <c r="EX2" s="156"/>
      <c r="EY2" s="156"/>
      <c r="EZ2" s="156"/>
      <c r="FA2" s="156"/>
      <c r="FB2" s="156"/>
      <c r="FC2" s="156"/>
      <c r="FD2" s="156"/>
      <c r="FE2" s="156"/>
      <c r="FF2" s="156"/>
      <c r="FG2" s="147" t="str">
        <f t="shared" ref="FG2" ca="1" si="10">TEXT(AV2,"mm/dd/yyyy")</f>
        <v>09/02/2026</v>
      </c>
      <c r="FH2" s="147" t="str">
        <f t="shared" ref="FH2" ca="1" si="11">TEXT(AV2+1,"mm/dd/yyyy")</f>
        <v>09/03/2026</v>
      </c>
      <c r="FI2" s="147" t="str">
        <f t="shared" ref="FI2:FL2" ca="1" si="12">TEXT(FH2+1,"mm/dd/yyyy")</f>
        <v>09/04/2026</v>
      </c>
      <c r="FJ2" s="147" t="str">
        <f t="shared" ca="1" si="12"/>
        <v>09/05/2026</v>
      </c>
      <c r="FK2" s="147" t="str">
        <f t="shared" ca="1" si="12"/>
        <v>09/06/2026</v>
      </c>
      <c r="FL2" s="147" t="str">
        <f t="shared" ca="1" si="12"/>
        <v>09/07/2026</v>
      </c>
      <c r="FM2" s="147" t="str">
        <f t="shared" ref="FM2" ca="1" si="13">TEXT(FL2+7,"mm/dd/yyyy")</f>
        <v>09/14/2026</v>
      </c>
      <c r="FN2" s="147" t="str">
        <f t="shared" ref="FN2:FP2" ca="1" si="14">TEXT(FM2+1,"mm/dd/yyyy")</f>
        <v>09/15/2026</v>
      </c>
      <c r="FO2" s="147" t="str">
        <f t="shared" ca="1" si="14"/>
        <v>09/16/2026</v>
      </c>
      <c r="FP2" s="147" t="str">
        <f t="shared" ca="1" si="14"/>
        <v>09/17/2026</v>
      </c>
      <c r="FQ2" s="156" t="str">
        <f t="shared" ref="FQ2" ca="1" si="15">"QAFIRSTNAME"&amp;CHAR(RANDBETWEEN(65,90))&amp;CHAR(RANDBETWEEN(65,90))</f>
        <v>QAFIRSTNAMEWE</v>
      </c>
      <c r="FR2" s="147" t="str">
        <f t="shared" ref="FR2" ca="1" si="16">"QALASTNAME"&amp;CHAR(RANDBETWEEN(65,90))&amp;CHAR(RANDBETWEEN(65,90))</f>
        <v>QALASTNAMELZ</v>
      </c>
      <c r="FS2" s="147" t="str">
        <f t="shared" ref="FS2" ca="1" si="17">TEXT(DATE(YEAR(TODAY())-DK2,MONTH(TODAY()),DAY(TODAY())),"MM/DD/YYYY")</f>
        <v>09/01/1916</v>
      </c>
      <c r="FT2" s="147"/>
      <c r="FU2" s="147" t="str">
        <f t="shared" ref="FU2" ca="1" si="18">TEXT(DATE(YEAR(TODAY())-DN2,MONTH(TODAY()),DAY(TODAY())),"MM/DD/YYYY")</f>
        <v>09/01/2008</v>
      </c>
      <c r="FV2" s="156" t="s">
        <v>791</v>
      </c>
      <c r="FW2" s="156" t="s">
        <v>813</v>
      </c>
      <c r="FX2" s="156" t="s">
        <v>812</v>
      </c>
      <c r="FY2" s="156" t="s">
        <v>819</v>
      </c>
      <c r="FZ2" s="156" t="s">
        <v>978</v>
      </c>
      <c r="GA2" s="156" t="s">
        <v>977</v>
      </c>
      <c r="GB2" s="156" t="s">
        <v>483</v>
      </c>
      <c r="GC2" s="156" t="s">
        <v>793</v>
      </c>
      <c r="GD2" s="158" t="s">
        <v>794</v>
      </c>
      <c r="GE2" s="158" t="s">
        <v>101</v>
      </c>
      <c r="GF2" s="156" t="s">
        <v>795</v>
      </c>
      <c r="GG2" s="156" t="s">
        <v>795</v>
      </c>
      <c r="GH2" s="147" t="s">
        <v>796</v>
      </c>
      <c r="GI2" s="156" t="s">
        <v>797</v>
      </c>
      <c r="GJ2" s="156"/>
      <c r="GK2" s="156" t="s">
        <v>106</v>
      </c>
      <c r="GL2" s="156" t="s">
        <v>798</v>
      </c>
      <c r="GM2" s="159"/>
      <c r="GN2" s="161" t="str">
        <f>IF(DL2=GM2,"PASSED","FAILED")</f>
        <v>FAILED</v>
      </c>
      <c r="GO2" s="159"/>
      <c r="GP2" s="159"/>
      <c r="GQ2" s="159"/>
      <c r="GR2" s="159"/>
      <c r="GS2" s="159"/>
      <c r="GT2" s="159"/>
      <c r="GU2" s="159"/>
      <c r="GV2" s="159"/>
      <c r="GW2" s="159"/>
      <c r="GX2" s="159"/>
      <c r="GY2" s="159"/>
      <c r="GZ2" s="159"/>
      <c r="HA2" s="159"/>
      <c r="HB2" s="159"/>
      <c r="HC2" s="159"/>
      <c r="HD2" s="159"/>
      <c r="HE2" s="159"/>
      <c r="HF2" s="159"/>
      <c r="HG2" s="159"/>
      <c r="HH2" s="159"/>
      <c r="HI2" s="159"/>
      <c r="HJ2" s="159"/>
      <c r="HK2" s="159"/>
      <c r="HL2" s="162"/>
      <c r="HM2" s="159"/>
      <c r="HN2" s="159"/>
      <c r="HO2" s="159"/>
      <c r="HP2" s="159"/>
      <c r="HQ2" s="159"/>
      <c r="HR2" s="159"/>
      <c r="HS2" s="159"/>
      <c r="HT2" s="159"/>
      <c r="HU2" s="159"/>
      <c r="HV2" s="159"/>
      <c r="HW2" s="159"/>
      <c r="HX2" s="159"/>
      <c r="HY2" s="159"/>
      <c r="HZ2" s="159"/>
      <c r="IA2" s="159"/>
      <c r="IB2" s="159"/>
      <c r="IC2" s="159"/>
      <c r="ID2" s="159"/>
      <c r="IE2" s="159"/>
      <c r="IF2" s="159"/>
      <c r="IG2" s="159"/>
      <c r="IH2" s="159"/>
      <c r="II2" s="159"/>
      <c r="IJ2" s="147"/>
      <c r="IK2" s="147"/>
      <c r="IL2" s="147"/>
      <c r="IM2" s="147"/>
    </row>
    <row r="3" spans="1:247">
      <c r="H3" s="15" t="str" cm="1">
        <f t="array" ref="H3">_xlfn.IFS(Global!B2="QA","https://cw.qa.travelexinsurance.net/",Global!B2="UAT","https://cw.uat.travelexinsurance.net/",Global!B2="PROD","https://cw.travelexinsurance.com")</f>
        <v>https://cw.uat.travelexinsurance.net/</v>
      </c>
    </row>
  </sheetData>
  <conditionalFormatting sqref="A2:E2">
    <cfRule type="cellIs" dxfId="15" priority="3" stopIfTrue="1" operator="equal">
      <formula>"N"</formula>
    </cfRule>
    <cfRule type="cellIs" dxfId="14" priority="4" stopIfTrue="1" operator="equal">
      <formula>"Y"</formula>
    </cfRule>
  </conditionalFormatting>
  <conditionalFormatting sqref="E1">
    <cfRule type="cellIs" dxfId="13" priority="1" stopIfTrue="1" operator="equal">
      <formula>"N"</formula>
    </cfRule>
    <cfRule type="cellIs" dxfId="12" priority="2" stopIfTrue="1" operator="equal">
      <formula>"Y"</formula>
    </cfRule>
  </conditionalFormatting>
  <conditionalFormatting sqref="GN2 HN2 HQ2 HT2 HW2 HZ2 IC2 IF2 II2">
    <cfRule type="containsText" dxfId="11" priority="5" operator="containsText" text="FAILED">
      <formula>NOT(ISERROR(SEARCH("FAILED",GN2)))</formula>
    </cfRule>
    <cfRule type="containsText" dxfId="10" priority="6" operator="containsText" text="FAILED">
      <formula>NOT(ISERROR(SEARCH("FAILED",GN2)))</formula>
    </cfRule>
    <cfRule type="cellIs" dxfId="9" priority="7" operator="equal">
      <formula>"FAILED"</formula>
    </cfRule>
    <cfRule type="cellIs" dxfId="8" priority="8" operator="equal">
      <formula>"PASSED"</formula>
    </cfRule>
  </conditionalFormatting>
  <dataValidations count="1">
    <dataValidation type="list" allowBlank="1" showInputMessage="1" showErrorMessage="1" sqref="GN2" xr:uid="{E9353489-CE26-4891-924A-829EDE9301F9}">
      <formula1>"PASSED, FAILED"</formula1>
    </dataValidation>
  </dataValidations>
  <hyperlinks>
    <hyperlink ref="AV2" r:id="rId1" display="qa@travelguard.com" xr:uid="{CF97AE2F-02F2-4E7B-A1B6-2D8FF9C7C435}"/>
    <hyperlink ref="AX2" r:id="rId2" display="qa@travelguard.com" xr:uid="{4D3E21DE-E8DF-41F2-BC0A-5DDB34808E94}"/>
    <hyperlink ref="BA2" r:id="rId3" display="qa@travelguard.com" xr:uid="{5C3E7846-381E-44EF-8532-BE85772B48C3}"/>
    <hyperlink ref="GD2" r:id="rId4" display="qa@travelex.com" xr:uid="{D12A60FC-7723-4C52-97A9-7FE4E31D934E}"/>
    <hyperlink ref="GE2" r:id="rId5" display="qa@travelex.com" xr:uid="{44EA4293-98F3-46ED-8C31-5E890B8C4960}"/>
    <hyperlink ref="H2" r:id="rId6" display="https://preview.uat.insurancebytravelex.com" xr:uid="{C0B810F4-2E96-49E9-86BF-673590EAF2A7}"/>
  </hyperlinks>
  <pageMargins left="0.7" right="0.7" top="0.75" bottom="0.75" header="0.3" footer="0.3"/>
  <pageSetup orientation="portrait" r:id="rId7"/>
  <headerFooter>
    <oddFooter>&amp;L_x000D_&amp;1#&amp;"Aptos"&amp;10&amp;K000000 INTERNAL USE ONLY</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D6C75-1E84-4A5E-89F1-2B1F2160CEBC}">
  <sheetPr>
    <tabColor theme="5"/>
    <outlinePr summaryBelow="0"/>
  </sheetPr>
  <dimension ref="A1:Z177"/>
  <sheetViews>
    <sheetView showGridLines="0" zoomScale="85" zoomScaleNormal="85" workbookViewId="0">
      <pane ySplit="1" topLeftCell="A131" activePane="bottomLeft" state="frozen"/>
      <selection activeCell="E20" sqref="E20"/>
      <selection pane="bottomLeft" activeCell="A145" sqref="A145"/>
    </sheetView>
  </sheetViews>
  <sheetFormatPr defaultColWidth="9.140625" defaultRowHeight="12.75" outlineLevelRow="1"/>
  <cols>
    <col min="1" max="1" width="27.42578125" style="13" customWidth="1"/>
    <col min="2" max="2" width="12.42578125" style="14" bestFit="1" customWidth="1"/>
    <col min="3" max="3" width="23.140625" style="13" customWidth="1"/>
    <col min="4" max="4" width="8.5703125" style="13" customWidth="1"/>
    <col min="5" max="5" width="10.85546875" style="13" customWidth="1"/>
    <col min="6" max="6" width="10.42578125" style="13" customWidth="1"/>
    <col min="7" max="7" width="22.140625" style="13" bestFit="1" customWidth="1"/>
    <col min="8" max="9" width="9.140625" style="13"/>
    <col min="10" max="10" width="62.5703125" style="13" bestFit="1" customWidth="1"/>
    <col min="11" max="11" width="9.140625" style="14"/>
    <col min="12" max="12" width="14.140625" style="13" bestFit="1" customWidth="1"/>
    <col min="13" max="13" width="19" style="13" customWidth="1"/>
    <col min="14" max="14" width="15.5703125" style="13" bestFit="1" customWidth="1"/>
    <col min="15" max="15" width="7.85546875" style="13" customWidth="1"/>
    <col min="16" max="16" width="9.5703125" style="13" bestFit="1" customWidth="1"/>
    <col min="17" max="17" width="9.85546875" style="13" bestFit="1" customWidth="1"/>
    <col min="18" max="18" width="20.140625" style="13" customWidth="1"/>
    <col min="19" max="19" width="22.85546875" style="13" bestFit="1" customWidth="1"/>
    <col min="20" max="20" width="12" style="13" bestFit="1" customWidth="1"/>
    <col min="21" max="21" width="8.42578125" style="13" bestFit="1" customWidth="1"/>
    <col min="22" max="22" width="5.85546875" style="13" bestFit="1" customWidth="1"/>
    <col min="23" max="23" width="9" style="13" bestFit="1" customWidth="1"/>
    <col min="24" max="24" width="8.42578125" style="13" bestFit="1" customWidth="1"/>
    <col min="25" max="25" width="7.85546875" style="13" bestFit="1" customWidth="1"/>
    <col min="26" max="16384" width="9.140625" style="9"/>
  </cols>
  <sheetData>
    <row r="1" spans="1:26">
      <c r="A1" s="29" t="s">
        <v>5</v>
      </c>
      <c r="B1" s="7" t="s">
        <v>28</v>
      </c>
      <c r="C1" s="7" t="s">
        <v>29</v>
      </c>
      <c r="D1" s="7" t="s">
        <v>1</v>
      </c>
      <c r="E1" s="7" t="s">
        <v>26</v>
      </c>
      <c r="F1" s="8" t="s">
        <v>53</v>
      </c>
      <c r="G1" s="7" t="s">
        <v>27</v>
      </c>
      <c r="H1" s="7" t="s">
        <v>47</v>
      </c>
      <c r="I1" s="7" t="s">
        <v>42</v>
      </c>
      <c r="J1" s="7" t="s">
        <v>43</v>
      </c>
      <c r="K1" s="7" t="s">
        <v>30</v>
      </c>
      <c r="L1" s="7" t="s">
        <v>31</v>
      </c>
      <c r="M1" s="7" t="s">
        <v>7</v>
      </c>
      <c r="N1" s="7" t="s">
        <v>44</v>
      </c>
      <c r="O1" s="7" t="s">
        <v>46</v>
      </c>
      <c r="P1" s="7" t="s">
        <v>52</v>
      </c>
      <c r="Q1" s="7" t="s">
        <v>51</v>
      </c>
      <c r="R1" s="7" t="s">
        <v>45</v>
      </c>
      <c r="S1" s="7" t="s">
        <v>32</v>
      </c>
      <c r="T1" s="7" t="s">
        <v>48</v>
      </c>
      <c r="U1" s="7" t="s">
        <v>41</v>
      </c>
      <c r="V1" s="7" t="s">
        <v>129</v>
      </c>
      <c r="W1" s="7" t="s">
        <v>11</v>
      </c>
      <c r="X1" s="7" t="s">
        <v>49</v>
      </c>
      <c r="Y1" s="7" t="s">
        <v>50</v>
      </c>
      <c r="Z1" s="7" t="s">
        <v>3</v>
      </c>
    </row>
    <row r="2" spans="1:26" ht="12.75" customHeight="1">
      <c r="A2" s="30" t="s">
        <v>968</v>
      </c>
      <c r="B2" s="31"/>
      <c r="C2" s="31"/>
      <c r="D2" s="32"/>
      <c r="E2" s="32"/>
      <c r="F2" s="31"/>
      <c r="G2" s="32"/>
      <c r="H2" s="32"/>
      <c r="I2" s="32"/>
      <c r="J2" s="32"/>
      <c r="K2" s="31"/>
      <c r="L2" s="32"/>
      <c r="M2" s="32"/>
      <c r="N2" s="32"/>
      <c r="O2" s="32"/>
      <c r="P2" s="32"/>
      <c r="Q2" s="32"/>
      <c r="R2" s="32"/>
      <c r="S2" s="32"/>
      <c r="T2" s="32"/>
      <c r="U2" s="32"/>
      <c r="V2" s="32"/>
      <c r="W2" s="32"/>
      <c r="X2" s="32"/>
      <c r="Y2" s="32"/>
      <c r="Z2" s="32"/>
    </row>
    <row r="3" spans="1:26" outlineLevel="1">
      <c r="A3" s="53" t="str">
        <f>IF(OR(Global!B25="N"),"N","bln696153")</f>
        <v>N</v>
      </c>
      <c r="B3" s="198">
        <f>COUNTA($B$1:B2)</f>
        <v>1</v>
      </c>
      <c r="C3" s="35" t="s">
        <v>132</v>
      </c>
      <c r="D3" s="35"/>
      <c r="E3" s="35"/>
      <c r="F3" s="34"/>
      <c r="G3" s="35" t="s">
        <v>969</v>
      </c>
      <c r="H3" s="35"/>
      <c r="I3" s="35"/>
      <c r="J3" s="35"/>
      <c r="K3" s="69"/>
      <c r="L3" s="35" t="s">
        <v>67</v>
      </c>
      <c r="M3" s="36">
        <v>1</v>
      </c>
      <c r="N3" s="35"/>
      <c r="O3" s="35" t="s">
        <v>2</v>
      </c>
      <c r="P3" s="35"/>
      <c r="Q3" s="35"/>
      <c r="R3" s="35" t="s">
        <v>57</v>
      </c>
      <c r="S3" s="35"/>
      <c r="T3" s="35"/>
      <c r="U3" s="35"/>
      <c r="V3" s="35"/>
      <c r="W3" s="35"/>
      <c r="X3" s="35"/>
      <c r="Y3" s="35"/>
      <c r="Z3" s="35"/>
    </row>
    <row r="4" spans="1:26" outlineLevel="1">
      <c r="A4" s="53" t="str">
        <f>IF(OR(Global!B25="N"),"N","bln696153")</f>
        <v>N</v>
      </c>
      <c r="B4" s="198">
        <f>COUNTA($B$1:B3)</f>
        <v>2</v>
      </c>
      <c r="C4" s="35" t="s">
        <v>947</v>
      </c>
      <c r="D4" s="35"/>
      <c r="E4" s="35"/>
      <c r="F4" s="34"/>
      <c r="G4" s="35" t="s">
        <v>969</v>
      </c>
      <c r="H4" s="35" t="s">
        <v>134</v>
      </c>
      <c r="I4" s="35"/>
      <c r="J4" s="35"/>
      <c r="K4" s="69"/>
      <c r="L4" s="35" t="s">
        <v>33</v>
      </c>
      <c r="M4" s="36" t="str">
        <f>"URL:="&amp;R3&amp;";;HEADLESS:=TRUE"</f>
        <v>URL:=DT_URL;;HEADLESS:=TRUE</v>
      </c>
      <c r="N4" s="35"/>
      <c r="O4" s="35"/>
      <c r="P4" s="35"/>
      <c r="Q4" s="35">
        <v>60</v>
      </c>
      <c r="R4" s="35"/>
      <c r="S4" s="35"/>
      <c r="T4" s="35"/>
      <c r="U4" s="35"/>
      <c r="V4" s="35"/>
      <c r="W4" s="35"/>
      <c r="X4" s="35"/>
      <c r="Y4" s="35"/>
      <c r="Z4" s="35"/>
    </row>
    <row r="5" spans="1:26" s="201" customFormat="1">
      <c r="A5" s="197" t="str">
        <f>IF(OR(Global!B25="Y"),"N","bln696153")</f>
        <v>bln696153</v>
      </c>
      <c r="B5" s="198">
        <f>COUNTA($B$1:B4)</f>
        <v>3</v>
      </c>
      <c r="C5" s="199" t="s">
        <v>132</v>
      </c>
      <c r="D5" s="199"/>
      <c r="E5" s="199"/>
      <c r="F5" s="198"/>
      <c r="G5" s="199" t="s">
        <v>969</v>
      </c>
      <c r="H5" s="199" t="s">
        <v>134</v>
      </c>
      <c r="I5" s="199"/>
      <c r="J5" s="199"/>
      <c r="K5" s="198"/>
      <c r="L5" s="199" t="s">
        <v>33</v>
      </c>
      <c r="M5" s="200" t="s">
        <v>57</v>
      </c>
      <c r="N5" s="199"/>
      <c r="O5" s="199"/>
      <c r="P5" s="199"/>
      <c r="Q5" s="199">
        <v>60</v>
      </c>
      <c r="R5" s="199"/>
      <c r="S5" s="199"/>
      <c r="T5" s="199"/>
      <c r="U5" s="199"/>
      <c r="V5" s="199"/>
      <c r="W5" s="199"/>
      <c r="X5" s="199"/>
      <c r="Y5" s="199"/>
      <c r="Z5" s="199"/>
    </row>
    <row r="6" spans="1:26" s="201" customFormat="1">
      <c r="A6" s="202" t="s">
        <v>21</v>
      </c>
      <c r="B6" s="198">
        <f>COUNTA($B$1:B5)</f>
        <v>4</v>
      </c>
      <c r="C6" s="202" t="s">
        <v>67</v>
      </c>
      <c r="D6" s="202"/>
      <c r="E6" s="202"/>
      <c r="F6" s="202"/>
      <c r="G6" s="199" t="s">
        <v>969</v>
      </c>
      <c r="H6" s="202"/>
      <c r="I6" s="202"/>
      <c r="J6" s="202"/>
      <c r="K6" s="203"/>
      <c r="L6" s="202" t="s">
        <v>67</v>
      </c>
      <c r="M6" s="202">
        <v>5</v>
      </c>
      <c r="N6" s="202"/>
      <c r="O6" s="202"/>
      <c r="P6" s="202"/>
      <c r="Q6" s="202"/>
      <c r="R6" s="204"/>
      <c r="S6" s="202"/>
      <c r="T6" s="202"/>
      <c r="U6" s="202"/>
      <c r="V6" s="202"/>
      <c r="W6" s="202"/>
      <c r="X6" s="202"/>
      <c r="Y6" s="202"/>
      <c r="Z6" s="199"/>
    </row>
    <row r="7" spans="1:26" s="201" customFormat="1">
      <c r="A7" s="202" t="s">
        <v>21</v>
      </c>
      <c r="B7" s="198">
        <f>COUNTA($B$1:B6)</f>
        <v>5</v>
      </c>
      <c r="C7" s="202" t="s">
        <v>68</v>
      </c>
      <c r="D7" s="202"/>
      <c r="E7" s="202"/>
      <c r="F7" s="202"/>
      <c r="G7" s="199" t="s">
        <v>969</v>
      </c>
      <c r="H7" s="202"/>
      <c r="I7" s="202" t="s">
        <v>55</v>
      </c>
      <c r="J7" s="202" t="s">
        <v>71</v>
      </c>
      <c r="K7" s="203">
        <v>0</v>
      </c>
      <c r="L7" s="202" t="s">
        <v>0</v>
      </c>
      <c r="M7" s="202" t="s">
        <v>74</v>
      </c>
      <c r="N7" s="202"/>
      <c r="O7" s="202" t="s">
        <v>2</v>
      </c>
      <c r="P7" s="202"/>
      <c r="Q7" s="205">
        <v>5</v>
      </c>
      <c r="R7" s="204"/>
      <c r="S7" s="202"/>
      <c r="T7" s="202"/>
      <c r="U7" s="202"/>
      <c r="V7" s="202"/>
      <c r="W7" s="202"/>
      <c r="X7" s="202"/>
      <c r="Y7" s="202"/>
      <c r="Z7" s="199"/>
    </row>
    <row r="8" spans="1:26" s="201" customFormat="1">
      <c r="A8" s="202" t="s">
        <v>21</v>
      </c>
      <c r="B8" s="198">
        <f>COUNTA($B$1:B7)</f>
        <v>6</v>
      </c>
      <c r="C8" s="202" t="s">
        <v>69</v>
      </c>
      <c r="D8" s="202"/>
      <c r="E8" s="202"/>
      <c r="F8" s="202"/>
      <c r="G8" s="199" t="s">
        <v>969</v>
      </c>
      <c r="H8" s="202"/>
      <c r="I8" s="202" t="s">
        <v>55</v>
      </c>
      <c r="J8" s="202" t="s">
        <v>72</v>
      </c>
      <c r="K8" s="203">
        <v>0</v>
      </c>
      <c r="L8" s="202" t="s">
        <v>0</v>
      </c>
      <c r="M8" s="202" t="s">
        <v>75</v>
      </c>
      <c r="N8" s="202"/>
      <c r="O8" s="202" t="s">
        <v>2</v>
      </c>
      <c r="P8" s="202"/>
      <c r="Q8" s="202"/>
      <c r="R8" s="204"/>
      <c r="S8" s="202"/>
      <c r="T8" s="202"/>
      <c r="U8" s="202"/>
      <c r="V8" s="202"/>
      <c r="W8" s="202"/>
      <c r="X8" s="202"/>
      <c r="Y8" s="202"/>
      <c r="Z8" s="199"/>
    </row>
    <row r="9" spans="1:26" s="201" customFormat="1">
      <c r="A9" s="202" t="s">
        <v>21</v>
      </c>
      <c r="B9" s="198">
        <f>COUNTA($B$1:B8)</f>
        <v>7</v>
      </c>
      <c r="C9" s="202" t="s">
        <v>70</v>
      </c>
      <c r="D9" s="202"/>
      <c r="E9" s="202"/>
      <c r="F9" s="202"/>
      <c r="G9" s="199" t="s">
        <v>969</v>
      </c>
      <c r="H9" s="202"/>
      <c r="I9" s="202" t="s">
        <v>55</v>
      </c>
      <c r="J9" s="202" t="s">
        <v>73</v>
      </c>
      <c r="K9" s="203">
        <v>0</v>
      </c>
      <c r="L9" s="202" t="s">
        <v>34</v>
      </c>
      <c r="M9" s="202"/>
      <c r="N9" s="202"/>
      <c r="O9" s="202" t="s">
        <v>2</v>
      </c>
      <c r="P9" s="202"/>
      <c r="Q9" s="202"/>
      <c r="R9" s="204"/>
      <c r="S9" s="202"/>
      <c r="T9" s="202"/>
      <c r="U9" s="202"/>
      <c r="V9" s="202"/>
      <c r="W9" s="202"/>
      <c r="X9" s="202"/>
      <c r="Y9" s="202"/>
      <c r="Z9" s="199"/>
    </row>
    <row r="10" spans="1:26" s="201" customFormat="1">
      <c r="A10" s="202" t="s">
        <v>21</v>
      </c>
      <c r="B10" s="198">
        <f>COUNTA($B$1:B9)</f>
        <v>8</v>
      </c>
      <c r="C10" s="202" t="s">
        <v>67</v>
      </c>
      <c r="D10" s="202"/>
      <c r="E10" s="202"/>
      <c r="F10" s="202"/>
      <c r="G10" s="199" t="s">
        <v>969</v>
      </c>
      <c r="H10" s="202"/>
      <c r="I10" s="202"/>
      <c r="J10" s="202"/>
      <c r="K10" s="203"/>
      <c r="L10" s="202" t="s">
        <v>67</v>
      </c>
      <c r="M10" s="202">
        <v>5</v>
      </c>
      <c r="N10" s="202"/>
      <c r="O10" s="202"/>
      <c r="P10" s="202"/>
      <c r="Q10" s="202"/>
      <c r="R10" s="204"/>
      <c r="S10" s="202"/>
      <c r="T10" s="202"/>
      <c r="U10" s="202"/>
      <c r="V10" s="202"/>
      <c r="W10" s="202"/>
      <c r="X10" s="202"/>
      <c r="Y10" s="202"/>
      <c r="Z10" s="199"/>
    </row>
    <row r="11" spans="1:26">
      <c r="A11" s="30" t="s">
        <v>932</v>
      </c>
      <c r="B11" s="31"/>
      <c r="C11" s="31"/>
      <c r="D11" s="32"/>
      <c r="E11" s="32"/>
      <c r="F11" s="31"/>
      <c r="G11" s="32"/>
      <c r="H11" s="32"/>
      <c r="I11" s="32"/>
      <c r="J11" s="32"/>
      <c r="K11" s="31"/>
      <c r="L11" s="32"/>
      <c r="M11" s="32"/>
      <c r="N11" s="32"/>
      <c r="O11" s="32"/>
      <c r="P11" s="32"/>
      <c r="Q11" s="32"/>
      <c r="R11" s="32"/>
      <c r="S11" s="32"/>
      <c r="T11" s="32"/>
      <c r="U11" s="32"/>
      <c r="V11" s="32"/>
      <c r="W11" s="32"/>
      <c r="X11" s="32"/>
      <c r="Y11" s="32"/>
      <c r="Z11" s="32"/>
    </row>
    <row r="12" spans="1:26" s="19" customFormat="1" outlineLevel="1">
      <c r="A12" s="33" t="s">
        <v>970</v>
      </c>
      <c r="B12" s="34">
        <f>COUNTA($B$1:B11)</f>
        <v>9</v>
      </c>
      <c r="C12" s="41" t="s">
        <v>136</v>
      </c>
      <c r="D12" s="41"/>
      <c r="E12" s="41"/>
      <c r="F12" s="42"/>
      <c r="G12" s="35" t="s">
        <v>969</v>
      </c>
      <c r="H12" s="41"/>
      <c r="I12" s="41"/>
      <c r="J12" s="41"/>
      <c r="K12" s="42"/>
      <c r="L12" s="43" t="s">
        <v>137</v>
      </c>
      <c r="M12" s="44" t="s">
        <v>138</v>
      </c>
      <c r="N12" s="41"/>
      <c r="O12" s="41"/>
      <c r="P12" s="41"/>
      <c r="Q12" s="42"/>
      <c r="R12" s="41"/>
      <c r="S12" s="41"/>
      <c r="T12" s="41"/>
      <c r="U12" s="41"/>
      <c r="V12" s="41"/>
      <c r="W12" s="41"/>
      <c r="X12" s="41"/>
      <c r="Y12" s="41"/>
      <c r="Z12" s="41"/>
    </row>
    <row r="13" spans="1:26" s="19" customFormat="1" outlineLevel="1">
      <c r="A13" s="45" t="s">
        <v>970</v>
      </c>
      <c r="B13" s="47">
        <f>COUNTA($B$1:B12)</f>
        <v>10</v>
      </c>
      <c r="C13" s="46" t="s">
        <v>140</v>
      </c>
      <c r="D13" s="46"/>
      <c r="E13" s="46"/>
      <c r="F13" s="47"/>
      <c r="G13" s="46" t="s">
        <v>969</v>
      </c>
      <c r="H13" s="46"/>
      <c r="I13" s="46" t="s">
        <v>55</v>
      </c>
      <c r="J13" s="46" t="s">
        <v>141</v>
      </c>
      <c r="K13" s="47"/>
      <c r="L13" s="46" t="s">
        <v>142</v>
      </c>
      <c r="M13" s="48"/>
      <c r="N13" s="46"/>
      <c r="O13" s="46" t="s">
        <v>2</v>
      </c>
      <c r="P13" s="46"/>
      <c r="Q13" s="46"/>
      <c r="R13" s="49"/>
      <c r="S13" s="46"/>
      <c r="T13" s="46"/>
      <c r="U13" s="46"/>
      <c r="V13" s="46"/>
      <c r="W13" s="46"/>
      <c r="X13" s="46"/>
      <c r="Y13" s="46"/>
      <c r="Z13" s="46"/>
    </row>
    <row r="14" spans="1:26" s="19" customFormat="1" outlineLevel="1">
      <c r="A14" s="45" t="s">
        <v>970</v>
      </c>
      <c r="B14" s="47">
        <f>COUNTA($B$1:B13)</f>
        <v>11</v>
      </c>
      <c r="C14" s="46" t="s">
        <v>143</v>
      </c>
      <c r="D14" s="46"/>
      <c r="E14" s="46"/>
      <c r="F14" s="47"/>
      <c r="G14" s="46" t="s">
        <v>969</v>
      </c>
      <c r="H14" s="46"/>
      <c r="I14" s="46" t="s">
        <v>55</v>
      </c>
      <c r="J14" s="46" t="s">
        <v>141</v>
      </c>
      <c r="K14" s="47"/>
      <c r="L14" s="46" t="s">
        <v>98</v>
      </c>
      <c r="M14" s="48"/>
      <c r="N14" s="46" t="s">
        <v>99</v>
      </c>
      <c r="O14" s="46" t="s">
        <v>2</v>
      </c>
      <c r="P14" s="46"/>
      <c r="Q14" s="46"/>
      <c r="R14" s="49" t="s">
        <v>144</v>
      </c>
      <c r="S14" s="46"/>
      <c r="T14" s="46"/>
      <c r="U14" s="46"/>
      <c r="V14" s="46"/>
      <c r="W14" s="46"/>
      <c r="X14" s="46"/>
      <c r="Y14" s="46"/>
      <c r="Z14" s="46"/>
    </row>
    <row r="15" spans="1:26" s="19" customFormat="1" outlineLevel="1">
      <c r="A15" s="45" t="s">
        <v>970</v>
      </c>
      <c r="B15" s="47">
        <f>COUNTA($B$1:B14)</f>
        <v>12</v>
      </c>
      <c r="C15" s="46" t="s">
        <v>145</v>
      </c>
      <c r="D15" s="46"/>
      <c r="E15" s="46"/>
      <c r="F15" s="47"/>
      <c r="G15" s="46" t="s">
        <v>969</v>
      </c>
      <c r="H15" s="46"/>
      <c r="I15" s="46" t="s">
        <v>55</v>
      </c>
      <c r="J15" s="46" t="s">
        <v>146</v>
      </c>
      <c r="K15" s="47"/>
      <c r="L15" s="46" t="s">
        <v>147</v>
      </c>
      <c r="M15" s="48"/>
      <c r="N15" s="46"/>
      <c r="O15" s="46" t="s">
        <v>2</v>
      </c>
      <c r="P15" s="46"/>
      <c r="Q15" s="46"/>
      <c r="R15" s="48"/>
      <c r="S15" s="46"/>
      <c r="T15" s="46"/>
      <c r="U15" s="46"/>
      <c r="V15" s="46"/>
      <c r="W15" s="46"/>
      <c r="X15" s="46"/>
      <c r="Y15" s="46"/>
      <c r="Z15" s="46"/>
    </row>
    <row r="16" spans="1:26" s="19" customFormat="1" outlineLevel="1">
      <c r="A16" s="33" t="s">
        <v>970</v>
      </c>
      <c r="B16" s="34">
        <f>COUNTA($B$1:B15)</f>
        <v>13</v>
      </c>
      <c r="C16" s="35" t="s">
        <v>148</v>
      </c>
      <c r="D16" s="35"/>
      <c r="E16" s="35"/>
      <c r="F16" s="34"/>
      <c r="G16" s="35" t="s">
        <v>969</v>
      </c>
      <c r="H16" s="35"/>
      <c r="I16" s="35" t="s">
        <v>55</v>
      </c>
      <c r="J16" s="35" t="s">
        <v>149</v>
      </c>
      <c r="K16" s="34">
        <v>0</v>
      </c>
      <c r="L16" s="35" t="s">
        <v>34</v>
      </c>
      <c r="M16" s="35"/>
      <c r="N16" s="35"/>
      <c r="O16" s="35"/>
      <c r="P16" s="35"/>
      <c r="Q16" s="35"/>
      <c r="R16" s="35"/>
      <c r="S16" s="35"/>
      <c r="T16" s="35"/>
      <c r="U16" s="35"/>
      <c r="V16" s="35"/>
      <c r="W16" s="35"/>
      <c r="X16" s="35"/>
      <c r="Y16" s="35"/>
      <c r="Z16" s="35"/>
    </row>
    <row r="17" spans="1:26" s="19" customFormat="1" outlineLevel="1">
      <c r="A17" s="33" t="s">
        <v>970</v>
      </c>
      <c r="B17" s="34">
        <f>COUNTA($B$1:B16)</f>
        <v>14</v>
      </c>
      <c r="C17" s="35" t="s">
        <v>67</v>
      </c>
      <c r="D17" s="35"/>
      <c r="E17" s="35"/>
      <c r="F17" s="34"/>
      <c r="G17" s="35" t="s">
        <v>969</v>
      </c>
      <c r="H17" s="35"/>
      <c r="I17" s="35"/>
      <c r="J17" s="35"/>
      <c r="K17" s="34"/>
      <c r="L17" s="35" t="s">
        <v>67</v>
      </c>
      <c r="M17" s="36">
        <v>2</v>
      </c>
      <c r="N17" s="35"/>
      <c r="O17" s="35"/>
      <c r="P17" s="35"/>
      <c r="Q17" s="35"/>
      <c r="R17" s="35"/>
      <c r="S17" s="35"/>
      <c r="T17" s="35"/>
      <c r="U17" s="35"/>
      <c r="V17" s="35"/>
      <c r="W17" s="35"/>
      <c r="X17" s="35"/>
      <c r="Y17" s="35"/>
      <c r="Z17" s="35"/>
    </row>
    <row r="18" spans="1:26" s="19" customFormat="1" outlineLevel="1">
      <c r="A18" s="33" t="s">
        <v>970</v>
      </c>
      <c r="B18" s="34">
        <f>COUNTA($B$1:B17)</f>
        <v>15</v>
      </c>
      <c r="C18" s="35" t="s">
        <v>150</v>
      </c>
      <c r="D18" s="35"/>
      <c r="E18" s="35"/>
      <c r="F18" s="34"/>
      <c r="G18" s="35" t="s">
        <v>969</v>
      </c>
      <c r="H18" s="35"/>
      <c r="I18" s="35" t="s">
        <v>55</v>
      </c>
      <c r="J18" s="35" t="s">
        <v>149</v>
      </c>
      <c r="K18" s="34">
        <v>0</v>
      </c>
      <c r="L18" s="35" t="s">
        <v>151</v>
      </c>
      <c r="M18" s="50" t="s">
        <v>152</v>
      </c>
      <c r="N18" s="35"/>
      <c r="O18" s="35"/>
      <c r="P18" s="35"/>
      <c r="Q18" s="35"/>
      <c r="R18" s="35"/>
      <c r="S18" s="35"/>
      <c r="T18" s="35"/>
      <c r="U18" s="35"/>
      <c r="V18" s="35"/>
      <c r="W18" s="35"/>
      <c r="X18" s="35"/>
      <c r="Y18" s="35"/>
      <c r="Z18" s="35"/>
    </row>
    <row r="19" spans="1:26" s="19" customFormat="1" outlineLevel="1">
      <c r="A19" s="33" t="s">
        <v>970</v>
      </c>
      <c r="B19" s="34">
        <f>COUNTA($B$1:B18)</f>
        <v>16</v>
      </c>
      <c r="C19" s="35" t="s">
        <v>67</v>
      </c>
      <c r="D19" s="35"/>
      <c r="E19" s="35"/>
      <c r="F19" s="34"/>
      <c r="G19" s="35" t="s">
        <v>969</v>
      </c>
      <c r="H19" s="35"/>
      <c r="I19" s="35"/>
      <c r="J19" s="35"/>
      <c r="K19" s="34"/>
      <c r="L19" s="35" t="s">
        <v>67</v>
      </c>
      <c r="M19" s="36">
        <v>2</v>
      </c>
      <c r="N19" s="35"/>
      <c r="O19" s="35"/>
      <c r="P19" s="35"/>
      <c r="Q19" s="35"/>
      <c r="R19" s="35"/>
      <c r="S19" s="35"/>
      <c r="T19" s="35"/>
      <c r="U19" s="35"/>
      <c r="V19" s="35"/>
      <c r="W19" s="35"/>
      <c r="X19" s="35"/>
      <c r="Y19" s="35"/>
      <c r="Z19" s="35"/>
    </row>
    <row r="20" spans="1:26" s="19" customFormat="1" outlineLevel="1">
      <c r="A20" s="33" t="s">
        <v>970</v>
      </c>
      <c r="B20" s="34">
        <f>COUNTA($B$1:B19)</f>
        <v>17</v>
      </c>
      <c r="C20" s="35" t="s">
        <v>148</v>
      </c>
      <c r="D20" s="35"/>
      <c r="E20" s="35"/>
      <c r="F20" s="42"/>
      <c r="G20" s="35" t="s">
        <v>969</v>
      </c>
      <c r="H20" s="35"/>
      <c r="I20" s="35" t="s">
        <v>55</v>
      </c>
      <c r="J20" s="35" t="str">
        <f>"//a[contains(.,'"&amp;M18&amp;"')]"</f>
        <v>//a[contains(.,'Destination')]</v>
      </c>
      <c r="K20" s="34">
        <v>0</v>
      </c>
      <c r="L20" s="35" t="s">
        <v>147</v>
      </c>
      <c r="M20" s="35"/>
      <c r="N20" s="35"/>
      <c r="O20" s="35"/>
      <c r="P20" s="35"/>
      <c r="Q20" s="35"/>
      <c r="R20" s="35"/>
      <c r="S20" s="35"/>
      <c r="T20" s="35"/>
      <c r="U20" s="35"/>
      <c r="V20" s="35"/>
      <c r="W20" s="35"/>
      <c r="X20" s="35"/>
      <c r="Y20" s="35"/>
      <c r="Z20" s="35"/>
    </row>
    <row r="21" spans="1:26" s="19" customFormat="1" outlineLevel="1">
      <c r="A21" s="33" t="s">
        <v>970</v>
      </c>
      <c r="B21" s="34">
        <f>COUNTA($B$1:B20)</f>
        <v>18</v>
      </c>
      <c r="C21" s="35" t="s">
        <v>153</v>
      </c>
      <c r="D21" s="51"/>
      <c r="E21" s="52" t="s">
        <v>154</v>
      </c>
      <c r="F21" s="38"/>
      <c r="G21" s="35" t="s">
        <v>969</v>
      </c>
      <c r="H21" s="35"/>
      <c r="I21" s="35" t="s">
        <v>55</v>
      </c>
      <c r="J21" s="35" t="s">
        <v>81</v>
      </c>
      <c r="K21" s="34">
        <v>0</v>
      </c>
      <c r="L21" s="35" t="s">
        <v>0</v>
      </c>
      <c r="M21" s="50" t="s">
        <v>155</v>
      </c>
      <c r="N21" s="35"/>
      <c r="O21" s="35"/>
      <c r="P21" s="35"/>
      <c r="Q21" s="35"/>
      <c r="R21" s="35"/>
      <c r="S21" s="52"/>
      <c r="T21" s="35"/>
      <c r="U21" s="35"/>
      <c r="V21" s="35"/>
      <c r="W21" s="35"/>
      <c r="X21" s="52"/>
      <c r="Y21" s="52"/>
      <c r="Z21" s="52"/>
    </row>
    <row r="22" spans="1:26" s="19" customFormat="1" outlineLevel="1">
      <c r="A22" s="33" t="s">
        <v>970</v>
      </c>
      <c r="B22" s="34">
        <f>COUNTA($B$1:B21)</f>
        <v>19</v>
      </c>
      <c r="C22" s="35" t="s">
        <v>156</v>
      </c>
      <c r="D22" s="51"/>
      <c r="E22" s="52" t="s">
        <v>154</v>
      </c>
      <c r="F22" s="38"/>
      <c r="G22" s="35" t="s">
        <v>969</v>
      </c>
      <c r="H22" s="35"/>
      <c r="I22" s="35" t="s">
        <v>55</v>
      </c>
      <c r="J22" s="35" t="s">
        <v>82</v>
      </c>
      <c r="K22" s="34">
        <v>0</v>
      </c>
      <c r="L22" s="35" t="s">
        <v>0</v>
      </c>
      <c r="M22" s="50" t="s">
        <v>157</v>
      </c>
      <c r="N22" s="35"/>
      <c r="O22" s="35"/>
      <c r="P22" s="35"/>
      <c r="Q22" s="35"/>
      <c r="R22" s="35"/>
      <c r="S22" s="52"/>
      <c r="T22" s="35"/>
      <c r="U22" s="35"/>
      <c r="V22" s="35"/>
      <c r="W22" s="35"/>
      <c r="X22" s="52"/>
      <c r="Y22" s="52"/>
      <c r="Z22" s="52"/>
    </row>
    <row r="23" spans="1:26" s="19" customFormat="1" outlineLevel="1">
      <c r="A23" s="33" t="s">
        <v>970</v>
      </c>
      <c r="B23" s="34">
        <f>COUNTA($B$1:B22)</f>
        <v>20</v>
      </c>
      <c r="C23" s="35" t="s">
        <v>161</v>
      </c>
      <c r="D23" s="35"/>
      <c r="E23" s="35"/>
      <c r="F23" s="34"/>
      <c r="G23" s="35" t="s">
        <v>969</v>
      </c>
      <c r="H23" s="35"/>
      <c r="I23" s="35" t="s">
        <v>55</v>
      </c>
      <c r="J23" s="35" t="s">
        <v>162</v>
      </c>
      <c r="K23" s="34">
        <v>0</v>
      </c>
      <c r="L23" s="35" t="s">
        <v>34</v>
      </c>
      <c r="M23" s="35"/>
      <c r="N23" s="35"/>
      <c r="O23" s="35"/>
      <c r="P23" s="35"/>
      <c r="Q23" s="35"/>
      <c r="R23" s="35"/>
      <c r="S23" s="35"/>
      <c r="T23" s="35"/>
      <c r="U23" s="35"/>
      <c r="V23" s="35"/>
      <c r="W23" s="35"/>
      <c r="X23" s="35"/>
      <c r="Y23" s="35"/>
      <c r="Z23" s="35"/>
    </row>
    <row r="24" spans="1:26" s="19" customFormat="1" outlineLevel="1">
      <c r="A24" s="33" t="s">
        <v>970</v>
      </c>
      <c r="B24" s="34">
        <f>COUNTA($B$1:B23)</f>
        <v>21</v>
      </c>
      <c r="C24" s="35" t="s">
        <v>67</v>
      </c>
      <c r="D24" s="35"/>
      <c r="E24" s="35"/>
      <c r="F24" s="34"/>
      <c r="G24" s="35" t="s">
        <v>969</v>
      </c>
      <c r="H24" s="35"/>
      <c r="I24" s="35"/>
      <c r="J24" s="35"/>
      <c r="K24" s="34"/>
      <c r="L24" s="35" t="s">
        <v>67</v>
      </c>
      <c r="M24" s="36">
        <v>2</v>
      </c>
      <c r="N24" s="35"/>
      <c r="O24" s="35"/>
      <c r="P24" s="35"/>
      <c r="Q24" s="35"/>
      <c r="R24" s="35"/>
      <c r="S24" s="35"/>
      <c r="T24" s="35"/>
      <c r="U24" s="35"/>
      <c r="V24" s="35"/>
      <c r="W24" s="35"/>
      <c r="X24" s="35"/>
      <c r="Y24" s="35"/>
      <c r="Z24" s="35"/>
    </row>
    <row r="25" spans="1:26" s="19" customFormat="1" outlineLevel="1">
      <c r="A25" s="33" t="s">
        <v>970</v>
      </c>
      <c r="B25" s="34">
        <f>COUNTA($B$1:B24)</f>
        <v>22</v>
      </c>
      <c r="C25" s="35" t="s">
        <v>163</v>
      </c>
      <c r="D25" s="35"/>
      <c r="E25" s="35"/>
      <c r="F25" s="34"/>
      <c r="G25" s="35" t="s">
        <v>969</v>
      </c>
      <c r="H25" s="35"/>
      <c r="I25" s="35" t="s">
        <v>55</v>
      </c>
      <c r="J25" s="35" t="s">
        <v>162</v>
      </c>
      <c r="K25" s="34">
        <v>0</v>
      </c>
      <c r="L25" s="35" t="s">
        <v>151</v>
      </c>
      <c r="M25" s="50" t="s">
        <v>164</v>
      </c>
      <c r="N25" s="35"/>
      <c r="O25" s="35"/>
      <c r="P25" s="35"/>
      <c r="Q25" s="35"/>
      <c r="R25" s="35"/>
      <c r="S25" s="35"/>
      <c r="T25" s="35"/>
      <c r="U25" s="35"/>
      <c r="V25" s="35"/>
      <c r="W25" s="35"/>
      <c r="X25" s="35"/>
      <c r="Y25" s="35"/>
      <c r="Z25" s="35"/>
    </row>
    <row r="26" spans="1:26" s="19" customFormat="1" outlineLevel="1">
      <c r="A26" s="33" t="s">
        <v>970</v>
      </c>
      <c r="B26" s="34">
        <f>COUNTA($B$1:B25)</f>
        <v>23</v>
      </c>
      <c r="C26" s="35" t="s">
        <v>67</v>
      </c>
      <c r="D26" s="35"/>
      <c r="E26" s="35"/>
      <c r="F26" s="34"/>
      <c r="G26" s="35" t="s">
        <v>969</v>
      </c>
      <c r="H26" s="35"/>
      <c r="I26" s="35"/>
      <c r="J26" s="35"/>
      <c r="K26" s="34"/>
      <c r="L26" s="35" t="s">
        <v>67</v>
      </c>
      <c r="M26" s="36">
        <v>2</v>
      </c>
      <c r="N26" s="35"/>
      <c r="O26" s="35"/>
      <c r="P26" s="35"/>
      <c r="Q26" s="35"/>
      <c r="R26" s="35"/>
      <c r="S26" s="35"/>
      <c r="T26" s="35"/>
      <c r="U26" s="35"/>
      <c r="V26" s="35"/>
      <c r="W26" s="35"/>
      <c r="X26" s="35"/>
      <c r="Y26" s="35"/>
      <c r="Z26" s="35"/>
    </row>
    <row r="27" spans="1:26" s="19" customFormat="1" outlineLevel="1">
      <c r="A27" s="33" t="s">
        <v>970</v>
      </c>
      <c r="B27" s="34">
        <f>COUNTA($B$1:B26)</f>
        <v>24</v>
      </c>
      <c r="C27" s="35" t="s">
        <v>161</v>
      </c>
      <c r="D27" s="35"/>
      <c r="E27" s="35"/>
      <c r="F27" s="42"/>
      <c r="G27" s="35" t="s">
        <v>969</v>
      </c>
      <c r="H27" s="35"/>
      <c r="I27" s="35" t="s">
        <v>55</v>
      </c>
      <c r="J27" s="35" t="str">
        <f>"//a[contains(.,'"&amp;M25&amp;"')]"</f>
        <v>//a[contains(.,'Residence')]</v>
      </c>
      <c r="K27" s="34">
        <v>0</v>
      </c>
      <c r="L27" s="35" t="s">
        <v>147</v>
      </c>
      <c r="M27" s="35"/>
      <c r="N27" s="35"/>
      <c r="O27" s="35"/>
      <c r="P27" s="35"/>
      <c r="Q27" s="35"/>
      <c r="R27" s="35"/>
      <c r="S27" s="35"/>
      <c r="T27" s="35"/>
      <c r="U27" s="35"/>
      <c r="V27" s="35"/>
      <c r="W27" s="35"/>
      <c r="X27" s="35"/>
      <c r="Y27" s="35"/>
      <c r="Z27" s="35"/>
    </row>
    <row r="28" spans="1:26" s="10" customFormat="1">
      <c r="A28" s="33" t="s">
        <v>970</v>
      </c>
      <c r="B28" s="34">
        <f>COUNTA($B$1:B27)</f>
        <v>25</v>
      </c>
      <c r="C28" s="35" t="s">
        <v>190</v>
      </c>
      <c r="D28" s="35"/>
      <c r="E28" s="35"/>
      <c r="F28" s="34"/>
      <c r="G28" s="35" t="s">
        <v>969</v>
      </c>
      <c r="H28" s="35"/>
      <c r="I28" s="35" t="s">
        <v>55</v>
      </c>
      <c r="J28" s="35" t="s">
        <v>87</v>
      </c>
      <c r="K28" s="34">
        <v>0</v>
      </c>
      <c r="L28" s="35" t="s">
        <v>147</v>
      </c>
      <c r="M28" s="36"/>
      <c r="N28" s="35"/>
      <c r="O28" s="35"/>
      <c r="P28" s="35"/>
      <c r="Q28" s="35"/>
      <c r="R28" s="35"/>
      <c r="S28" s="35"/>
      <c r="T28" s="35"/>
      <c r="U28" s="35"/>
      <c r="V28" s="35"/>
      <c r="W28" s="35"/>
      <c r="X28" s="35"/>
      <c r="Y28" s="35"/>
      <c r="Z28" s="35"/>
    </row>
    <row r="29" spans="1:26" s="10" customFormat="1">
      <c r="A29" s="30" t="s">
        <v>933</v>
      </c>
      <c r="B29" s="190"/>
      <c r="C29" s="31"/>
      <c r="D29" s="32"/>
      <c r="E29" s="32"/>
      <c r="F29" s="31"/>
      <c r="G29" s="32"/>
      <c r="H29" s="32"/>
      <c r="I29" s="32"/>
      <c r="J29" s="32"/>
      <c r="K29" s="31"/>
      <c r="L29" s="32"/>
      <c r="M29" s="32"/>
      <c r="N29" s="32"/>
      <c r="O29" s="32"/>
      <c r="P29" s="32"/>
      <c r="Q29" s="32"/>
      <c r="R29" s="32"/>
      <c r="S29" s="32"/>
      <c r="T29" s="32"/>
      <c r="U29" s="32"/>
      <c r="V29" s="32"/>
      <c r="W29" s="32"/>
      <c r="X29" s="32"/>
      <c r="Y29" s="32"/>
      <c r="Z29" s="32"/>
    </row>
    <row r="30" spans="1:26" s="10" customFormat="1">
      <c r="A30" s="33" t="s">
        <v>970</v>
      </c>
      <c r="B30" s="34">
        <f>COUNTA($B$1:B29)</f>
        <v>26</v>
      </c>
      <c r="C30" s="35" t="s">
        <v>67</v>
      </c>
      <c r="D30" s="35"/>
      <c r="E30" s="35"/>
      <c r="F30" s="34"/>
      <c r="G30" s="35" t="s">
        <v>969</v>
      </c>
      <c r="H30" s="35"/>
      <c r="I30" s="35"/>
      <c r="J30" s="35"/>
      <c r="K30" s="34"/>
      <c r="L30" s="35" t="s">
        <v>67</v>
      </c>
      <c r="M30" s="36">
        <v>10</v>
      </c>
      <c r="N30" s="35"/>
      <c r="O30" s="35"/>
      <c r="P30" s="35"/>
      <c r="Q30" s="35"/>
      <c r="R30" s="36"/>
      <c r="S30" s="35"/>
      <c r="T30" s="35"/>
      <c r="U30" s="35"/>
      <c r="V30" s="35"/>
      <c r="W30" s="35"/>
      <c r="X30" s="35"/>
      <c r="Y30" s="35"/>
      <c r="Z30" s="35"/>
    </row>
    <row r="31" spans="1:26" s="17" customFormat="1">
      <c r="A31" s="45" t="s">
        <v>970</v>
      </c>
      <c r="B31" s="47">
        <f>COUNTA($B$1:B30)</f>
        <v>27</v>
      </c>
      <c r="C31" s="46" t="s">
        <v>140</v>
      </c>
      <c r="D31" s="46"/>
      <c r="E31" s="46"/>
      <c r="F31" s="47"/>
      <c r="G31" s="46" t="s">
        <v>969</v>
      </c>
      <c r="H31" s="46"/>
      <c r="I31" s="46" t="s">
        <v>55</v>
      </c>
      <c r="J31" s="46" t="s">
        <v>141</v>
      </c>
      <c r="K31" s="47"/>
      <c r="L31" s="46" t="s">
        <v>142</v>
      </c>
      <c r="M31" s="48"/>
      <c r="N31" s="46"/>
      <c r="O31" s="46" t="s">
        <v>2</v>
      </c>
      <c r="P31" s="46"/>
      <c r="Q31" s="46"/>
      <c r="R31" s="49"/>
      <c r="S31" s="46"/>
      <c r="T31" s="46"/>
      <c r="U31" s="46"/>
      <c r="V31" s="46"/>
      <c r="W31" s="46"/>
      <c r="X31" s="46"/>
      <c r="Y31" s="46"/>
      <c r="Z31" s="46"/>
    </row>
    <row r="32" spans="1:26" s="180" customFormat="1">
      <c r="A32" s="45" t="s">
        <v>970</v>
      </c>
      <c r="B32" s="47">
        <f>COUNTA($B$1:B31)</f>
        <v>28</v>
      </c>
      <c r="C32" s="46" t="s">
        <v>143</v>
      </c>
      <c r="D32" s="46"/>
      <c r="E32" s="46"/>
      <c r="F32" s="47"/>
      <c r="G32" s="46" t="s">
        <v>969</v>
      </c>
      <c r="H32" s="46"/>
      <c r="I32" s="46" t="s">
        <v>55</v>
      </c>
      <c r="J32" s="46" t="s">
        <v>141</v>
      </c>
      <c r="K32" s="47"/>
      <c r="L32" s="46" t="s">
        <v>98</v>
      </c>
      <c r="M32" s="48"/>
      <c r="N32" s="46" t="s">
        <v>99</v>
      </c>
      <c r="O32" s="46" t="s">
        <v>2</v>
      </c>
      <c r="P32" s="46"/>
      <c r="Q32" s="46"/>
      <c r="R32" s="49" t="s">
        <v>144</v>
      </c>
      <c r="S32" s="46"/>
      <c r="T32" s="46"/>
      <c r="U32" s="46"/>
      <c r="V32" s="46"/>
      <c r="W32" s="46"/>
      <c r="X32" s="46"/>
      <c r="Y32" s="46"/>
      <c r="Z32" s="46"/>
    </row>
    <row r="33" spans="1:26">
      <c r="A33" s="45" t="s">
        <v>970</v>
      </c>
      <c r="B33" s="47">
        <f>COUNTA($B$1:B32)</f>
        <v>29</v>
      </c>
      <c r="C33" s="46" t="s">
        <v>145</v>
      </c>
      <c r="D33" s="46"/>
      <c r="E33" s="46"/>
      <c r="F33" s="47"/>
      <c r="G33" s="46" t="s">
        <v>969</v>
      </c>
      <c r="H33" s="46"/>
      <c r="I33" s="46" t="s">
        <v>55</v>
      </c>
      <c r="J33" s="46" t="s">
        <v>146</v>
      </c>
      <c r="K33" s="47"/>
      <c r="L33" s="46" t="s">
        <v>147</v>
      </c>
      <c r="M33" s="48"/>
      <c r="N33" s="46"/>
      <c r="O33" s="46" t="s">
        <v>2</v>
      </c>
      <c r="P33" s="46"/>
      <c r="Q33" s="46"/>
      <c r="R33" s="48"/>
      <c r="S33" s="46"/>
      <c r="T33" s="46"/>
      <c r="U33" s="46"/>
      <c r="V33" s="46"/>
      <c r="W33" s="46"/>
      <c r="X33" s="46"/>
      <c r="Y33" s="46"/>
      <c r="Z33" s="46"/>
    </row>
    <row r="34" spans="1:26">
      <c r="A34" s="33" t="s">
        <v>970</v>
      </c>
      <c r="B34" s="34">
        <f>COUNTA($B$1:B33)</f>
        <v>30</v>
      </c>
      <c r="C34" s="35" t="s">
        <v>875</v>
      </c>
      <c r="D34" s="35"/>
      <c r="E34" s="35"/>
      <c r="F34" s="34"/>
      <c r="G34" s="35" t="s">
        <v>969</v>
      </c>
      <c r="H34" s="35"/>
      <c r="I34" s="35" t="s">
        <v>55</v>
      </c>
      <c r="J34" s="35" t="s">
        <v>421</v>
      </c>
      <c r="K34" s="34"/>
      <c r="L34" s="35" t="s">
        <v>67</v>
      </c>
      <c r="M34" s="36">
        <v>5</v>
      </c>
      <c r="N34" s="35"/>
      <c r="O34" s="35"/>
      <c r="P34" s="35"/>
      <c r="Q34" s="35"/>
      <c r="R34" s="36"/>
      <c r="S34" s="35"/>
      <c r="T34" s="35"/>
      <c r="U34" s="35"/>
      <c r="V34" s="35"/>
      <c r="W34" s="35"/>
      <c r="X34" s="35"/>
      <c r="Y34" s="35"/>
      <c r="Z34" s="35"/>
    </row>
    <row r="35" spans="1:26" s="17" customFormat="1">
      <c r="A35" s="33" t="s">
        <v>970</v>
      </c>
      <c r="B35" s="34">
        <f>COUNTA($B$1:B34)</f>
        <v>31</v>
      </c>
      <c r="C35" s="53" t="s">
        <v>873</v>
      </c>
      <c r="D35" s="35"/>
      <c r="E35" s="35"/>
      <c r="F35" s="34"/>
      <c r="G35" s="35" t="s">
        <v>969</v>
      </c>
      <c r="H35" s="35"/>
      <c r="I35" s="35" t="s">
        <v>55</v>
      </c>
      <c r="J35" s="35" t="s">
        <v>986</v>
      </c>
      <c r="K35" s="34">
        <v>0</v>
      </c>
      <c r="L35" s="35" t="s">
        <v>147</v>
      </c>
      <c r="M35" s="36"/>
      <c r="N35" s="35"/>
      <c r="O35" s="35"/>
      <c r="P35" s="35"/>
      <c r="Q35" s="35"/>
      <c r="R35" s="35"/>
      <c r="S35" s="35"/>
      <c r="T35" s="35"/>
      <c r="U35" s="35"/>
      <c r="V35" s="35"/>
      <c r="W35" s="35"/>
      <c r="X35" s="35"/>
      <c r="Y35" s="35"/>
      <c r="Z35" s="35"/>
    </row>
    <row r="36" spans="1:26" s="17" customFormat="1">
      <c r="A36" s="33" t="s">
        <v>970</v>
      </c>
      <c r="B36" s="34">
        <f>COUNTA($B$1:B35)</f>
        <v>32</v>
      </c>
      <c r="C36" s="35" t="s">
        <v>67</v>
      </c>
      <c r="D36" s="35"/>
      <c r="E36" s="35"/>
      <c r="F36" s="34"/>
      <c r="G36" s="35" t="s">
        <v>969</v>
      </c>
      <c r="H36" s="35"/>
      <c r="I36" s="35"/>
      <c r="J36" s="35"/>
      <c r="K36" s="34"/>
      <c r="L36" s="35" t="s">
        <v>67</v>
      </c>
      <c r="M36" s="36">
        <v>10</v>
      </c>
      <c r="N36" s="35"/>
      <c r="O36" s="35"/>
      <c r="P36" s="35"/>
      <c r="Q36" s="35"/>
      <c r="R36" s="36"/>
      <c r="S36" s="35"/>
      <c r="T36" s="35"/>
      <c r="U36" s="35"/>
      <c r="V36" s="35"/>
      <c r="W36" s="35"/>
      <c r="X36" s="35"/>
      <c r="Y36" s="35"/>
      <c r="Z36" s="35"/>
    </row>
    <row r="37" spans="1:26" s="17" customFormat="1">
      <c r="A37" s="30" t="s">
        <v>219</v>
      </c>
      <c r="B37" s="190"/>
      <c r="C37" s="31"/>
      <c r="D37" s="32"/>
      <c r="E37" s="32"/>
      <c r="F37" s="31"/>
      <c r="G37" s="32"/>
      <c r="H37" s="32"/>
      <c r="I37" s="32"/>
      <c r="J37" s="32"/>
      <c r="K37" s="31"/>
      <c r="L37" s="32"/>
      <c r="M37" s="32"/>
      <c r="N37" s="32"/>
      <c r="O37" s="32"/>
      <c r="P37" s="32"/>
      <c r="Q37" s="32"/>
      <c r="R37" s="32"/>
      <c r="S37" s="32"/>
      <c r="T37" s="32"/>
      <c r="U37" s="32"/>
      <c r="V37" s="32"/>
      <c r="W37" s="32"/>
      <c r="X37" s="32"/>
      <c r="Y37" s="32"/>
      <c r="Z37" s="32"/>
    </row>
    <row r="38" spans="1:26" ht="12.75" customHeight="1">
      <c r="A38" s="45" t="s">
        <v>970</v>
      </c>
      <c r="B38" s="47">
        <f>COUNTA($B$1:B37)</f>
        <v>33</v>
      </c>
      <c r="C38" s="46" t="s">
        <v>140</v>
      </c>
      <c r="D38" s="46"/>
      <c r="E38" s="46"/>
      <c r="F38" s="47"/>
      <c r="G38" s="46" t="s">
        <v>969</v>
      </c>
      <c r="H38" s="46"/>
      <c r="I38" s="46" t="s">
        <v>55</v>
      </c>
      <c r="J38" s="46" t="s">
        <v>141</v>
      </c>
      <c r="K38" s="47"/>
      <c r="L38" s="46" t="s">
        <v>142</v>
      </c>
      <c r="M38" s="48"/>
      <c r="N38" s="46"/>
      <c r="O38" s="46" t="s">
        <v>2</v>
      </c>
      <c r="P38" s="46"/>
      <c r="Q38" s="46"/>
      <c r="R38" s="49"/>
      <c r="S38" s="46"/>
      <c r="T38" s="46"/>
      <c r="U38" s="46"/>
      <c r="V38" s="46"/>
      <c r="W38" s="46"/>
      <c r="X38" s="46"/>
      <c r="Y38" s="46"/>
      <c r="Z38" s="46"/>
    </row>
    <row r="39" spans="1:26" s="12" customFormat="1" ht="12.75" customHeight="1">
      <c r="A39" s="45" t="s">
        <v>970</v>
      </c>
      <c r="B39" s="47">
        <f>COUNTA($B$1:B38)</f>
        <v>34</v>
      </c>
      <c r="C39" s="46" t="s">
        <v>143</v>
      </c>
      <c r="D39" s="46"/>
      <c r="E39" s="46"/>
      <c r="F39" s="47"/>
      <c r="G39" s="46" t="s">
        <v>969</v>
      </c>
      <c r="H39" s="46"/>
      <c r="I39" s="46" t="s">
        <v>55</v>
      </c>
      <c r="J39" s="46" t="s">
        <v>141</v>
      </c>
      <c r="K39" s="47"/>
      <c r="L39" s="46" t="s">
        <v>98</v>
      </c>
      <c r="M39" s="48"/>
      <c r="N39" s="46" t="s">
        <v>99</v>
      </c>
      <c r="O39" s="46" t="s">
        <v>2</v>
      </c>
      <c r="P39" s="46"/>
      <c r="Q39" s="46"/>
      <c r="R39" s="49" t="s">
        <v>144</v>
      </c>
      <c r="S39" s="46"/>
      <c r="T39" s="46"/>
      <c r="U39" s="46"/>
      <c r="V39" s="46"/>
      <c r="W39" s="46"/>
      <c r="X39" s="46"/>
      <c r="Y39" s="46"/>
      <c r="Z39" s="46"/>
    </row>
    <row r="40" spans="1:26" s="16" customFormat="1" outlineLevel="1">
      <c r="A40" s="45" t="s">
        <v>970</v>
      </c>
      <c r="B40" s="47">
        <f>COUNTA($B$1:B39)</f>
        <v>35</v>
      </c>
      <c r="C40" s="46" t="s">
        <v>145</v>
      </c>
      <c r="D40" s="46"/>
      <c r="E40" s="46"/>
      <c r="F40" s="47"/>
      <c r="G40" s="46" t="s">
        <v>969</v>
      </c>
      <c r="H40" s="46"/>
      <c r="I40" s="46" t="s">
        <v>55</v>
      </c>
      <c r="J40" s="46" t="s">
        <v>146</v>
      </c>
      <c r="K40" s="47"/>
      <c r="L40" s="46" t="s">
        <v>147</v>
      </c>
      <c r="M40" s="48"/>
      <c r="N40" s="46"/>
      <c r="O40" s="46" t="s">
        <v>2</v>
      </c>
      <c r="P40" s="46"/>
      <c r="Q40" s="46"/>
      <c r="R40" s="48"/>
      <c r="S40" s="46"/>
      <c r="T40" s="46"/>
      <c r="U40" s="46"/>
      <c r="V40" s="46"/>
      <c r="W40" s="46"/>
      <c r="X40" s="46"/>
      <c r="Y40" s="46"/>
      <c r="Z40" s="46"/>
    </row>
    <row r="41" spans="1:26" s="17" customFormat="1">
      <c r="A41" s="33" t="s">
        <v>970</v>
      </c>
      <c r="B41" s="34">
        <f>COUNTA($B$1:B40)</f>
        <v>36</v>
      </c>
      <c r="C41" s="35" t="s">
        <v>875</v>
      </c>
      <c r="D41" s="35"/>
      <c r="E41" s="35"/>
      <c r="F41" s="34"/>
      <c r="G41" s="35" t="s">
        <v>969</v>
      </c>
      <c r="H41" s="35"/>
      <c r="I41" s="35" t="s">
        <v>55</v>
      </c>
      <c r="J41" s="35" t="s">
        <v>428</v>
      </c>
      <c r="K41" s="34"/>
      <c r="L41" s="35" t="s">
        <v>67</v>
      </c>
      <c r="M41" s="36">
        <v>5</v>
      </c>
      <c r="N41" s="35"/>
      <c r="O41" s="35"/>
      <c r="P41" s="35"/>
      <c r="Q41" s="35"/>
      <c r="R41" s="36"/>
      <c r="S41" s="35"/>
      <c r="T41" s="35"/>
      <c r="U41" s="35"/>
      <c r="V41" s="35"/>
      <c r="W41" s="35"/>
      <c r="X41" s="35"/>
      <c r="Y41" s="35"/>
      <c r="Z41" s="35"/>
    </row>
    <row r="42" spans="1:26" s="17" customFormat="1">
      <c r="A42" s="33" t="s">
        <v>970</v>
      </c>
      <c r="B42" s="34">
        <f>COUNTA($B$1:B41)</f>
        <v>37</v>
      </c>
      <c r="C42" s="35" t="s">
        <v>220</v>
      </c>
      <c r="D42" s="35"/>
      <c r="E42" s="35"/>
      <c r="F42" s="34"/>
      <c r="G42" s="35" t="s">
        <v>969</v>
      </c>
      <c r="H42" s="35"/>
      <c r="I42" s="35" t="s">
        <v>55</v>
      </c>
      <c r="J42" s="35" t="s">
        <v>221</v>
      </c>
      <c r="K42" s="34">
        <v>0</v>
      </c>
      <c r="L42" s="35" t="s">
        <v>0</v>
      </c>
      <c r="M42" s="50" t="s">
        <v>222</v>
      </c>
      <c r="N42" s="35"/>
      <c r="O42" s="35"/>
      <c r="P42" s="35"/>
      <c r="Q42" s="35"/>
      <c r="R42" s="52"/>
      <c r="S42" s="35"/>
      <c r="T42" s="35"/>
      <c r="U42" s="35"/>
      <c r="V42" s="35"/>
      <c r="W42" s="35"/>
      <c r="X42" s="35"/>
      <c r="Y42" s="35"/>
      <c r="Z42" s="35"/>
    </row>
    <row r="43" spans="1:26" s="17" customFormat="1">
      <c r="A43" s="33" t="s">
        <v>970</v>
      </c>
      <c r="B43" s="34">
        <f>COUNTA($B$1:B42)</f>
        <v>38</v>
      </c>
      <c r="C43" s="35" t="s">
        <v>103</v>
      </c>
      <c r="D43" s="35"/>
      <c r="E43" s="35"/>
      <c r="F43" s="34"/>
      <c r="G43" s="35" t="s">
        <v>969</v>
      </c>
      <c r="H43" s="35"/>
      <c r="I43" s="35" t="s">
        <v>55</v>
      </c>
      <c r="J43" s="35" t="s">
        <v>105</v>
      </c>
      <c r="K43" s="34">
        <v>0</v>
      </c>
      <c r="L43" s="35" t="s">
        <v>0</v>
      </c>
      <c r="M43" s="50" t="s">
        <v>223</v>
      </c>
      <c r="N43" s="35"/>
      <c r="O43" s="35"/>
      <c r="P43" s="35"/>
      <c r="Q43" s="35"/>
      <c r="R43" s="52"/>
      <c r="S43" s="35"/>
      <c r="T43" s="35"/>
      <c r="U43" s="35"/>
      <c r="V43" s="35"/>
      <c r="W43" s="35"/>
      <c r="X43" s="35"/>
      <c r="Y43" s="35"/>
      <c r="Z43" s="35"/>
    </row>
    <row r="44" spans="1:26" s="17" customFormat="1">
      <c r="A44" s="33" t="s">
        <v>970</v>
      </c>
      <c r="B44" s="34">
        <f>COUNTA($B$1:B43)</f>
        <v>39</v>
      </c>
      <c r="C44" s="35" t="s">
        <v>228</v>
      </c>
      <c r="D44" s="35"/>
      <c r="E44" s="35"/>
      <c r="F44" s="34"/>
      <c r="G44" s="35" t="s">
        <v>969</v>
      </c>
      <c r="H44" s="35"/>
      <c r="I44" s="35" t="s">
        <v>55</v>
      </c>
      <c r="J44" s="35" t="s">
        <v>229</v>
      </c>
      <c r="K44" s="34">
        <v>0</v>
      </c>
      <c r="L44" s="35" t="s">
        <v>0</v>
      </c>
      <c r="M44" s="50" t="s">
        <v>230</v>
      </c>
      <c r="N44" s="35"/>
      <c r="O44" s="35"/>
      <c r="P44" s="35"/>
      <c r="Q44" s="35"/>
      <c r="R44" s="52"/>
      <c r="S44" s="35"/>
      <c r="T44" s="35"/>
      <c r="U44" s="35"/>
      <c r="V44" s="35"/>
      <c r="W44" s="35"/>
      <c r="X44" s="35"/>
      <c r="Y44" s="35"/>
      <c r="Z44" s="35"/>
    </row>
    <row r="45" spans="1:26" s="17" customFormat="1">
      <c r="A45" s="33" t="s">
        <v>970</v>
      </c>
      <c r="B45" s="34">
        <f>COUNTA($B$1:B44)</f>
        <v>40</v>
      </c>
      <c r="C45" s="35" t="s">
        <v>89</v>
      </c>
      <c r="D45" s="35"/>
      <c r="E45" s="35"/>
      <c r="F45" s="34"/>
      <c r="G45" s="35" t="s">
        <v>969</v>
      </c>
      <c r="H45" s="35"/>
      <c r="I45" s="35" t="s">
        <v>55</v>
      </c>
      <c r="J45" s="35" t="s">
        <v>231</v>
      </c>
      <c r="K45" s="34">
        <v>0</v>
      </c>
      <c r="L45" s="35" t="s">
        <v>0</v>
      </c>
      <c r="M45" s="50" t="s">
        <v>104</v>
      </c>
      <c r="N45" s="35"/>
      <c r="O45" s="35"/>
      <c r="P45" s="35"/>
      <c r="Q45" s="35"/>
      <c r="R45" s="52"/>
      <c r="S45" s="35"/>
      <c r="T45" s="35"/>
      <c r="U45" s="35"/>
      <c r="V45" s="35"/>
      <c r="W45" s="35"/>
      <c r="X45" s="35"/>
      <c r="Y45" s="35"/>
      <c r="Z45" s="35"/>
    </row>
    <row r="46" spans="1:26" s="17" customFormat="1">
      <c r="A46" s="33" t="s">
        <v>970</v>
      </c>
      <c r="B46" s="34">
        <f>COUNTA($B$1:B45)</f>
        <v>41</v>
      </c>
      <c r="C46" s="35" t="s">
        <v>232</v>
      </c>
      <c r="D46" s="35"/>
      <c r="E46" s="35"/>
      <c r="F46" s="34"/>
      <c r="G46" s="35" t="s">
        <v>969</v>
      </c>
      <c r="H46" s="35"/>
      <c r="I46" s="35" t="s">
        <v>55</v>
      </c>
      <c r="J46" s="35" t="s">
        <v>233</v>
      </c>
      <c r="K46" s="34">
        <v>0</v>
      </c>
      <c r="L46" s="35" t="s">
        <v>0</v>
      </c>
      <c r="M46" s="50" t="s">
        <v>234</v>
      </c>
      <c r="N46" s="35"/>
      <c r="O46" s="35"/>
      <c r="P46" s="35"/>
      <c r="Q46" s="35"/>
      <c r="R46" s="52"/>
      <c r="S46" s="35"/>
      <c r="T46" s="35"/>
      <c r="U46" s="35"/>
      <c r="V46" s="35"/>
      <c r="W46" s="35"/>
      <c r="X46" s="35"/>
      <c r="Y46" s="35"/>
      <c r="Z46" s="35"/>
    </row>
    <row r="47" spans="1:26" s="17" customFormat="1">
      <c r="A47" s="33" t="s">
        <v>970</v>
      </c>
      <c r="B47" s="34">
        <f>COUNTA($B$1:B46)</f>
        <v>42</v>
      </c>
      <c r="C47" s="35" t="s">
        <v>235</v>
      </c>
      <c r="D47" s="35"/>
      <c r="E47" s="35"/>
      <c r="F47" s="34"/>
      <c r="G47" s="35" t="s">
        <v>969</v>
      </c>
      <c r="H47" s="35"/>
      <c r="I47" s="35" t="s">
        <v>55</v>
      </c>
      <c r="J47" s="35" t="s">
        <v>236</v>
      </c>
      <c r="K47" s="34">
        <v>0</v>
      </c>
      <c r="L47" s="35" t="s">
        <v>0</v>
      </c>
      <c r="M47" s="50" t="s">
        <v>237</v>
      </c>
      <c r="N47" s="35"/>
      <c r="O47" s="35"/>
      <c r="P47" s="35"/>
      <c r="Q47" s="35"/>
      <c r="R47" s="52"/>
      <c r="S47" s="35"/>
      <c r="T47" s="35"/>
      <c r="U47" s="35"/>
      <c r="V47" s="35"/>
      <c r="W47" s="35"/>
      <c r="X47" s="35"/>
      <c r="Y47" s="35"/>
      <c r="Z47" s="35"/>
    </row>
    <row r="48" spans="1:26" s="17" customFormat="1">
      <c r="A48" s="33" t="s">
        <v>970</v>
      </c>
      <c r="B48" s="34">
        <f>COUNTA($B$1:B47)</f>
        <v>43</v>
      </c>
      <c r="C48" s="35" t="s">
        <v>238</v>
      </c>
      <c r="D48" s="35"/>
      <c r="E48" s="35"/>
      <c r="F48" s="34"/>
      <c r="G48" s="35" t="s">
        <v>969</v>
      </c>
      <c r="H48" s="35"/>
      <c r="I48" s="35" t="s">
        <v>55</v>
      </c>
      <c r="J48" s="35" t="s">
        <v>90</v>
      </c>
      <c r="K48" s="34">
        <v>0</v>
      </c>
      <c r="L48" s="35" t="s">
        <v>0</v>
      </c>
      <c r="M48" s="50" t="s">
        <v>239</v>
      </c>
      <c r="N48" s="35"/>
      <c r="O48" s="35"/>
      <c r="P48" s="35"/>
      <c r="Q48" s="35"/>
      <c r="R48" s="52"/>
      <c r="S48" s="35"/>
      <c r="T48" s="35"/>
      <c r="U48" s="35"/>
      <c r="V48" s="35"/>
      <c r="W48" s="35"/>
      <c r="X48" s="35"/>
      <c r="Y48" s="35"/>
      <c r="Z48" s="35"/>
    </row>
    <row r="49" spans="1:26">
      <c r="A49" s="33" t="s">
        <v>970</v>
      </c>
      <c r="B49" s="34">
        <f>COUNTA($B$1:B48)</f>
        <v>44</v>
      </c>
      <c r="C49" s="35" t="s">
        <v>190</v>
      </c>
      <c r="D49" s="35"/>
      <c r="E49" s="35"/>
      <c r="F49" s="34"/>
      <c r="G49" s="35" t="s">
        <v>969</v>
      </c>
      <c r="H49" s="35"/>
      <c r="I49" s="35" t="s">
        <v>55</v>
      </c>
      <c r="J49" s="35" t="s">
        <v>87</v>
      </c>
      <c r="K49" s="34">
        <v>0</v>
      </c>
      <c r="L49" s="35" t="s">
        <v>147</v>
      </c>
      <c r="M49" s="36"/>
      <c r="N49" s="35"/>
      <c r="O49" s="35"/>
      <c r="P49" s="35"/>
      <c r="Q49" s="35"/>
      <c r="R49" s="35"/>
      <c r="S49" s="35"/>
      <c r="T49" s="35"/>
      <c r="U49" s="35"/>
      <c r="V49" s="35"/>
      <c r="W49" s="35"/>
      <c r="X49" s="35"/>
      <c r="Y49" s="35"/>
      <c r="Z49" s="35"/>
    </row>
    <row r="50" spans="1:26">
      <c r="A50" s="33" t="s">
        <v>970</v>
      </c>
      <c r="B50" s="34">
        <f>COUNTA($B$1:B49)</f>
        <v>45</v>
      </c>
      <c r="C50" s="35" t="s">
        <v>67</v>
      </c>
      <c r="D50" s="35"/>
      <c r="E50" s="35"/>
      <c r="F50" s="34"/>
      <c r="G50" s="35" t="s">
        <v>969</v>
      </c>
      <c r="H50" s="35"/>
      <c r="I50" s="35"/>
      <c r="J50" s="35"/>
      <c r="K50" s="34"/>
      <c r="L50" s="35" t="s">
        <v>67</v>
      </c>
      <c r="M50" s="36">
        <v>10</v>
      </c>
      <c r="N50" s="35"/>
      <c r="O50" s="35"/>
      <c r="P50" s="35"/>
      <c r="Q50" s="35"/>
      <c r="R50" s="36"/>
      <c r="S50" s="35"/>
      <c r="T50" s="35"/>
      <c r="U50" s="35"/>
      <c r="V50" s="35"/>
      <c r="W50" s="35"/>
      <c r="X50" s="35"/>
      <c r="Y50" s="35"/>
      <c r="Z50" s="35"/>
    </row>
    <row r="51" spans="1:26">
      <c r="A51" s="30" t="s">
        <v>91</v>
      </c>
      <c r="B51" s="190"/>
      <c r="C51" s="31"/>
      <c r="D51" s="32"/>
      <c r="E51" s="32"/>
      <c r="F51" s="31"/>
      <c r="G51" s="32"/>
      <c r="H51" s="32"/>
      <c r="I51" s="32"/>
      <c r="J51" s="32"/>
      <c r="K51" s="31"/>
      <c r="L51" s="32"/>
      <c r="M51" s="32"/>
      <c r="N51" s="32"/>
      <c r="O51" s="32"/>
      <c r="P51" s="32"/>
      <c r="Q51" s="32"/>
      <c r="R51" s="32"/>
      <c r="S51" s="32"/>
      <c r="T51" s="32"/>
      <c r="U51" s="32"/>
      <c r="V51" s="32"/>
      <c r="W51" s="32"/>
      <c r="X51" s="32"/>
      <c r="Y51" s="32"/>
      <c r="Z51" s="32"/>
    </row>
    <row r="52" spans="1:26">
      <c r="A52" s="45" t="s">
        <v>970</v>
      </c>
      <c r="B52" s="47">
        <f>COUNTA($B$1:B51)</f>
        <v>46</v>
      </c>
      <c r="C52" s="46" t="s">
        <v>140</v>
      </c>
      <c r="D52" s="46"/>
      <c r="E52" s="46"/>
      <c r="F52" s="47"/>
      <c r="G52" s="46" t="s">
        <v>969</v>
      </c>
      <c r="H52" s="46"/>
      <c r="I52" s="46" t="s">
        <v>55</v>
      </c>
      <c r="J52" s="46" t="s">
        <v>141</v>
      </c>
      <c r="K52" s="47"/>
      <c r="L52" s="46" t="s">
        <v>142</v>
      </c>
      <c r="M52" s="48"/>
      <c r="N52" s="46"/>
      <c r="O52" s="46" t="s">
        <v>2</v>
      </c>
      <c r="P52" s="46"/>
      <c r="Q52" s="46"/>
      <c r="R52" s="49"/>
      <c r="S52" s="46"/>
      <c r="T52" s="46"/>
      <c r="U52" s="46"/>
      <c r="V52" s="46"/>
      <c r="W52" s="46"/>
      <c r="X52" s="46"/>
      <c r="Y52" s="46"/>
      <c r="Z52" s="46"/>
    </row>
    <row r="53" spans="1:26">
      <c r="A53" s="45" t="s">
        <v>970</v>
      </c>
      <c r="B53" s="47">
        <f>COUNTA($B$1:B52)</f>
        <v>47</v>
      </c>
      <c r="C53" s="46" t="s">
        <v>143</v>
      </c>
      <c r="D53" s="46"/>
      <c r="E53" s="46"/>
      <c r="F53" s="47"/>
      <c r="G53" s="46" t="s">
        <v>969</v>
      </c>
      <c r="H53" s="46"/>
      <c r="I53" s="46" t="s">
        <v>55</v>
      </c>
      <c r="J53" s="46" t="s">
        <v>141</v>
      </c>
      <c r="K53" s="47"/>
      <c r="L53" s="46" t="s">
        <v>98</v>
      </c>
      <c r="M53" s="48"/>
      <c r="N53" s="46" t="s">
        <v>99</v>
      </c>
      <c r="O53" s="46" t="s">
        <v>2</v>
      </c>
      <c r="P53" s="46"/>
      <c r="Q53" s="46"/>
      <c r="R53" s="49" t="s">
        <v>144</v>
      </c>
      <c r="S53" s="46"/>
      <c r="T53" s="46"/>
      <c r="U53" s="46"/>
      <c r="V53" s="46"/>
      <c r="W53" s="46"/>
      <c r="X53" s="46"/>
      <c r="Y53" s="46"/>
      <c r="Z53" s="46"/>
    </row>
    <row r="54" spans="1:26">
      <c r="A54" s="45" t="s">
        <v>970</v>
      </c>
      <c r="B54" s="47">
        <f>COUNTA($B$1:B53)</f>
        <v>48</v>
      </c>
      <c r="C54" s="46" t="s">
        <v>145</v>
      </c>
      <c r="D54" s="46"/>
      <c r="E54" s="46"/>
      <c r="F54" s="47"/>
      <c r="G54" s="46" t="s">
        <v>969</v>
      </c>
      <c r="H54" s="46"/>
      <c r="I54" s="46" t="s">
        <v>55</v>
      </c>
      <c r="J54" s="46" t="s">
        <v>146</v>
      </c>
      <c r="K54" s="47"/>
      <c r="L54" s="46" t="s">
        <v>147</v>
      </c>
      <c r="M54" s="48"/>
      <c r="N54" s="46"/>
      <c r="O54" s="46" t="s">
        <v>2</v>
      </c>
      <c r="P54" s="46"/>
      <c r="Q54" s="46"/>
      <c r="R54" s="48"/>
      <c r="S54" s="46"/>
      <c r="T54" s="46"/>
      <c r="U54" s="46"/>
      <c r="V54" s="46"/>
      <c r="W54" s="46"/>
      <c r="X54" s="46"/>
      <c r="Y54" s="46"/>
      <c r="Z54" s="46"/>
    </row>
    <row r="55" spans="1:26">
      <c r="A55" s="33" t="s">
        <v>970</v>
      </c>
      <c r="B55" s="34">
        <f>COUNTA($B$1:B54)</f>
        <v>49</v>
      </c>
      <c r="C55" s="35" t="s">
        <v>93</v>
      </c>
      <c r="D55" s="35"/>
      <c r="E55" s="35"/>
      <c r="F55" s="34"/>
      <c r="G55" s="35" t="s">
        <v>969</v>
      </c>
      <c r="H55" s="35"/>
      <c r="I55" s="35" t="s">
        <v>55</v>
      </c>
      <c r="J55" s="35" t="s">
        <v>92</v>
      </c>
      <c r="K55" s="34">
        <v>0</v>
      </c>
      <c r="L55" s="35" t="s">
        <v>0</v>
      </c>
      <c r="M55" s="50" t="s">
        <v>261</v>
      </c>
      <c r="N55" s="35"/>
      <c r="O55" s="35"/>
      <c r="P55" s="35"/>
      <c r="Q55" s="35"/>
      <c r="R55" s="52"/>
      <c r="S55" s="35"/>
      <c r="T55" s="35"/>
      <c r="U55" s="35"/>
      <c r="V55" s="35"/>
      <c r="W55" s="35"/>
      <c r="X55" s="35"/>
      <c r="Y55" s="35"/>
      <c r="Z55" s="35"/>
    </row>
    <row r="56" spans="1:26">
      <c r="A56" s="33" t="s">
        <v>970</v>
      </c>
      <c r="B56" s="34">
        <f>COUNTA($B$1:B55)</f>
        <v>50</v>
      </c>
      <c r="C56" s="35" t="s">
        <v>262</v>
      </c>
      <c r="D56" s="35"/>
      <c r="E56" s="35"/>
      <c r="F56" s="34"/>
      <c r="G56" s="35" t="s">
        <v>969</v>
      </c>
      <c r="H56" s="35"/>
      <c r="I56" s="35" t="s">
        <v>55</v>
      </c>
      <c r="J56" s="192"/>
      <c r="K56" s="34">
        <v>0</v>
      </c>
      <c r="L56" s="35" t="s">
        <v>95</v>
      </c>
      <c r="M56" s="35"/>
      <c r="N56" s="35"/>
      <c r="O56" s="35"/>
      <c r="P56" s="35"/>
      <c r="Q56" s="35"/>
      <c r="R56" s="52"/>
      <c r="S56" s="35"/>
      <c r="T56" s="35"/>
      <c r="U56" s="35"/>
      <c r="V56" s="35"/>
      <c r="W56" s="35"/>
      <c r="X56" s="35"/>
      <c r="Y56" s="35"/>
      <c r="Z56" s="35"/>
    </row>
    <row r="57" spans="1:26">
      <c r="A57" s="45" t="s">
        <v>970</v>
      </c>
      <c r="B57" s="47">
        <f>COUNTA($B$1:B56)</f>
        <v>51</v>
      </c>
      <c r="C57" s="46" t="s">
        <v>140</v>
      </c>
      <c r="D57" s="46"/>
      <c r="E57" s="46"/>
      <c r="F57" s="47"/>
      <c r="G57" s="46" t="s">
        <v>969</v>
      </c>
      <c r="H57" s="46"/>
      <c r="I57" s="46" t="s">
        <v>55</v>
      </c>
      <c r="J57" s="46" t="s">
        <v>141</v>
      </c>
      <c r="K57" s="47"/>
      <c r="L57" s="46" t="s">
        <v>142</v>
      </c>
      <c r="M57" s="48"/>
      <c r="N57" s="46"/>
      <c r="O57" s="46" t="s">
        <v>2</v>
      </c>
      <c r="P57" s="46"/>
      <c r="Q57" s="46"/>
      <c r="R57" s="49"/>
      <c r="S57" s="46"/>
      <c r="T57" s="46"/>
      <c r="U57" s="46"/>
      <c r="V57" s="46"/>
      <c r="W57" s="46"/>
      <c r="X57" s="46"/>
      <c r="Y57" s="46"/>
      <c r="Z57" s="46"/>
    </row>
    <row r="58" spans="1:26" s="17" customFormat="1">
      <c r="A58" s="45" t="s">
        <v>970</v>
      </c>
      <c r="B58" s="47">
        <f>COUNTA($B$1:B57)</f>
        <v>52</v>
      </c>
      <c r="C58" s="46" t="s">
        <v>143</v>
      </c>
      <c r="D58" s="46"/>
      <c r="E58" s="46"/>
      <c r="F58" s="47"/>
      <c r="G58" s="46" t="s">
        <v>969</v>
      </c>
      <c r="H58" s="46"/>
      <c r="I58" s="46" t="s">
        <v>55</v>
      </c>
      <c r="J58" s="46" t="s">
        <v>141</v>
      </c>
      <c r="K58" s="47"/>
      <c r="L58" s="46" t="s">
        <v>98</v>
      </c>
      <c r="M58" s="48"/>
      <c r="N58" s="46" t="s">
        <v>99</v>
      </c>
      <c r="O58" s="46" t="s">
        <v>2</v>
      </c>
      <c r="P58" s="46"/>
      <c r="Q58" s="46"/>
      <c r="R58" s="49" t="s">
        <v>144</v>
      </c>
      <c r="S58" s="46"/>
      <c r="T58" s="46"/>
      <c r="U58" s="46"/>
      <c r="V58" s="46"/>
      <c r="W58" s="46"/>
      <c r="X58" s="46"/>
      <c r="Y58" s="46"/>
      <c r="Z58" s="46"/>
    </row>
    <row r="59" spans="1:26" s="17" customFormat="1">
      <c r="A59" s="45" t="s">
        <v>970</v>
      </c>
      <c r="B59" s="47">
        <f>COUNTA($B$1:B58)</f>
        <v>53</v>
      </c>
      <c r="C59" s="46" t="s">
        <v>145</v>
      </c>
      <c r="D59" s="46"/>
      <c r="E59" s="46"/>
      <c r="F59" s="47"/>
      <c r="G59" s="46" t="s">
        <v>969</v>
      </c>
      <c r="H59" s="46"/>
      <c r="I59" s="46" t="s">
        <v>55</v>
      </c>
      <c r="J59" s="46" t="s">
        <v>146</v>
      </c>
      <c r="K59" s="47"/>
      <c r="L59" s="46" t="s">
        <v>147</v>
      </c>
      <c r="M59" s="48"/>
      <c r="N59" s="46"/>
      <c r="O59" s="46" t="s">
        <v>2</v>
      </c>
      <c r="P59" s="46"/>
      <c r="Q59" s="46"/>
      <c r="R59" s="48"/>
      <c r="S59" s="46"/>
      <c r="T59" s="46"/>
      <c r="U59" s="46"/>
      <c r="V59" s="46"/>
      <c r="W59" s="46"/>
      <c r="X59" s="46"/>
      <c r="Y59" s="46"/>
      <c r="Z59" s="46"/>
    </row>
    <row r="60" spans="1:26" s="17" customFormat="1">
      <c r="A60" s="33" t="s">
        <v>970</v>
      </c>
      <c r="B60" s="34">
        <f>COUNTA($B$1:B59)</f>
        <v>54</v>
      </c>
      <c r="C60" s="35" t="s">
        <v>94</v>
      </c>
      <c r="D60" s="35"/>
      <c r="E60" s="35"/>
      <c r="F60" s="34"/>
      <c r="G60" s="35" t="s">
        <v>969</v>
      </c>
      <c r="H60" s="35"/>
      <c r="I60" s="35" t="s">
        <v>55</v>
      </c>
      <c r="J60" s="35" t="s">
        <v>263</v>
      </c>
      <c r="K60" s="34">
        <v>0</v>
      </c>
      <c r="L60" s="35" t="s">
        <v>0</v>
      </c>
      <c r="M60" s="50" t="s">
        <v>264</v>
      </c>
      <c r="N60" s="35"/>
      <c r="O60" s="35"/>
      <c r="P60" s="35"/>
      <c r="Q60" s="35"/>
      <c r="R60" s="52"/>
      <c r="S60" s="35"/>
      <c r="T60" s="35"/>
      <c r="U60" s="35"/>
      <c r="V60" s="35"/>
      <c r="W60" s="35"/>
      <c r="X60" s="35"/>
      <c r="Y60" s="35"/>
      <c r="Z60" s="35"/>
    </row>
    <row r="61" spans="1:26" s="17" customFormat="1">
      <c r="A61" s="33" t="s">
        <v>970</v>
      </c>
      <c r="B61" s="34">
        <f>COUNTA($B$1:B60)</f>
        <v>55</v>
      </c>
      <c r="C61" s="35" t="s">
        <v>262</v>
      </c>
      <c r="D61" s="35"/>
      <c r="E61" s="35"/>
      <c r="F61" s="34"/>
      <c r="G61" s="35" t="s">
        <v>969</v>
      </c>
      <c r="H61" s="35"/>
      <c r="I61" s="35"/>
      <c r="J61" s="35"/>
      <c r="K61" s="34">
        <v>0</v>
      </c>
      <c r="L61" s="35" t="s">
        <v>96</v>
      </c>
      <c r="M61" s="35"/>
      <c r="N61" s="35"/>
      <c r="O61" s="35"/>
      <c r="P61" s="35"/>
      <c r="Q61" s="35"/>
      <c r="R61" s="52"/>
      <c r="S61" s="35"/>
      <c r="T61" s="35"/>
      <c r="U61" s="35"/>
      <c r="V61" s="35"/>
      <c r="W61" s="35"/>
      <c r="X61" s="35"/>
      <c r="Y61" s="35"/>
      <c r="Z61" s="35"/>
    </row>
    <row r="62" spans="1:26" s="17" customFormat="1">
      <c r="A62" s="33" t="s">
        <v>970</v>
      </c>
      <c r="B62" s="34">
        <f>COUNTA($B$1:B61)</f>
        <v>56</v>
      </c>
      <c r="C62" s="35" t="s">
        <v>262</v>
      </c>
      <c r="D62" s="35"/>
      <c r="E62" s="35"/>
      <c r="F62" s="34"/>
      <c r="G62" s="35" t="s">
        <v>969</v>
      </c>
      <c r="H62" s="35"/>
      <c r="I62" s="192"/>
      <c r="J62" s="192"/>
      <c r="K62" s="34">
        <v>0</v>
      </c>
      <c r="L62" s="35" t="s">
        <v>95</v>
      </c>
      <c r="M62" s="35"/>
      <c r="N62" s="35"/>
      <c r="O62" s="35"/>
      <c r="P62" s="35"/>
      <c r="Q62" s="35"/>
      <c r="R62" s="52"/>
      <c r="S62" s="35"/>
      <c r="T62" s="35"/>
      <c r="U62" s="35"/>
      <c r="V62" s="35"/>
      <c r="W62" s="35"/>
      <c r="X62" s="35"/>
      <c r="Y62" s="35"/>
      <c r="Z62" s="35"/>
    </row>
    <row r="63" spans="1:26" s="17" customFormat="1">
      <c r="A63" s="217" t="s">
        <v>21</v>
      </c>
      <c r="B63" s="218">
        <f>COUNTA($B$1:B62)</f>
        <v>57</v>
      </c>
      <c r="C63" s="219" t="s">
        <v>226</v>
      </c>
      <c r="D63" s="51"/>
      <c r="E63" s="52"/>
      <c r="F63" s="34"/>
      <c r="G63" s="35" t="s">
        <v>969</v>
      </c>
      <c r="H63" s="35"/>
      <c r="I63" s="35"/>
      <c r="J63" s="35"/>
      <c r="K63" s="34"/>
      <c r="L63" s="35" t="s">
        <v>227</v>
      </c>
      <c r="M63" s="36" t="s">
        <v>79</v>
      </c>
      <c r="N63" s="35"/>
      <c r="O63" s="35"/>
      <c r="P63" s="35"/>
      <c r="Q63" s="35"/>
      <c r="R63" s="35"/>
      <c r="S63" s="52"/>
      <c r="T63" s="35"/>
      <c r="U63" s="35"/>
      <c r="V63" s="35"/>
      <c r="W63" s="35"/>
      <c r="X63" s="52"/>
      <c r="Y63" s="52"/>
      <c r="Z63" s="52"/>
    </row>
    <row r="64" spans="1:26" s="17" customFormat="1">
      <c r="A64" s="217" t="s">
        <v>21</v>
      </c>
      <c r="B64" s="218">
        <f>COUNTA($B$1:B63)</f>
        <v>58</v>
      </c>
      <c r="C64" s="219" t="s">
        <v>265</v>
      </c>
      <c r="D64" s="35"/>
      <c r="E64" s="35"/>
      <c r="F64" s="34"/>
      <c r="G64" s="35" t="s">
        <v>969</v>
      </c>
      <c r="H64" s="35"/>
      <c r="I64" s="35"/>
      <c r="J64" s="35"/>
      <c r="K64" s="34"/>
      <c r="L64" s="35" t="s">
        <v>227</v>
      </c>
      <c r="M64" s="50" t="s">
        <v>266</v>
      </c>
      <c r="N64" s="35"/>
      <c r="O64" s="35"/>
      <c r="P64" s="35"/>
      <c r="Q64" s="35"/>
      <c r="R64" s="52"/>
      <c r="S64" s="35"/>
      <c r="T64" s="35"/>
      <c r="U64" s="35"/>
      <c r="V64" s="35"/>
      <c r="W64" s="35"/>
      <c r="X64" s="35"/>
      <c r="Y64" s="35"/>
      <c r="Z64" s="35"/>
    </row>
    <row r="65" spans="1:26" s="17" customFormat="1">
      <c r="A65" s="217" t="s">
        <v>21</v>
      </c>
      <c r="B65" s="218">
        <f>COUNTA($B$1:B64)</f>
        <v>59</v>
      </c>
      <c r="C65" s="219" t="s">
        <v>267</v>
      </c>
      <c r="D65" s="35"/>
      <c r="E65" s="35"/>
      <c r="F65" s="34"/>
      <c r="G65" s="35" t="s">
        <v>969</v>
      </c>
      <c r="H65" s="35"/>
      <c r="I65" s="35"/>
      <c r="J65" s="35"/>
      <c r="K65" s="34"/>
      <c r="L65" s="35" t="s">
        <v>227</v>
      </c>
      <c r="M65" s="50" t="s">
        <v>268</v>
      </c>
      <c r="N65" s="35"/>
      <c r="O65" s="35"/>
      <c r="P65" s="35"/>
      <c r="Q65" s="35"/>
      <c r="R65" s="52"/>
      <c r="S65" s="35"/>
      <c r="T65" s="35"/>
      <c r="U65" s="35"/>
      <c r="V65" s="35"/>
      <c r="W65" s="35"/>
      <c r="X65" s="35"/>
      <c r="Y65" s="35"/>
      <c r="Z65" s="35"/>
    </row>
    <row r="66" spans="1:26" s="19" customFormat="1" outlineLevel="1">
      <c r="A66" s="33" t="s">
        <v>970</v>
      </c>
      <c r="B66" s="34">
        <f>COUNTA($B$1:B65)</f>
        <v>60</v>
      </c>
      <c r="C66" s="35" t="s">
        <v>948</v>
      </c>
      <c r="D66" s="35"/>
      <c r="E66" s="35"/>
      <c r="F66" s="34"/>
      <c r="G66" s="35" t="s">
        <v>969</v>
      </c>
      <c r="H66" s="35"/>
      <c r="I66" s="35" t="s">
        <v>55</v>
      </c>
      <c r="J66" s="35" t="s">
        <v>949</v>
      </c>
      <c r="K66" s="34">
        <v>0</v>
      </c>
      <c r="L66" s="35" t="s">
        <v>34</v>
      </c>
      <c r="M66" s="35"/>
      <c r="N66" s="35"/>
      <c r="O66" s="35"/>
      <c r="P66" s="35"/>
      <c r="Q66" s="35"/>
      <c r="R66" s="35"/>
      <c r="S66" s="35"/>
      <c r="T66" s="35"/>
      <c r="U66" s="35"/>
      <c r="V66" s="35"/>
      <c r="W66" s="35"/>
      <c r="X66" s="35"/>
      <c r="Y66" s="35"/>
      <c r="Z66" s="35"/>
    </row>
    <row r="67" spans="1:26" s="19" customFormat="1" outlineLevel="1">
      <c r="A67" s="33" t="s">
        <v>970</v>
      </c>
      <c r="B67" s="34">
        <f>COUNTA($B$1:B66)</f>
        <v>61</v>
      </c>
      <c r="C67" s="35" t="s">
        <v>67</v>
      </c>
      <c r="D67" s="35"/>
      <c r="E67" s="35"/>
      <c r="F67" s="34"/>
      <c r="G67" s="35" t="s">
        <v>969</v>
      </c>
      <c r="H67" s="35"/>
      <c r="I67" s="35"/>
      <c r="J67" s="35"/>
      <c r="K67" s="34"/>
      <c r="L67" s="35" t="s">
        <v>67</v>
      </c>
      <c r="M67" s="36">
        <v>2</v>
      </c>
      <c r="N67" s="35"/>
      <c r="O67" s="35"/>
      <c r="P67" s="35"/>
      <c r="Q67" s="35"/>
      <c r="R67" s="35"/>
      <c r="S67" s="35"/>
      <c r="T67" s="35"/>
      <c r="U67" s="35"/>
      <c r="V67" s="35"/>
      <c r="W67" s="35"/>
      <c r="X67" s="35"/>
      <c r="Y67" s="35"/>
      <c r="Z67" s="35"/>
    </row>
    <row r="68" spans="1:26" s="19" customFormat="1" outlineLevel="1">
      <c r="A68" s="33" t="s">
        <v>970</v>
      </c>
      <c r="B68" s="34">
        <f>COUNTA($B$1:B67)</f>
        <v>62</v>
      </c>
      <c r="C68" s="35" t="s">
        <v>952</v>
      </c>
      <c r="D68" s="35"/>
      <c r="E68" s="35"/>
      <c r="F68" s="34"/>
      <c r="G68" s="35" t="s">
        <v>969</v>
      </c>
      <c r="H68" s="35"/>
      <c r="I68" s="35" t="s">
        <v>55</v>
      </c>
      <c r="J68" s="35" t="s">
        <v>949</v>
      </c>
      <c r="K68" s="34">
        <v>0</v>
      </c>
      <c r="L68" s="35" t="s">
        <v>951</v>
      </c>
      <c r="M68" s="50" t="s">
        <v>266</v>
      </c>
      <c r="N68" s="35"/>
      <c r="O68" s="35"/>
      <c r="P68" s="35"/>
      <c r="Q68" s="35"/>
      <c r="R68" s="35"/>
      <c r="S68" s="35"/>
      <c r="T68" s="35"/>
      <c r="U68" s="35"/>
      <c r="V68" s="35"/>
      <c r="W68" s="35"/>
      <c r="X68" s="35"/>
      <c r="Y68" s="35"/>
      <c r="Z68" s="35"/>
    </row>
    <row r="69" spans="1:26" s="19" customFormat="1" outlineLevel="1">
      <c r="A69" s="33" t="s">
        <v>970</v>
      </c>
      <c r="B69" s="34">
        <f>COUNTA($B$1:B68)</f>
        <v>63</v>
      </c>
      <c r="C69" s="35" t="s">
        <v>953</v>
      </c>
      <c r="D69" s="35"/>
      <c r="E69" s="35"/>
      <c r="F69" s="34"/>
      <c r="G69" s="35" t="s">
        <v>969</v>
      </c>
      <c r="H69" s="35"/>
      <c r="I69" s="35" t="s">
        <v>55</v>
      </c>
      <c r="J69" s="35" t="s">
        <v>949</v>
      </c>
      <c r="K69" s="34">
        <v>0</v>
      </c>
      <c r="L69" s="35" t="s">
        <v>951</v>
      </c>
      <c r="M69" s="50" t="s">
        <v>268</v>
      </c>
      <c r="N69" s="35"/>
      <c r="O69" s="35"/>
      <c r="P69" s="35"/>
      <c r="Q69" s="35"/>
      <c r="R69" s="35"/>
      <c r="S69" s="35"/>
      <c r="T69" s="35"/>
      <c r="U69" s="35"/>
      <c r="V69" s="35"/>
      <c r="W69" s="35"/>
      <c r="X69" s="35"/>
      <c r="Y69" s="35"/>
      <c r="Z69" s="35"/>
    </row>
    <row r="70" spans="1:26" s="19" customFormat="1" outlineLevel="1">
      <c r="A70" s="33" t="s">
        <v>970</v>
      </c>
      <c r="B70" s="34">
        <f>COUNTA($B$1:B69)</f>
        <v>64</v>
      </c>
      <c r="C70" s="35" t="s">
        <v>67</v>
      </c>
      <c r="D70" s="35"/>
      <c r="E70" s="35"/>
      <c r="F70" s="34"/>
      <c r="G70" s="35" t="s">
        <v>969</v>
      </c>
      <c r="H70" s="35"/>
      <c r="I70" s="35"/>
      <c r="J70" s="35"/>
      <c r="K70" s="34"/>
      <c r="L70" s="35" t="s">
        <v>67</v>
      </c>
      <c r="M70" s="36">
        <v>2</v>
      </c>
      <c r="N70" s="35"/>
      <c r="O70" s="35"/>
      <c r="P70" s="35"/>
      <c r="Q70" s="35"/>
      <c r="R70" s="35"/>
      <c r="S70" s="35"/>
      <c r="T70" s="35"/>
      <c r="U70" s="35"/>
      <c r="V70" s="35"/>
      <c r="W70" s="35"/>
      <c r="X70" s="35"/>
      <c r="Y70" s="35"/>
      <c r="Z70" s="35"/>
    </row>
    <row r="71" spans="1:26">
      <c r="A71" s="33" t="s">
        <v>970</v>
      </c>
      <c r="B71" s="34">
        <f>COUNTA($B$1:B70)</f>
        <v>65</v>
      </c>
      <c r="C71" s="35" t="s">
        <v>262</v>
      </c>
      <c r="D71" s="35"/>
      <c r="E71" s="35"/>
      <c r="F71" s="34"/>
      <c r="G71" s="35" t="s">
        <v>969</v>
      </c>
      <c r="H71" s="35"/>
      <c r="I71" s="35"/>
      <c r="J71" s="35"/>
      <c r="K71" s="34">
        <v>0</v>
      </c>
      <c r="L71" s="35" t="s">
        <v>96</v>
      </c>
      <c r="M71" s="35"/>
      <c r="N71" s="35"/>
      <c r="O71" s="35"/>
      <c r="P71" s="35"/>
      <c r="Q71" s="35"/>
      <c r="R71" s="52"/>
      <c r="S71" s="35"/>
      <c r="T71" s="35"/>
      <c r="U71" s="35"/>
      <c r="V71" s="35"/>
      <c r="W71" s="35"/>
      <c r="X71" s="35"/>
      <c r="Y71" s="35"/>
      <c r="Z71" s="35"/>
    </row>
    <row r="72" spans="1:26">
      <c r="A72" s="33" t="s">
        <v>970</v>
      </c>
      <c r="B72" s="34">
        <f>COUNTA($B$1:B71)</f>
        <v>66</v>
      </c>
      <c r="C72" s="35" t="s">
        <v>67</v>
      </c>
      <c r="D72" s="35"/>
      <c r="E72" s="35"/>
      <c r="F72" s="34"/>
      <c r="G72" s="35" t="s">
        <v>969</v>
      </c>
      <c r="H72" s="35"/>
      <c r="I72" s="35"/>
      <c r="J72" s="35"/>
      <c r="K72" s="34"/>
      <c r="L72" s="35" t="s">
        <v>67</v>
      </c>
      <c r="M72" s="36">
        <v>2</v>
      </c>
      <c r="N72" s="35"/>
      <c r="O72" s="35"/>
      <c r="P72" s="35"/>
      <c r="Q72" s="35"/>
      <c r="R72" s="36"/>
      <c r="S72" s="35"/>
      <c r="T72" s="35"/>
      <c r="U72" s="35"/>
      <c r="V72" s="35"/>
      <c r="W72" s="35"/>
      <c r="X72" s="35"/>
      <c r="Y72" s="35"/>
      <c r="Z72" s="35"/>
    </row>
    <row r="73" spans="1:26" s="12" customFormat="1" ht="12.75" customHeight="1">
      <c r="A73" s="33" t="s">
        <v>970</v>
      </c>
      <c r="B73" s="34">
        <f>COUNTA($B$1:B72)</f>
        <v>67</v>
      </c>
      <c r="C73" s="35" t="s">
        <v>312</v>
      </c>
      <c r="D73" s="51"/>
      <c r="E73" s="52" t="s">
        <v>154</v>
      </c>
      <c r="F73" s="34"/>
      <c r="G73" s="35" t="s">
        <v>969</v>
      </c>
      <c r="H73" s="35"/>
      <c r="I73" s="35" t="s">
        <v>55</v>
      </c>
      <c r="J73" s="35" t="s">
        <v>313</v>
      </c>
      <c r="K73" s="34">
        <v>0</v>
      </c>
      <c r="L73" s="35" t="s">
        <v>878</v>
      </c>
      <c r="M73" s="36"/>
      <c r="N73" s="35"/>
      <c r="O73" s="35"/>
      <c r="P73" s="35"/>
      <c r="Q73" s="35"/>
      <c r="R73" s="35"/>
      <c r="S73" s="52"/>
      <c r="T73" s="35"/>
      <c r="U73" s="35"/>
      <c r="V73" s="35"/>
      <c r="W73" s="35"/>
      <c r="X73" s="52"/>
      <c r="Y73" s="52"/>
      <c r="Z73" s="52"/>
    </row>
    <row r="74" spans="1:26">
      <c r="A74" s="33" t="s">
        <v>970</v>
      </c>
      <c r="B74" s="34">
        <f>COUNTA($B$1:B73)</f>
        <v>68</v>
      </c>
      <c r="C74" s="35" t="s">
        <v>67</v>
      </c>
      <c r="D74" s="35"/>
      <c r="E74" s="35"/>
      <c r="F74" s="34"/>
      <c r="G74" s="35" t="s">
        <v>969</v>
      </c>
      <c r="H74" s="35"/>
      <c r="I74" s="35"/>
      <c r="J74" s="35"/>
      <c r="K74" s="34"/>
      <c r="L74" s="35" t="s">
        <v>67</v>
      </c>
      <c r="M74" s="36">
        <v>2</v>
      </c>
      <c r="N74" s="35"/>
      <c r="O74" s="35"/>
      <c r="P74" s="35"/>
      <c r="Q74" s="35"/>
      <c r="R74" s="36"/>
      <c r="S74" s="35"/>
      <c r="T74" s="35"/>
      <c r="U74" s="35"/>
      <c r="V74" s="35"/>
      <c r="W74" s="35"/>
      <c r="X74" s="35"/>
      <c r="Y74" s="35"/>
      <c r="Z74" s="35"/>
    </row>
    <row r="75" spans="1:26">
      <c r="A75" s="30" t="s">
        <v>934</v>
      </c>
      <c r="B75" s="31"/>
      <c r="C75" s="31"/>
      <c r="D75" s="32"/>
      <c r="E75" s="32"/>
      <c r="F75" s="31"/>
      <c r="G75" s="32"/>
      <c r="H75" s="32"/>
      <c r="I75" s="32"/>
      <c r="J75" s="32"/>
      <c r="K75" s="31"/>
      <c r="L75" s="32"/>
      <c r="M75" s="32"/>
      <c r="N75" s="32"/>
      <c r="O75" s="32"/>
      <c r="P75" s="32"/>
      <c r="Q75" s="32"/>
      <c r="R75" s="32"/>
      <c r="S75" s="32"/>
      <c r="T75" s="32"/>
      <c r="U75" s="32"/>
      <c r="V75" s="32"/>
      <c r="W75" s="32"/>
      <c r="X75" s="32"/>
      <c r="Y75" s="32"/>
      <c r="Z75" s="32"/>
    </row>
    <row r="76" spans="1:26">
      <c r="A76" s="33" t="s">
        <v>970</v>
      </c>
      <c r="B76" s="34">
        <f>COUNTA($B$1:B74)</f>
        <v>69</v>
      </c>
      <c r="C76" s="35" t="s">
        <v>879</v>
      </c>
      <c r="D76" s="35"/>
      <c r="E76" s="35"/>
      <c r="F76" s="34"/>
      <c r="G76" s="35" t="s">
        <v>969</v>
      </c>
      <c r="H76" s="35"/>
      <c r="I76" s="35" t="s">
        <v>55</v>
      </c>
      <c r="J76" s="35" t="s">
        <v>271</v>
      </c>
      <c r="K76" s="34">
        <v>0</v>
      </c>
      <c r="L76" s="35" t="s">
        <v>147</v>
      </c>
      <c r="M76" s="36"/>
      <c r="N76" s="35"/>
      <c r="O76" s="35"/>
      <c r="P76" s="35"/>
      <c r="Q76" s="35"/>
      <c r="R76" s="36"/>
      <c r="S76" s="35"/>
      <c r="T76" s="35"/>
      <c r="U76" s="35"/>
      <c r="V76" s="35"/>
      <c r="W76" s="35"/>
      <c r="X76" s="35"/>
      <c r="Y76" s="35"/>
      <c r="Z76" s="35"/>
    </row>
    <row r="77" spans="1:26">
      <c r="A77" s="33" t="s">
        <v>970</v>
      </c>
      <c r="B77" s="34">
        <f>COUNTA($B$1:B76)</f>
        <v>70</v>
      </c>
      <c r="C77" s="35" t="s">
        <v>67</v>
      </c>
      <c r="D77" s="35"/>
      <c r="E77" s="35"/>
      <c r="F77" s="34"/>
      <c r="G77" s="35" t="s">
        <v>969</v>
      </c>
      <c r="H77" s="35"/>
      <c r="I77" s="35"/>
      <c r="J77" s="35"/>
      <c r="K77" s="34"/>
      <c r="L77" s="35" t="s">
        <v>67</v>
      </c>
      <c r="M77" s="36">
        <v>3</v>
      </c>
      <c r="N77" s="35"/>
      <c r="O77" s="35"/>
      <c r="P77" s="35"/>
      <c r="Q77" s="35"/>
      <c r="R77" s="36"/>
      <c r="S77" s="35"/>
      <c r="T77" s="35"/>
      <c r="U77" s="35"/>
      <c r="V77" s="35"/>
      <c r="W77" s="35"/>
      <c r="X77" s="35"/>
      <c r="Y77" s="35"/>
      <c r="Z77" s="35"/>
    </row>
    <row r="78" spans="1:26">
      <c r="A78" s="33" t="s">
        <v>970</v>
      </c>
      <c r="B78" s="34">
        <f>COUNTA($B$1:B77)</f>
        <v>71</v>
      </c>
      <c r="C78" s="35" t="s">
        <v>148</v>
      </c>
      <c r="D78" s="35"/>
      <c r="E78" s="35"/>
      <c r="F78" s="34"/>
      <c r="G78" s="35" t="s">
        <v>969</v>
      </c>
      <c r="H78" s="35"/>
      <c r="I78" s="35" t="s">
        <v>55</v>
      </c>
      <c r="J78" s="35" t="s">
        <v>439</v>
      </c>
      <c r="K78" s="34">
        <v>0</v>
      </c>
      <c r="L78" s="35" t="s">
        <v>34</v>
      </c>
      <c r="M78" s="35"/>
      <c r="N78" s="35"/>
      <c r="O78" s="35"/>
      <c r="P78" s="35"/>
      <c r="Q78" s="35"/>
      <c r="R78" s="36"/>
      <c r="S78" s="35"/>
      <c r="T78" s="35"/>
      <c r="U78" s="35"/>
      <c r="V78" s="35"/>
      <c r="W78" s="35"/>
      <c r="X78" s="35"/>
      <c r="Y78" s="35"/>
      <c r="Z78" s="35"/>
    </row>
    <row r="79" spans="1:26" s="12" customFormat="1" ht="12.75" customHeight="1">
      <c r="A79" s="33" t="s">
        <v>970</v>
      </c>
      <c r="B79" s="34">
        <f>COUNTA($B$1:B78)</f>
        <v>72</v>
      </c>
      <c r="C79" s="35" t="s">
        <v>67</v>
      </c>
      <c r="D79" s="35"/>
      <c r="E79" s="35"/>
      <c r="F79" s="34"/>
      <c r="G79" s="35" t="s">
        <v>969</v>
      </c>
      <c r="H79" s="35"/>
      <c r="I79" s="35"/>
      <c r="J79" s="35"/>
      <c r="K79" s="34"/>
      <c r="L79" s="35" t="s">
        <v>67</v>
      </c>
      <c r="M79" s="36">
        <v>2</v>
      </c>
      <c r="N79" s="35"/>
      <c r="O79" s="35"/>
      <c r="P79" s="35"/>
      <c r="Q79" s="35"/>
      <c r="R79" s="36"/>
      <c r="S79" s="35"/>
      <c r="T79" s="35"/>
      <c r="U79" s="35"/>
      <c r="V79" s="35"/>
      <c r="W79" s="35"/>
      <c r="X79" s="35"/>
      <c r="Y79" s="35"/>
      <c r="Z79" s="35"/>
    </row>
    <row r="80" spans="1:26">
      <c r="A80" s="33" t="s">
        <v>970</v>
      </c>
      <c r="B80" s="34">
        <f>COUNTA($B$1:B79)</f>
        <v>73</v>
      </c>
      <c r="C80" s="35" t="s">
        <v>150</v>
      </c>
      <c r="D80" s="35"/>
      <c r="E80" s="35"/>
      <c r="F80" s="34"/>
      <c r="G80" s="35" t="s">
        <v>969</v>
      </c>
      <c r="H80" s="35"/>
      <c r="I80" s="35" t="s">
        <v>55</v>
      </c>
      <c r="J80" s="35" t="s">
        <v>273</v>
      </c>
      <c r="K80" s="34">
        <v>0</v>
      </c>
      <c r="L80" s="35" t="s">
        <v>151</v>
      </c>
      <c r="M80" s="50" t="s">
        <v>274</v>
      </c>
      <c r="N80" s="35"/>
      <c r="O80" s="35"/>
      <c r="P80" s="35"/>
      <c r="Q80" s="35"/>
      <c r="R80" s="36"/>
      <c r="S80" s="35"/>
      <c r="T80" s="35"/>
      <c r="U80" s="35"/>
      <c r="V80" s="35"/>
      <c r="W80" s="35"/>
      <c r="X80" s="35"/>
      <c r="Y80" s="35"/>
      <c r="Z80" s="35"/>
    </row>
    <row r="81" spans="1:26" s="17" customFormat="1">
      <c r="A81" s="33" t="s">
        <v>970</v>
      </c>
      <c r="B81" s="34">
        <f>COUNTA($B$1:B80)</f>
        <v>74</v>
      </c>
      <c r="C81" s="35" t="s">
        <v>67</v>
      </c>
      <c r="D81" s="35"/>
      <c r="E81" s="35"/>
      <c r="F81" s="34"/>
      <c r="G81" s="35" t="s">
        <v>969</v>
      </c>
      <c r="H81" s="35"/>
      <c r="I81" s="35"/>
      <c r="J81" s="35"/>
      <c r="K81" s="34"/>
      <c r="L81" s="35" t="s">
        <v>67</v>
      </c>
      <c r="M81" s="36">
        <v>2</v>
      </c>
      <c r="N81" s="35"/>
      <c r="O81" s="35"/>
      <c r="P81" s="35"/>
      <c r="Q81" s="35"/>
      <c r="R81" s="36"/>
      <c r="S81" s="35"/>
      <c r="T81" s="35"/>
      <c r="U81" s="35"/>
      <c r="V81" s="35"/>
      <c r="W81" s="35"/>
      <c r="X81" s="35"/>
      <c r="Y81" s="35"/>
      <c r="Z81" s="35"/>
    </row>
    <row r="82" spans="1:26">
      <c r="A82" s="33" t="s">
        <v>970</v>
      </c>
      <c r="B82" s="34">
        <f>COUNTA($B$1:B81)</f>
        <v>75</v>
      </c>
      <c r="C82" s="35" t="s">
        <v>148</v>
      </c>
      <c r="D82" s="35"/>
      <c r="E82" s="35"/>
      <c r="F82" s="42"/>
      <c r="G82" s="35" t="s">
        <v>969</v>
      </c>
      <c r="H82" s="35"/>
      <c r="I82" s="35" t="s">
        <v>55</v>
      </c>
      <c r="J82" s="35" t="str">
        <f>"//a[contains(.,'"&amp;M80&amp;"')]"</f>
        <v>//a[contains(.,'Destination1')]</v>
      </c>
      <c r="K82" s="34">
        <v>0</v>
      </c>
      <c r="L82" s="35" t="s">
        <v>147</v>
      </c>
      <c r="M82" s="35"/>
      <c r="N82" s="35"/>
      <c r="O82" s="35"/>
      <c r="P82" s="35"/>
      <c r="Q82" s="35"/>
      <c r="R82" s="36"/>
      <c r="S82" s="35"/>
      <c r="T82" s="35"/>
      <c r="U82" s="35"/>
      <c r="V82" s="35"/>
      <c r="W82" s="35"/>
      <c r="X82" s="35"/>
      <c r="Y82" s="35"/>
      <c r="Z82" s="35"/>
    </row>
    <row r="83" spans="1:26" s="17" customFormat="1">
      <c r="A83" s="33" t="s">
        <v>970</v>
      </c>
      <c r="B83" s="34">
        <f>COUNTA($B$1:B82)</f>
        <v>76</v>
      </c>
      <c r="C83" s="35" t="s">
        <v>153</v>
      </c>
      <c r="D83" s="51"/>
      <c r="E83" s="52" t="s">
        <v>154</v>
      </c>
      <c r="F83" s="38"/>
      <c r="G83" s="35" t="s">
        <v>969</v>
      </c>
      <c r="H83" s="35"/>
      <c r="I83" s="35" t="s">
        <v>55</v>
      </c>
      <c r="J83" s="35" t="s">
        <v>81</v>
      </c>
      <c r="K83" s="34">
        <v>0</v>
      </c>
      <c r="L83" s="35" t="s">
        <v>0</v>
      </c>
      <c r="M83" s="50" t="s">
        <v>440</v>
      </c>
      <c r="N83" s="35"/>
      <c r="O83" s="35"/>
      <c r="P83" s="35"/>
      <c r="Q83" s="35"/>
      <c r="R83" s="36"/>
      <c r="S83" s="35"/>
      <c r="T83" s="35"/>
      <c r="U83" s="35"/>
      <c r="V83" s="35"/>
      <c r="W83" s="35"/>
      <c r="X83" s="35"/>
      <c r="Y83" s="35"/>
      <c r="Z83" s="35"/>
    </row>
    <row r="84" spans="1:26">
      <c r="A84" s="33" t="s">
        <v>970</v>
      </c>
      <c r="B84" s="34">
        <f>COUNTA($B$1:B83)</f>
        <v>77</v>
      </c>
      <c r="C84" s="35" t="s">
        <v>156</v>
      </c>
      <c r="D84" s="51"/>
      <c r="E84" s="52" t="s">
        <v>154</v>
      </c>
      <c r="F84" s="38"/>
      <c r="G84" s="35" t="s">
        <v>969</v>
      </c>
      <c r="H84" s="35"/>
      <c r="I84" s="35" t="s">
        <v>55</v>
      </c>
      <c r="J84" s="35" t="s">
        <v>82</v>
      </c>
      <c r="K84" s="34">
        <v>0</v>
      </c>
      <c r="L84" s="35" t="s">
        <v>0</v>
      </c>
      <c r="M84" s="50" t="s">
        <v>441</v>
      </c>
      <c r="N84" s="35"/>
      <c r="O84" s="35"/>
      <c r="P84" s="35"/>
      <c r="Q84" s="35"/>
      <c r="R84" s="36"/>
      <c r="S84" s="35"/>
      <c r="T84" s="35"/>
      <c r="U84" s="35"/>
      <c r="V84" s="35"/>
      <c r="W84" s="35"/>
      <c r="X84" s="35"/>
      <c r="Y84" s="35"/>
      <c r="Z84" s="35"/>
    </row>
    <row r="85" spans="1:26">
      <c r="A85" s="33" t="s">
        <v>970</v>
      </c>
      <c r="B85" s="34">
        <f>COUNTA($B$1:B84)</f>
        <v>78</v>
      </c>
      <c r="C85" s="35" t="s">
        <v>161</v>
      </c>
      <c r="D85" s="35"/>
      <c r="E85" s="35"/>
      <c r="F85" s="34"/>
      <c r="G85" s="35" t="s">
        <v>969</v>
      </c>
      <c r="H85" s="35"/>
      <c r="I85" s="35" t="s">
        <v>55</v>
      </c>
      <c r="J85" s="35" t="s">
        <v>442</v>
      </c>
      <c r="K85" s="34">
        <v>0</v>
      </c>
      <c r="L85" s="35" t="s">
        <v>34</v>
      </c>
      <c r="M85" s="35"/>
      <c r="N85" s="35"/>
      <c r="O85" s="35"/>
      <c r="P85" s="35"/>
      <c r="Q85" s="35"/>
      <c r="R85" s="36"/>
      <c r="S85" s="35"/>
      <c r="T85" s="35"/>
      <c r="U85" s="35"/>
      <c r="V85" s="35"/>
      <c r="W85" s="35"/>
      <c r="X85" s="35"/>
      <c r="Y85" s="35"/>
      <c r="Z85" s="35"/>
    </row>
    <row r="86" spans="1:26">
      <c r="A86" s="33" t="s">
        <v>970</v>
      </c>
      <c r="B86" s="34">
        <f>COUNTA($B$1:B85)</f>
        <v>79</v>
      </c>
      <c r="C86" s="35" t="s">
        <v>67</v>
      </c>
      <c r="D86" s="35"/>
      <c r="E86" s="35"/>
      <c r="F86" s="34"/>
      <c r="G86" s="35" t="s">
        <v>969</v>
      </c>
      <c r="H86" s="35"/>
      <c r="I86" s="35"/>
      <c r="J86" s="35"/>
      <c r="K86" s="34"/>
      <c r="L86" s="35" t="s">
        <v>67</v>
      </c>
      <c r="M86" s="36">
        <v>2</v>
      </c>
      <c r="N86" s="35"/>
      <c r="O86" s="35"/>
      <c r="P86" s="35"/>
      <c r="Q86" s="35"/>
      <c r="R86" s="36"/>
      <c r="S86" s="35"/>
      <c r="T86" s="35"/>
      <c r="U86" s="35"/>
      <c r="V86" s="35"/>
      <c r="W86" s="35"/>
      <c r="X86" s="35"/>
      <c r="Y86" s="35"/>
      <c r="Z86" s="35"/>
    </row>
    <row r="87" spans="1:26">
      <c r="A87" s="33" t="s">
        <v>970</v>
      </c>
      <c r="B87" s="34">
        <f>COUNTA($B$1:B86)</f>
        <v>80</v>
      </c>
      <c r="C87" s="35" t="s">
        <v>163</v>
      </c>
      <c r="D87" s="35"/>
      <c r="E87" s="35"/>
      <c r="F87" s="34"/>
      <c r="G87" s="35" t="s">
        <v>969</v>
      </c>
      <c r="H87" s="35"/>
      <c r="I87" s="35" t="s">
        <v>55</v>
      </c>
      <c r="J87" s="35" t="s">
        <v>277</v>
      </c>
      <c r="K87" s="34">
        <v>0</v>
      </c>
      <c r="L87" s="35" t="s">
        <v>151</v>
      </c>
      <c r="M87" s="50" t="s">
        <v>278</v>
      </c>
      <c r="N87" s="35"/>
      <c r="O87" s="35"/>
      <c r="P87" s="35"/>
      <c r="Q87" s="35"/>
      <c r="R87" s="36"/>
      <c r="S87" s="35"/>
      <c r="T87" s="35"/>
      <c r="U87" s="35"/>
      <c r="V87" s="35"/>
      <c r="W87" s="35"/>
      <c r="X87" s="35"/>
      <c r="Y87" s="35"/>
      <c r="Z87" s="35"/>
    </row>
    <row r="88" spans="1:26">
      <c r="A88" s="33" t="s">
        <v>970</v>
      </c>
      <c r="B88" s="34">
        <f>COUNTA($B$1:B87)</f>
        <v>81</v>
      </c>
      <c r="C88" s="35" t="s">
        <v>67</v>
      </c>
      <c r="D88" s="35"/>
      <c r="E88" s="35"/>
      <c r="F88" s="34"/>
      <c r="G88" s="35" t="s">
        <v>969</v>
      </c>
      <c r="H88" s="35"/>
      <c r="I88" s="35"/>
      <c r="J88" s="35"/>
      <c r="K88" s="34"/>
      <c r="L88" s="35" t="s">
        <v>67</v>
      </c>
      <c r="M88" s="36">
        <v>2</v>
      </c>
      <c r="N88" s="35"/>
      <c r="O88" s="35"/>
      <c r="P88" s="35"/>
      <c r="Q88" s="35"/>
      <c r="R88" s="36"/>
      <c r="S88" s="35"/>
      <c r="T88" s="35"/>
      <c r="U88" s="35"/>
      <c r="V88" s="35"/>
      <c r="W88" s="35"/>
      <c r="X88" s="35"/>
      <c r="Y88" s="35"/>
      <c r="Z88" s="35"/>
    </row>
    <row r="89" spans="1:26">
      <c r="A89" s="33" t="s">
        <v>970</v>
      </c>
      <c r="B89" s="34">
        <f>COUNTA($B$1:B88)</f>
        <v>82</v>
      </c>
      <c r="C89" s="35" t="s">
        <v>973</v>
      </c>
      <c r="D89" s="35"/>
      <c r="E89" s="35"/>
      <c r="F89" s="42"/>
      <c r="G89" s="35" t="s">
        <v>969</v>
      </c>
      <c r="H89" s="35"/>
      <c r="I89" s="35" t="s">
        <v>55</v>
      </c>
      <c r="J89" s="35" t="str">
        <f>"//a[contains(.,'"&amp;M87&amp;"')]"</f>
        <v>//a[contains(.,'Residence1')]</v>
      </c>
      <c r="K89" s="34">
        <v>0</v>
      </c>
      <c r="L89" s="35" t="s">
        <v>147</v>
      </c>
      <c r="M89" s="35"/>
      <c r="N89" s="35"/>
      <c r="O89" s="35"/>
      <c r="P89" s="35"/>
      <c r="Q89" s="35"/>
      <c r="R89" s="36"/>
      <c r="S89" s="35"/>
      <c r="T89" s="35"/>
      <c r="U89" s="35"/>
      <c r="V89" s="35"/>
      <c r="W89" s="35"/>
      <c r="X89" s="35"/>
      <c r="Y89" s="35"/>
      <c r="Z89" s="35"/>
    </row>
    <row r="90" spans="1:26">
      <c r="A90" s="33" t="s">
        <v>970</v>
      </c>
      <c r="B90" s="34">
        <f>COUNTA($B$1:B89)</f>
        <v>83</v>
      </c>
      <c r="C90" s="35" t="s">
        <v>883</v>
      </c>
      <c r="D90" s="35"/>
      <c r="E90" s="35"/>
      <c r="F90" s="34"/>
      <c r="G90" s="35" t="s">
        <v>969</v>
      </c>
      <c r="H90" s="35"/>
      <c r="I90" s="35" t="s">
        <v>55</v>
      </c>
      <c r="J90" s="35" t="s">
        <v>87</v>
      </c>
      <c r="K90" s="34">
        <v>0</v>
      </c>
      <c r="L90" s="35" t="s">
        <v>147</v>
      </c>
      <c r="M90" s="36"/>
      <c r="N90" s="35"/>
      <c r="O90" s="35"/>
      <c r="P90" s="35"/>
      <c r="Q90" s="35"/>
      <c r="R90" s="36"/>
      <c r="S90" s="35"/>
      <c r="T90" s="35"/>
      <c r="U90" s="35"/>
      <c r="V90" s="35"/>
      <c r="W90" s="35"/>
      <c r="X90" s="35"/>
      <c r="Y90" s="35"/>
      <c r="Z90" s="35"/>
    </row>
    <row r="91" spans="1:26">
      <c r="A91" s="33" t="s">
        <v>970</v>
      </c>
      <c r="B91" s="34">
        <f>COUNTA($B$1:B90)</f>
        <v>84</v>
      </c>
      <c r="C91" s="35" t="s">
        <v>67</v>
      </c>
      <c r="D91" s="35"/>
      <c r="E91" s="35"/>
      <c r="F91" s="34"/>
      <c r="G91" s="35" t="s">
        <v>969</v>
      </c>
      <c r="H91" s="35"/>
      <c r="I91" s="35"/>
      <c r="J91" s="35"/>
      <c r="K91" s="34"/>
      <c r="L91" s="35" t="s">
        <v>67</v>
      </c>
      <c r="M91" s="36">
        <v>10</v>
      </c>
      <c r="N91" s="35"/>
      <c r="O91" s="35"/>
      <c r="P91" s="35"/>
      <c r="Q91" s="35"/>
      <c r="R91" s="36"/>
      <c r="S91" s="35"/>
      <c r="T91" s="35"/>
      <c r="U91" s="35"/>
      <c r="V91" s="35"/>
      <c r="W91" s="35"/>
      <c r="X91" s="35"/>
      <c r="Y91" s="35"/>
      <c r="Z91" s="35"/>
    </row>
    <row r="92" spans="1:26" s="10" customFormat="1">
      <c r="A92" s="30" t="s">
        <v>933</v>
      </c>
      <c r="B92" s="190"/>
      <c r="C92" s="31"/>
      <c r="D92" s="32"/>
      <c r="E92" s="32"/>
      <c r="F92" s="31"/>
      <c r="G92" s="32"/>
      <c r="H92" s="32"/>
      <c r="I92" s="32"/>
      <c r="J92" s="32"/>
      <c r="K92" s="31"/>
      <c r="L92" s="32"/>
      <c r="M92" s="32"/>
      <c r="N92" s="32"/>
      <c r="O92" s="32"/>
      <c r="P92" s="32"/>
      <c r="Q92" s="32"/>
      <c r="R92" s="32"/>
      <c r="S92" s="32"/>
      <c r="T92" s="32"/>
      <c r="U92" s="32"/>
      <c r="V92" s="32"/>
      <c r="W92" s="32"/>
      <c r="X92" s="32"/>
      <c r="Y92" s="32"/>
      <c r="Z92" s="32"/>
    </row>
    <row r="93" spans="1:26" s="213" customFormat="1">
      <c r="A93" s="220" t="s">
        <v>970</v>
      </c>
      <c r="B93" s="209">
        <f>COUNTA($B$1:B92)</f>
        <v>85</v>
      </c>
      <c r="C93" s="210" t="s">
        <v>921</v>
      </c>
      <c r="D93" s="210"/>
      <c r="E93" s="210"/>
      <c r="F93" s="209"/>
      <c r="G93" s="210" t="s">
        <v>969</v>
      </c>
      <c r="H93" s="210"/>
      <c r="I93" s="210" t="s">
        <v>55</v>
      </c>
      <c r="J93" s="210" t="s">
        <v>907</v>
      </c>
      <c r="K93" s="209">
        <v>0</v>
      </c>
      <c r="L93" s="210" t="s">
        <v>147</v>
      </c>
      <c r="M93" s="214"/>
      <c r="N93" s="210"/>
      <c r="O93" s="210"/>
      <c r="P93" s="210"/>
      <c r="Q93" s="210"/>
      <c r="R93" s="210"/>
      <c r="S93" s="210"/>
      <c r="T93" s="210"/>
      <c r="U93" s="210"/>
      <c r="V93" s="210"/>
      <c r="W93" s="210"/>
      <c r="X93" s="210"/>
      <c r="Y93" s="210"/>
      <c r="Z93" s="210"/>
    </row>
    <row r="94" spans="1:26" s="213" customFormat="1">
      <c r="A94" s="220" t="s">
        <v>970</v>
      </c>
      <c r="B94" s="209">
        <f>COUNTA($B$1:B93)</f>
        <v>86</v>
      </c>
      <c r="C94" s="210" t="s">
        <v>916</v>
      </c>
      <c r="D94" s="215"/>
      <c r="E94" s="212"/>
      <c r="F94" s="209"/>
      <c r="G94" s="210" t="s">
        <v>969</v>
      </c>
      <c r="H94" s="210"/>
      <c r="I94" s="210" t="s">
        <v>55</v>
      </c>
      <c r="J94" s="210" t="s">
        <v>898</v>
      </c>
      <c r="K94" s="209">
        <v>0</v>
      </c>
      <c r="L94" s="210" t="s">
        <v>98</v>
      </c>
      <c r="M94" s="214"/>
      <c r="N94" s="210" t="s">
        <v>99</v>
      </c>
      <c r="O94" s="210"/>
      <c r="P94" s="210"/>
      <c r="Q94" s="210"/>
      <c r="R94" s="210" t="str">
        <f>M80</f>
        <v>Destination1</v>
      </c>
      <c r="S94" s="210"/>
      <c r="T94" s="210" t="s">
        <v>2</v>
      </c>
      <c r="U94" s="210"/>
      <c r="V94" s="210"/>
      <c r="W94" s="210"/>
      <c r="X94" s="210"/>
      <c r="Y94" s="210"/>
      <c r="Z94" s="210"/>
    </row>
    <row r="95" spans="1:26" s="213" customFormat="1">
      <c r="A95" s="220" t="s">
        <v>970</v>
      </c>
      <c r="B95" s="209">
        <f>COUNTA($B$1:B94)</f>
        <v>87</v>
      </c>
      <c r="C95" s="210" t="s">
        <v>914</v>
      </c>
      <c r="D95" s="215"/>
      <c r="E95" s="212"/>
      <c r="F95" s="209"/>
      <c r="G95" s="210" t="s">
        <v>969</v>
      </c>
      <c r="H95" s="210"/>
      <c r="I95" s="210" t="s">
        <v>55</v>
      </c>
      <c r="J95" s="210" t="s">
        <v>298</v>
      </c>
      <c r="K95" s="209">
        <v>0</v>
      </c>
      <c r="L95" s="210" t="s">
        <v>98</v>
      </c>
      <c r="M95" s="214"/>
      <c r="N95" s="210" t="s">
        <v>99</v>
      </c>
      <c r="O95" s="210"/>
      <c r="P95" s="210"/>
      <c r="Q95" s="210"/>
      <c r="R95" s="210" t="str">
        <f>TEXT(M83,"mm/dd/yyyy")</f>
        <v>DepDate1</v>
      </c>
      <c r="S95" s="210"/>
      <c r="T95" s="210" t="s">
        <v>2</v>
      </c>
      <c r="U95" s="210"/>
      <c r="V95" s="210"/>
      <c r="W95" s="210"/>
      <c r="X95" s="210"/>
      <c r="Y95" s="210"/>
      <c r="Z95" s="210"/>
    </row>
    <row r="96" spans="1:26" s="213" customFormat="1">
      <c r="A96" s="220" t="s">
        <v>970</v>
      </c>
      <c r="B96" s="209">
        <f>COUNTA($B$1:B95)</f>
        <v>88</v>
      </c>
      <c r="C96" s="210" t="s">
        <v>915</v>
      </c>
      <c r="D96" s="215"/>
      <c r="E96" s="212"/>
      <c r="F96" s="209"/>
      <c r="G96" s="210" t="s">
        <v>969</v>
      </c>
      <c r="H96" s="210"/>
      <c r="I96" s="210" t="s">
        <v>55</v>
      </c>
      <c r="J96" s="210" t="s">
        <v>300</v>
      </c>
      <c r="K96" s="209">
        <v>0</v>
      </c>
      <c r="L96" s="210" t="s">
        <v>98</v>
      </c>
      <c r="M96" s="214"/>
      <c r="N96" s="210" t="s">
        <v>99</v>
      </c>
      <c r="O96" s="210"/>
      <c r="P96" s="210"/>
      <c r="Q96" s="210"/>
      <c r="R96" s="210" t="str">
        <f>TEXT(M84,"mm/dd/yyyy")</f>
        <v>RetDate1</v>
      </c>
      <c r="S96" s="210"/>
      <c r="T96" s="210" t="s">
        <v>2</v>
      </c>
      <c r="U96" s="210"/>
      <c r="V96" s="210"/>
      <c r="W96" s="210"/>
      <c r="X96" s="210"/>
      <c r="Y96" s="210"/>
      <c r="Z96" s="210"/>
    </row>
    <row r="97" spans="1:26">
      <c r="A97" s="33" t="s">
        <v>970</v>
      </c>
      <c r="B97" s="198">
        <f>COUNTA($B$1:B96)</f>
        <v>89</v>
      </c>
      <c r="C97" s="53" t="s">
        <v>873</v>
      </c>
      <c r="D97" s="35"/>
      <c r="E97" s="35"/>
      <c r="F97" s="34"/>
      <c r="G97" s="35" t="s">
        <v>969</v>
      </c>
      <c r="H97" s="35"/>
      <c r="I97" s="35" t="s">
        <v>55</v>
      </c>
      <c r="J97" s="35" t="s">
        <v>986</v>
      </c>
      <c r="K97" s="34">
        <v>0</v>
      </c>
      <c r="L97" s="35" t="s">
        <v>147</v>
      </c>
      <c r="M97" s="36"/>
      <c r="N97" s="35"/>
      <c r="O97" s="35"/>
      <c r="P97" s="35"/>
      <c r="Q97" s="35"/>
      <c r="R97" s="35"/>
      <c r="S97" s="35"/>
      <c r="T97" s="35"/>
      <c r="U97" s="35"/>
      <c r="V97" s="35"/>
      <c r="W97" s="35"/>
      <c r="X97" s="35"/>
      <c r="Y97" s="35"/>
      <c r="Z97" s="35"/>
    </row>
    <row r="98" spans="1:26">
      <c r="A98" s="33" t="s">
        <v>970</v>
      </c>
      <c r="B98" s="34">
        <f>COUNTA($B$1:B97)</f>
        <v>90</v>
      </c>
      <c r="C98" s="35" t="s">
        <v>67</v>
      </c>
      <c r="D98" s="35"/>
      <c r="E98" s="35"/>
      <c r="F98" s="34"/>
      <c r="G98" s="35" t="s">
        <v>969</v>
      </c>
      <c r="H98" s="35"/>
      <c r="I98" s="35"/>
      <c r="J98" s="35"/>
      <c r="K98" s="34"/>
      <c r="L98" s="35" t="s">
        <v>67</v>
      </c>
      <c r="M98" s="36">
        <v>10</v>
      </c>
      <c r="N98" s="35"/>
      <c r="O98" s="35"/>
      <c r="P98" s="35"/>
      <c r="Q98" s="35"/>
      <c r="R98" s="35"/>
      <c r="S98" s="35"/>
      <c r="T98" s="35"/>
      <c r="U98" s="35"/>
      <c r="V98" s="35"/>
      <c r="W98" s="35"/>
      <c r="X98" s="35"/>
      <c r="Y98" s="35"/>
      <c r="Z98" s="35"/>
    </row>
    <row r="99" spans="1:26" s="17" customFormat="1">
      <c r="A99" s="30" t="s">
        <v>219</v>
      </c>
      <c r="B99" s="190"/>
      <c r="C99" s="31"/>
      <c r="D99" s="32"/>
      <c r="E99" s="32"/>
      <c r="F99" s="31"/>
      <c r="G99" s="32"/>
      <c r="H99" s="32"/>
      <c r="I99" s="32"/>
      <c r="J99" s="32"/>
      <c r="K99" s="31"/>
      <c r="L99" s="32"/>
      <c r="M99" s="32"/>
      <c r="N99" s="32"/>
      <c r="O99" s="32"/>
      <c r="P99" s="32"/>
      <c r="Q99" s="32"/>
      <c r="R99" s="32"/>
      <c r="S99" s="32"/>
      <c r="T99" s="32"/>
      <c r="U99" s="32"/>
      <c r="V99" s="32"/>
      <c r="W99" s="32"/>
      <c r="X99" s="32"/>
      <c r="Y99" s="32"/>
      <c r="Z99" s="32"/>
    </row>
    <row r="100" spans="1:26" s="213" customFormat="1">
      <c r="A100" s="220" t="s">
        <v>970</v>
      </c>
      <c r="B100" s="209">
        <f>COUNTA($B$1:B99)</f>
        <v>91</v>
      </c>
      <c r="C100" s="210" t="s">
        <v>921</v>
      </c>
      <c r="D100" s="210"/>
      <c r="E100" s="210"/>
      <c r="F100" s="209"/>
      <c r="G100" s="210" t="s">
        <v>969</v>
      </c>
      <c r="H100" s="210"/>
      <c r="I100" s="210" t="s">
        <v>55</v>
      </c>
      <c r="J100" s="210" t="s">
        <v>907</v>
      </c>
      <c r="K100" s="209">
        <v>0</v>
      </c>
      <c r="L100" s="210" t="s">
        <v>147</v>
      </c>
      <c r="M100" s="214"/>
      <c r="N100" s="210"/>
      <c r="O100" s="210"/>
      <c r="P100" s="210"/>
      <c r="Q100" s="210"/>
      <c r="R100" s="210"/>
      <c r="S100" s="210"/>
      <c r="T100" s="210"/>
      <c r="U100" s="210"/>
      <c r="V100" s="210"/>
      <c r="W100" s="210"/>
      <c r="X100" s="210"/>
      <c r="Y100" s="210"/>
      <c r="Z100" s="210"/>
    </row>
    <row r="101" spans="1:26" s="213" customFormat="1">
      <c r="A101" s="220" t="s">
        <v>970</v>
      </c>
      <c r="B101" s="209">
        <f>COUNTA($B$1:B100)</f>
        <v>92</v>
      </c>
      <c r="C101" s="210" t="s">
        <v>897</v>
      </c>
      <c r="D101" s="211"/>
      <c r="E101" s="212"/>
      <c r="F101" s="209"/>
      <c r="G101" s="210" t="s">
        <v>969</v>
      </c>
      <c r="H101" s="210"/>
      <c r="I101" s="210" t="s">
        <v>55</v>
      </c>
      <c r="J101" s="210" t="s">
        <v>898</v>
      </c>
      <c r="K101" s="209">
        <v>0</v>
      </c>
      <c r="L101" s="210" t="s">
        <v>98</v>
      </c>
      <c r="M101" s="210"/>
      <c r="N101" s="210" t="s">
        <v>99</v>
      </c>
      <c r="O101" s="210"/>
      <c r="P101" s="210"/>
      <c r="Q101" s="210"/>
      <c r="R101" s="210">
        <f>S94</f>
        <v>0</v>
      </c>
      <c r="S101" s="212"/>
      <c r="T101" s="210" t="s">
        <v>2</v>
      </c>
      <c r="U101" s="210"/>
      <c r="V101" s="210"/>
      <c r="W101" s="210"/>
      <c r="X101" s="212"/>
      <c r="Y101" s="212"/>
      <c r="Z101" s="212"/>
    </row>
    <row r="102" spans="1:26" s="213" customFormat="1">
      <c r="A102" s="220" t="s">
        <v>970</v>
      </c>
      <c r="B102" s="209">
        <f>COUNTA($B$1:B101)</f>
        <v>93</v>
      </c>
      <c r="C102" s="210" t="s">
        <v>297</v>
      </c>
      <c r="D102" s="215"/>
      <c r="E102" s="212"/>
      <c r="F102" s="209"/>
      <c r="G102" s="210" t="s">
        <v>969</v>
      </c>
      <c r="H102" s="210"/>
      <c r="I102" s="210" t="s">
        <v>55</v>
      </c>
      <c r="J102" s="210" t="s">
        <v>298</v>
      </c>
      <c r="K102" s="209">
        <v>0</v>
      </c>
      <c r="L102" s="210" t="s">
        <v>98</v>
      </c>
      <c r="M102" s="214"/>
      <c r="N102" s="210" t="s">
        <v>99</v>
      </c>
      <c r="O102" s="210"/>
      <c r="P102" s="210"/>
      <c r="Q102" s="210"/>
      <c r="R102" s="210">
        <f>S95</f>
        <v>0</v>
      </c>
      <c r="S102" s="210"/>
      <c r="T102" s="210" t="s">
        <v>2</v>
      </c>
      <c r="U102" s="210"/>
      <c r="V102" s="210"/>
      <c r="W102" s="210"/>
      <c r="X102" s="210"/>
      <c r="Y102" s="210"/>
      <c r="Z102" s="210"/>
    </row>
    <row r="103" spans="1:26" s="213" customFormat="1">
      <c r="A103" s="220" t="s">
        <v>970</v>
      </c>
      <c r="B103" s="209">
        <f>COUNTA($B$1:B102)</f>
        <v>94</v>
      </c>
      <c r="C103" s="210" t="s">
        <v>299</v>
      </c>
      <c r="D103" s="215"/>
      <c r="E103" s="212"/>
      <c r="F103" s="209"/>
      <c r="G103" s="210" t="s">
        <v>969</v>
      </c>
      <c r="H103" s="210"/>
      <c r="I103" s="210" t="s">
        <v>55</v>
      </c>
      <c r="J103" s="210" t="s">
        <v>300</v>
      </c>
      <c r="K103" s="209">
        <v>0</v>
      </c>
      <c r="L103" s="210" t="s">
        <v>98</v>
      </c>
      <c r="M103" s="214"/>
      <c r="N103" s="210" t="s">
        <v>99</v>
      </c>
      <c r="O103" s="210"/>
      <c r="P103" s="210"/>
      <c r="Q103" s="210"/>
      <c r="R103" s="210">
        <f>S96</f>
        <v>0</v>
      </c>
      <c r="S103" s="210"/>
      <c r="T103" s="210" t="s">
        <v>2</v>
      </c>
      <c r="U103" s="210"/>
      <c r="V103" s="210"/>
      <c r="W103" s="210"/>
      <c r="X103" s="210"/>
      <c r="Y103" s="210"/>
      <c r="Z103" s="210"/>
    </row>
    <row r="104" spans="1:26" s="213" customFormat="1">
      <c r="A104" s="220" t="s">
        <v>970</v>
      </c>
      <c r="B104" s="209">
        <f>COUNTA($B$1:B103)</f>
        <v>95</v>
      </c>
      <c r="C104" s="210" t="s">
        <v>301</v>
      </c>
      <c r="D104" s="215"/>
      <c r="E104" s="212"/>
      <c r="F104" s="209"/>
      <c r="G104" s="210" t="s">
        <v>969</v>
      </c>
      <c r="H104" s="210"/>
      <c r="I104" s="210" t="s">
        <v>55</v>
      </c>
      <c r="J104" s="210" t="s">
        <v>107</v>
      </c>
      <c r="K104" s="209">
        <v>0</v>
      </c>
      <c r="L104" s="210" t="s">
        <v>98</v>
      </c>
      <c r="M104" s="214"/>
      <c r="N104" s="210" t="s">
        <v>99</v>
      </c>
      <c r="O104" s="210"/>
      <c r="P104" s="210"/>
      <c r="Q104" s="210"/>
      <c r="R104" s="210"/>
      <c r="S104" s="210"/>
      <c r="T104" s="210"/>
      <c r="U104" s="210"/>
      <c r="V104" s="210"/>
      <c r="W104" s="210"/>
      <c r="X104" s="210"/>
      <c r="Y104" s="210"/>
      <c r="Z104" s="210"/>
    </row>
    <row r="105" spans="1:26" s="213" customFormat="1">
      <c r="A105" s="220" t="s">
        <v>970</v>
      </c>
      <c r="B105" s="209">
        <f>COUNTA($B$1:B104)</f>
        <v>96</v>
      </c>
      <c r="C105" s="210" t="s">
        <v>924</v>
      </c>
      <c r="D105" s="215"/>
      <c r="E105" s="212"/>
      <c r="F105" s="209"/>
      <c r="G105" s="210" t="s">
        <v>969</v>
      </c>
      <c r="H105" s="210"/>
      <c r="I105" s="210" t="s">
        <v>55</v>
      </c>
      <c r="J105" s="210" t="s">
        <v>838</v>
      </c>
      <c r="K105" s="209">
        <v>0</v>
      </c>
      <c r="L105" s="210" t="s">
        <v>98</v>
      </c>
      <c r="M105" s="214"/>
      <c r="N105" s="210" t="s">
        <v>99</v>
      </c>
      <c r="O105" s="210"/>
      <c r="P105" s="210"/>
      <c r="Q105" s="210"/>
      <c r="R105" s="210"/>
      <c r="S105" s="210"/>
      <c r="T105" s="210"/>
      <c r="U105" s="210"/>
      <c r="V105" s="210"/>
      <c r="W105" s="210"/>
      <c r="X105" s="210"/>
      <c r="Y105" s="210"/>
      <c r="Z105" s="210"/>
    </row>
    <row r="106" spans="1:26" s="213" customFormat="1">
      <c r="A106" s="220" t="s">
        <v>970</v>
      </c>
      <c r="B106" s="209">
        <f>COUNTA($B$1:B105)</f>
        <v>97</v>
      </c>
      <c r="C106" s="210" t="s">
        <v>310</v>
      </c>
      <c r="D106" s="215"/>
      <c r="E106" s="212"/>
      <c r="F106" s="209"/>
      <c r="G106" s="210" t="s">
        <v>969</v>
      </c>
      <c r="H106" s="210"/>
      <c r="I106" s="210" t="s">
        <v>55</v>
      </c>
      <c r="J106" s="210" t="s">
        <v>574</v>
      </c>
      <c r="K106" s="209">
        <v>0</v>
      </c>
      <c r="L106" s="210" t="s">
        <v>98</v>
      </c>
      <c r="M106" s="214"/>
      <c r="N106" s="210" t="s">
        <v>99</v>
      </c>
      <c r="O106" s="210"/>
      <c r="P106" s="210"/>
      <c r="Q106" s="210"/>
      <c r="R106" s="210"/>
      <c r="S106" s="210"/>
      <c r="T106" s="210"/>
      <c r="U106" s="210"/>
      <c r="V106" s="210"/>
      <c r="W106" s="210"/>
      <c r="X106" s="210"/>
      <c r="Y106" s="210"/>
      <c r="Z106" s="210"/>
    </row>
    <row r="107" spans="1:26">
      <c r="A107" s="33" t="s">
        <v>970</v>
      </c>
      <c r="B107" s="198">
        <f>COUNTA($B$1:B106)</f>
        <v>98</v>
      </c>
      <c r="C107" s="35" t="s">
        <v>220</v>
      </c>
      <c r="D107" s="35"/>
      <c r="E107" s="35"/>
      <c r="F107" s="34"/>
      <c r="G107" s="35" t="s">
        <v>969</v>
      </c>
      <c r="H107" s="35"/>
      <c r="I107" s="35" t="s">
        <v>55</v>
      </c>
      <c r="J107" s="35" t="s">
        <v>221</v>
      </c>
      <c r="K107" s="34">
        <v>0</v>
      </c>
      <c r="L107" s="35" t="s">
        <v>0</v>
      </c>
      <c r="M107" s="50" t="s">
        <v>222</v>
      </c>
      <c r="N107" s="35"/>
      <c r="O107" s="35"/>
      <c r="P107" s="35"/>
      <c r="Q107" s="35"/>
      <c r="R107" s="52"/>
      <c r="S107" s="35"/>
      <c r="T107" s="35"/>
      <c r="U107" s="35"/>
      <c r="V107" s="35"/>
      <c r="W107" s="35"/>
      <c r="X107" s="35"/>
      <c r="Y107" s="35"/>
      <c r="Z107" s="35"/>
    </row>
    <row r="108" spans="1:26">
      <c r="A108" s="33" t="s">
        <v>970</v>
      </c>
      <c r="B108" s="34">
        <f>COUNTA($B$1:B107)</f>
        <v>99</v>
      </c>
      <c r="C108" s="35" t="s">
        <v>103</v>
      </c>
      <c r="D108" s="35"/>
      <c r="E108" s="35"/>
      <c r="F108" s="34"/>
      <c r="G108" s="35" t="s">
        <v>969</v>
      </c>
      <c r="H108" s="35"/>
      <c r="I108" s="35" t="s">
        <v>55</v>
      </c>
      <c r="J108" s="35" t="s">
        <v>105</v>
      </c>
      <c r="K108" s="34">
        <v>0</v>
      </c>
      <c r="L108" s="35" t="s">
        <v>0</v>
      </c>
      <c r="M108" s="50" t="s">
        <v>223</v>
      </c>
      <c r="N108" s="35"/>
      <c r="O108" s="35"/>
      <c r="P108" s="35"/>
      <c r="Q108" s="35"/>
      <c r="R108" s="52"/>
      <c r="S108" s="35"/>
      <c r="T108" s="35"/>
      <c r="U108" s="35"/>
      <c r="V108" s="35"/>
      <c r="W108" s="35"/>
      <c r="X108" s="35"/>
      <c r="Y108" s="35"/>
      <c r="Z108" s="35"/>
    </row>
    <row r="109" spans="1:26" s="181" customFormat="1" outlineLevel="1">
      <c r="A109" s="33" t="s">
        <v>970</v>
      </c>
      <c r="B109" s="34">
        <f>COUNTA($B$1:B108)</f>
        <v>100</v>
      </c>
      <c r="C109" s="35" t="s">
        <v>228</v>
      </c>
      <c r="D109" s="35"/>
      <c r="E109" s="35"/>
      <c r="F109" s="34"/>
      <c r="G109" s="35" t="s">
        <v>969</v>
      </c>
      <c r="H109" s="35"/>
      <c r="I109" s="35" t="s">
        <v>55</v>
      </c>
      <c r="J109" s="35" t="s">
        <v>229</v>
      </c>
      <c r="K109" s="34">
        <v>0</v>
      </c>
      <c r="L109" s="35" t="s">
        <v>0</v>
      </c>
      <c r="M109" s="50" t="s">
        <v>230</v>
      </c>
      <c r="N109" s="35"/>
      <c r="O109" s="35"/>
      <c r="P109" s="35"/>
      <c r="Q109" s="35"/>
      <c r="R109" s="52"/>
      <c r="S109" s="35"/>
      <c r="T109" s="35"/>
      <c r="U109" s="35"/>
      <c r="V109" s="35"/>
      <c r="W109" s="35"/>
      <c r="X109" s="35"/>
      <c r="Y109" s="35"/>
      <c r="Z109" s="35"/>
    </row>
    <row r="110" spans="1:26">
      <c r="A110" s="33" t="s">
        <v>970</v>
      </c>
      <c r="B110" s="34">
        <f>COUNTA($B$1:B109)</f>
        <v>101</v>
      </c>
      <c r="C110" s="35" t="s">
        <v>89</v>
      </c>
      <c r="D110" s="35"/>
      <c r="E110" s="35"/>
      <c r="F110" s="34"/>
      <c r="G110" s="35" t="s">
        <v>969</v>
      </c>
      <c r="H110" s="35"/>
      <c r="I110" s="35" t="s">
        <v>55</v>
      </c>
      <c r="J110" s="35" t="s">
        <v>231</v>
      </c>
      <c r="K110" s="34">
        <v>0</v>
      </c>
      <c r="L110" s="35" t="s">
        <v>0</v>
      </c>
      <c r="M110" s="50" t="s">
        <v>104</v>
      </c>
      <c r="N110" s="35"/>
      <c r="O110" s="35"/>
      <c r="P110" s="35"/>
      <c r="Q110" s="35"/>
      <c r="R110" s="52"/>
      <c r="S110" s="35"/>
      <c r="T110" s="35"/>
      <c r="U110" s="35"/>
      <c r="V110" s="35"/>
      <c r="W110" s="35"/>
      <c r="X110" s="35"/>
      <c r="Y110" s="35"/>
      <c r="Z110" s="35"/>
    </row>
    <row r="111" spans="1:26" s="182" customFormat="1">
      <c r="A111" s="33" t="s">
        <v>970</v>
      </c>
      <c r="B111" s="34">
        <f>COUNTA($B$1:B110)</f>
        <v>102</v>
      </c>
      <c r="C111" s="35" t="s">
        <v>232</v>
      </c>
      <c r="D111" s="35"/>
      <c r="E111" s="35"/>
      <c r="F111" s="34"/>
      <c r="G111" s="35" t="s">
        <v>969</v>
      </c>
      <c r="H111" s="35"/>
      <c r="I111" s="35" t="s">
        <v>55</v>
      </c>
      <c r="J111" s="35" t="s">
        <v>233</v>
      </c>
      <c r="K111" s="34">
        <v>0</v>
      </c>
      <c r="L111" s="35" t="s">
        <v>0</v>
      </c>
      <c r="M111" s="50" t="s">
        <v>281</v>
      </c>
      <c r="N111" s="35"/>
      <c r="O111" s="35"/>
      <c r="P111" s="35"/>
      <c r="Q111" s="35"/>
      <c r="R111" s="52"/>
      <c r="S111" s="35"/>
      <c r="T111" s="35"/>
      <c r="U111" s="35"/>
      <c r="V111" s="35"/>
      <c r="W111" s="35"/>
      <c r="X111" s="35"/>
      <c r="Y111" s="35"/>
      <c r="Z111" s="35"/>
    </row>
    <row r="112" spans="1:26" s="180" customFormat="1">
      <c r="A112" s="33" t="s">
        <v>970</v>
      </c>
      <c r="B112" s="34">
        <f>COUNTA($B$1:B111)</f>
        <v>103</v>
      </c>
      <c r="C112" s="35" t="s">
        <v>235</v>
      </c>
      <c r="D112" s="35"/>
      <c r="E112" s="35"/>
      <c r="F112" s="34"/>
      <c r="G112" s="35" t="s">
        <v>969</v>
      </c>
      <c r="H112" s="35"/>
      <c r="I112" s="35" t="s">
        <v>55</v>
      </c>
      <c r="J112" s="35" t="s">
        <v>236</v>
      </c>
      <c r="K112" s="34">
        <v>0</v>
      </c>
      <c r="L112" s="35" t="s">
        <v>0</v>
      </c>
      <c r="M112" s="50" t="s">
        <v>282</v>
      </c>
      <c r="N112" s="35"/>
      <c r="O112" s="35"/>
      <c r="P112" s="35"/>
      <c r="Q112" s="35"/>
      <c r="R112" s="52"/>
      <c r="S112" s="35"/>
      <c r="T112" s="35"/>
      <c r="U112" s="35"/>
      <c r="V112" s="35"/>
      <c r="W112" s="35"/>
      <c r="X112" s="35"/>
      <c r="Y112" s="35"/>
      <c r="Z112" s="35"/>
    </row>
    <row r="113" spans="1:26">
      <c r="A113" s="33" t="s">
        <v>970</v>
      </c>
      <c r="B113" s="34">
        <f>COUNTA($B$1:B112)</f>
        <v>104</v>
      </c>
      <c r="C113" s="35" t="s">
        <v>238</v>
      </c>
      <c r="D113" s="35"/>
      <c r="E113" s="35"/>
      <c r="F113" s="34"/>
      <c r="G113" s="35" t="s">
        <v>969</v>
      </c>
      <c r="H113" s="35"/>
      <c r="I113" s="35" t="s">
        <v>55</v>
      </c>
      <c r="J113" s="35" t="s">
        <v>90</v>
      </c>
      <c r="K113" s="34">
        <v>0</v>
      </c>
      <c r="L113" s="35" t="s">
        <v>0</v>
      </c>
      <c r="M113" s="50" t="s">
        <v>283</v>
      </c>
      <c r="N113" s="35"/>
      <c r="O113" s="35"/>
      <c r="P113" s="35"/>
      <c r="Q113" s="35"/>
      <c r="R113" s="52"/>
      <c r="S113" s="35"/>
      <c r="T113" s="35"/>
      <c r="U113" s="35"/>
      <c r="V113" s="35"/>
      <c r="W113" s="35"/>
      <c r="X113" s="35"/>
      <c r="Y113" s="35"/>
      <c r="Z113" s="35"/>
    </row>
    <row r="114" spans="1:26">
      <c r="A114" s="33" t="s">
        <v>970</v>
      </c>
      <c r="B114" s="34">
        <f>COUNTA($B$1:B113)</f>
        <v>105</v>
      </c>
      <c r="C114" s="35" t="s">
        <v>190</v>
      </c>
      <c r="D114" s="35"/>
      <c r="E114" s="35"/>
      <c r="F114" s="34"/>
      <c r="G114" s="35" t="s">
        <v>969</v>
      </c>
      <c r="H114" s="35"/>
      <c r="I114" s="35" t="s">
        <v>55</v>
      </c>
      <c r="J114" s="35" t="s">
        <v>87</v>
      </c>
      <c r="K114" s="34">
        <v>0</v>
      </c>
      <c r="L114" s="35" t="s">
        <v>147</v>
      </c>
      <c r="M114" s="36"/>
      <c r="N114" s="35"/>
      <c r="O114" s="35"/>
      <c r="P114" s="35"/>
      <c r="Q114" s="35"/>
      <c r="R114" s="35"/>
      <c r="S114" s="35"/>
      <c r="T114" s="35"/>
      <c r="U114" s="35"/>
      <c r="V114" s="35"/>
      <c r="W114" s="35"/>
      <c r="X114" s="35"/>
      <c r="Y114" s="35"/>
      <c r="Z114" s="35"/>
    </row>
    <row r="115" spans="1:26">
      <c r="A115" s="33" t="s">
        <v>970</v>
      </c>
      <c r="B115" s="34">
        <f>COUNTA($B$1:B114)</f>
        <v>106</v>
      </c>
      <c r="C115" s="35" t="s">
        <v>67</v>
      </c>
      <c r="D115" s="35"/>
      <c r="E115" s="35"/>
      <c r="F115" s="34"/>
      <c r="G115" s="35" t="s">
        <v>969</v>
      </c>
      <c r="H115" s="35"/>
      <c r="I115" s="35"/>
      <c r="J115" s="35"/>
      <c r="K115" s="34"/>
      <c r="L115" s="35" t="s">
        <v>67</v>
      </c>
      <c r="M115" s="36">
        <v>2</v>
      </c>
      <c r="N115" s="35"/>
      <c r="O115" s="35"/>
      <c r="P115" s="35"/>
      <c r="Q115" s="35"/>
      <c r="R115" s="35"/>
      <c r="S115" s="35"/>
      <c r="T115" s="35"/>
      <c r="U115" s="35"/>
      <c r="V115" s="35"/>
      <c r="W115" s="35"/>
      <c r="X115" s="35"/>
      <c r="Y115" s="35"/>
      <c r="Z115" s="35"/>
    </row>
    <row r="116" spans="1:26">
      <c r="A116" s="30" t="s">
        <v>91</v>
      </c>
      <c r="B116" s="190"/>
      <c r="C116" s="31"/>
      <c r="D116" s="32"/>
      <c r="E116" s="32"/>
      <c r="F116" s="31"/>
      <c r="G116" s="32"/>
      <c r="H116" s="32"/>
      <c r="I116" s="32"/>
      <c r="J116" s="32"/>
      <c r="K116" s="31"/>
      <c r="L116" s="32"/>
      <c r="M116" s="32"/>
      <c r="N116" s="32"/>
      <c r="O116" s="32"/>
      <c r="P116" s="32"/>
      <c r="Q116" s="32"/>
      <c r="R116" s="32"/>
      <c r="S116" s="32"/>
      <c r="T116" s="32"/>
      <c r="U116" s="32"/>
      <c r="V116" s="32"/>
      <c r="W116" s="32"/>
      <c r="X116" s="32"/>
      <c r="Y116" s="32"/>
      <c r="Z116" s="32"/>
    </row>
    <row r="117" spans="1:26" s="213" customFormat="1">
      <c r="A117" s="208" t="s">
        <v>970</v>
      </c>
      <c r="B117" s="209">
        <f>COUNTA($B$1:B116)</f>
        <v>107</v>
      </c>
      <c r="C117" s="210" t="s">
        <v>295</v>
      </c>
      <c r="D117" s="215"/>
      <c r="E117" s="212"/>
      <c r="F117" s="209"/>
      <c r="G117" s="210" t="s">
        <v>969</v>
      </c>
      <c r="H117" s="210"/>
      <c r="I117" s="210" t="s">
        <v>55</v>
      </c>
      <c r="J117" s="210" t="s">
        <v>296</v>
      </c>
      <c r="K117" s="209">
        <v>0</v>
      </c>
      <c r="L117" s="210" t="s">
        <v>98</v>
      </c>
      <c r="M117" s="214"/>
      <c r="N117" s="210" t="s">
        <v>99</v>
      </c>
      <c r="O117" s="210"/>
      <c r="P117" s="210"/>
      <c r="Q117" s="210"/>
      <c r="R117" s="210" t="str">
        <f>TEXT(S101,"")</f>
        <v/>
      </c>
      <c r="S117" s="210"/>
      <c r="T117" s="210" t="s">
        <v>2</v>
      </c>
      <c r="U117" s="210"/>
      <c r="V117" s="210"/>
      <c r="W117" s="210"/>
      <c r="X117" s="210"/>
      <c r="Y117" s="210"/>
      <c r="Z117" s="210"/>
    </row>
    <row r="118" spans="1:26" s="213" customFormat="1">
      <c r="A118" s="208" t="str">
        <f>IF(OR(Global!B2="PROD",Global!B2="UAT"),"N","bln696153")</f>
        <v>N</v>
      </c>
      <c r="B118" s="209">
        <f>COUNTA($B$1:B117)</f>
        <v>108</v>
      </c>
      <c r="C118" s="210" t="s">
        <v>954</v>
      </c>
      <c r="D118" s="215"/>
      <c r="E118" s="212"/>
      <c r="F118" s="209"/>
      <c r="G118" s="210" t="s">
        <v>969</v>
      </c>
      <c r="H118" s="210"/>
      <c r="I118" s="210" t="s">
        <v>55</v>
      </c>
      <c r="J118" s="210" t="s">
        <v>298</v>
      </c>
      <c r="K118" s="209">
        <v>2</v>
      </c>
      <c r="L118" s="210" t="s">
        <v>98</v>
      </c>
      <c r="M118" s="214"/>
      <c r="N118" s="210" t="s">
        <v>99</v>
      </c>
      <c r="O118" s="210"/>
      <c r="P118" s="210"/>
      <c r="Q118" s="210"/>
      <c r="R118" s="210" t="str">
        <f>TEXT(S102,"mm/dd/yyyy")</f>
        <v>01/00/1900</v>
      </c>
      <c r="S118" s="210"/>
      <c r="T118" s="210" t="s">
        <v>2</v>
      </c>
      <c r="U118" s="210"/>
      <c r="V118" s="210"/>
      <c r="W118" s="210"/>
      <c r="X118" s="210"/>
      <c r="Y118" s="210"/>
      <c r="Z118" s="210"/>
    </row>
    <row r="119" spans="1:26" s="213" customFormat="1">
      <c r="A119" s="208" t="str">
        <f>IF(OR(Global!B2="PROD",Global!B2="UAT"),"N","bln696153")</f>
        <v>N</v>
      </c>
      <c r="B119" s="209">
        <f>COUNTA($B$1:B118)</f>
        <v>109</v>
      </c>
      <c r="C119" s="210" t="s">
        <v>955</v>
      </c>
      <c r="D119" s="215"/>
      <c r="E119" s="212"/>
      <c r="F119" s="209"/>
      <c r="G119" s="210" t="s">
        <v>969</v>
      </c>
      <c r="H119" s="210"/>
      <c r="I119" s="210" t="s">
        <v>55</v>
      </c>
      <c r="J119" s="210" t="s">
        <v>300</v>
      </c>
      <c r="K119" s="209">
        <v>2</v>
      </c>
      <c r="L119" s="210" t="s">
        <v>98</v>
      </c>
      <c r="M119" s="214"/>
      <c r="N119" s="210" t="s">
        <v>99</v>
      </c>
      <c r="O119" s="210"/>
      <c r="P119" s="210"/>
      <c r="Q119" s="210"/>
      <c r="R119" s="210" t="str">
        <f>TEXT(S103,"mm/dd/yyyy")</f>
        <v>01/00/1900</v>
      </c>
      <c r="S119" s="210"/>
      <c r="T119" s="210" t="s">
        <v>2</v>
      </c>
      <c r="U119" s="210"/>
      <c r="V119" s="210"/>
      <c r="W119" s="210"/>
      <c r="X119" s="210"/>
      <c r="Y119" s="210"/>
      <c r="Z119" s="210"/>
    </row>
    <row r="120" spans="1:26" s="213" customFormat="1">
      <c r="A120" s="208" t="str">
        <f>IF(OR(Global!B2="QA"),"N","bln696153")</f>
        <v>bln696153</v>
      </c>
      <c r="B120" s="209">
        <f>COUNTA($B$1:B119)</f>
        <v>110</v>
      </c>
      <c r="C120" s="210" t="s">
        <v>956</v>
      </c>
      <c r="D120" s="215"/>
      <c r="E120" s="212"/>
      <c r="F120" s="209"/>
      <c r="G120" s="210" t="s">
        <v>969</v>
      </c>
      <c r="H120" s="210"/>
      <c r="I120" s="210" t="s">
        <v>55</v>
      </c>
      <c r="J120" s="210" t="s">
        <v>298</v>
      </c>
      <c r="K120" s="209">
        <v>1</v>
      </c>
      <c r="L120" s="210" t="s">
        <v>98</v>
      </c>
      <c r="M120" s="214"/>
      <c r="N120" s="210" t="s">
        <v>99</v>
      </c>
      <c r="O120" s="210"/>
      <c r="P120" s="210"/>
      <c r="Q120" s="210"/>
      <c r="R120" s="210" t="str">
        <f>TEXT(S102,"mm/dd/yyyy")</f>
        <v>01/00/1900</v>
      </c>
      <c r="S120" s="210"/>
      <c r="T120" s="210" t="s">
        <v>2</v>
      </c>
      <c r="U120" s="210"/>
      <c r="V120" s="210"/>
      <c r="W120" s="210"/>
      <c r="X120" s="210"/>
      <c r="Y120" s="210"/>
      <c r="Z120" s="210"/>
    </row>
    <row r="121" spans="1:26" s="213" customFormat="1">
      <c r="A121" s="208" t="str">
        <f>IF(OR(Global!B2="QA"),"N","bln696153")</f>
        <v>bln696153</v>
      </c>
      <c r="B121" s="209">
        <f>COUNTA($B$1:B120)</f>
        <v>111</v>
      </c>
      <c r="C121" s="210" t="s">
        <v>957</v>
      </c>
      <c r="D121" s="215"/>
      <c r="E121" s="212"/>
      <c r="F121" s="209"/>
      <c r="G121" s="210" t="s">
        <v>969</v>
      </c>
      <c r="H121" s="210"/>
      <c r="I121" s="210" t="s">
        <v>55</v>
      </c>
      <c r="J121" s="210" t="s">
        <v>300</v>
      </c>
      <c r="K121" s="209">
        <v>1</v>
      </c>
      <c r="L121" s="210" t="s">
        <v>98</v>
      </c>
      <c r="M121" s="214"/>
      <c r="N121" s="210" t="s">
        <v>99</v>
      </c>
      <c r="O121" s="210"/>
      <c r="P121" s="210"/>
      <c r="Q121" s="210"/>
      <c r="R121" s="210" t="str">
        <f>TEXT(S103,"mm/dd/yyyy")</f>
        <v>01/00/1900</v>
      </c>
      <c r="S121" s="210"/>
      <c r="T121" s="210" t="s">
        <v>2</v>
      </c>
      <c r="U121" s="210"/>
      <c r="V121" s="210"/>
      <c r="W121" s="210"/>
      <c r="X121" s="210"/>
      <c r="Y121" s="210"/>
      <c r="Z121" s="210"/>
    </row>
    <row r="122" spans="1:26" s="213" customFormat="1">
      <c r="A122" s="208" t="str">
        <f>IF(OR(Global!B2="PROD",Global!B2="UAT"),"N","bln696153")</f>
        <v>N</v>
      </c>
      <c r="B122" s="209">
        <f>COUNTA($B$1:B121)</f>
        <v>112</v>
      </c>
      <c r="C122" s="210" t="s">
        <v>958</v>
      </c>
      <c r="D122" s="211"/>
      <c r="E122" s="212" t="s">
        <v>154</v>
      </c>
      <c r="F122" s="209"/>
      <c r="G122" s="210" t="s">
        <v>969</v>
      </c>
      <c r="H122" s="210"/>
      <c r="I122" s="210" t="s">
        <v>55</v>
      </c>
      <c r="J122" s="210" t="s">
        <v>107</v>
      </c>
      <c r="K122" s="209">
        <v>2</v>
      </c>
      <c r="L122" s="210" t="s">
        <v>98</v>
      </c>
      <c r="M122" s="214"/>
      <c r="N122" s="210" t="s">
        <v>99</v>
      </c>
      <c r="O122" s="210"/>
      <c r="P122" s="210"/>
      <c r="Q122" s="210"/>
      <c r="R122" s="214" t="s">
        <v>873</v>
      </c>
      <c r="S122" s="212"/>
      <c r="T122" s="210" t="s">
        <v>2</v>
      </c>
      <c r="U122" s="210"/>
      <c r="V122" s="210"/>
      <c r="W122" s="210"/>
      <c r="X122" s="210"/>
      <c r="Y122" s="210"/>
      <c r="Z122" s="210"/>
    </row>
    <row r="123" spans="1:26" s="213" customFormat="1">
      <c r="A123" s="208" t="str">
        <f>IF(OR(Global!B2="QA"),"N","bln696153")</f>
        <v>bln696153</v>
      </c>
      <c r="B123" s="209">
        <f>COUNTA($B$1:B122)</f>
        <v>113</v>
      </c>
      <c r="C123" s="210" t="s">
        <v>959</v>
      </c>
      <c r="D123" s="211"/>
      <c r="E123" s="212" t="s">
        <v>154</v>
      </c>
      <c r="F123" s="209"/>
      <c r="G123" s="210" t="s">
        <v>969</v>
      </c>
      <c r="H123" s="210"/>
      <c r="I123" s="210" t="s">
        <v>55</v>
      </c>
      <c r="J123" s="210" t="s">
        <v>107</v>
      </c>
      <c r="K123" s="209">
        <v>1</v>
      </c>
      <c r="L123" s="210" t="s">
        <v>98</v>
      </c>
      <c r="M123" s="214"/>
      <c r="N123" s="210" t="s">
        <v>99</v>
      </c>
      <c r="O123" s="210"/>
      <c r="P123" s="210"/>
      <c r="Q123" s="210"/>
      <c r="R123" s="214" t="s">
        <v>873</v>
      </c>
      <c r="S123" s="212"/>
      <c r="T123" s="210" t="s">
        <v>2</v>
      </c>
      <c r="U123" s="210"/>
      <c r="V123" s="210"/>
      <c r="W123" s="210"/>
      <c r="X123" s="210"/>
      <c r="Y123" s="210"/>
      <c r="Z123" s="210"/>
    </row>
    <row r="124" spans="1:26" s="213" customFormat="1">
      <c r="A124" s="208" t="s">
        <v>970</v>
      </c>
      <c r="B124" s="209">
        <f>COUNTA($B$1:B123)</f>
        <v>114</v>
      </c>
      <c r="C124" s="210" t="s">
        <v>310</v>
      </c>
      <c r="D124" s="211"/>
      <c r="E124" s="212"/>
      <c r="F124" s="209"/>
      <c r="G124" s="210" t="s">
        <v>969</v>
      </c>
      <c r="H124" s="210"/>
      <c r="I124" s="210" t="s">
        <v>55</v>
      </c>
      <c r="J124" s="210" t="s">
        <v>311</v>
      </c>
      <c r="K124" s="209">
        <v>0</v>
      </c>
      <c r="L124" s="210" t="s">
        <v>98</v>
      </c>
      <c r="M124" s="214"/>
      <c r="N124" s="210" t="s">
        <v>99</v>
      </c>
      <c r="O124" s="210"/>
      <c r="P124" s="210"/>
      <c r="Q124" s="210"/>
      <c r="R124" s="214">
        <f>S106</f>
        <v>0</v>
      </c>
      <c r="S124" s="210"/>
      <c r="T124" s="210"/>
      <c r="U124" s="210"/>
      <c r="V124" s="210"/>
      <c r="W124" s="210"/>
      <c r="X124" s="210"/>
      <c r="Y124" s="210"/>
      <c r="Z124" s="210"/>
    </row>
    <row r="125" spans="1:26">
      <c r="A125" s="33" t="s">
        <v>970</v>
      </c>
      <c r="B125" s="198">
        <f>COUNTA($B$1:B124)</f>
        <v>115</v>
      </c>
      <c r="C125" s="35" t="s">
        <v>93</v>
      </c>
      <c r="D125" s="35"/>
      <c r="E125" s="35"/>
      <c r="F125" s="34"/>
      <c r="G125" s="35" t="s">
        <v>969</v>
      </c>
      <c r="H125" s="35"/>
      <c r="I125" s="35" t="s">
        <v>55</v>
      </c>
      <c r="J125" s="35" t="s">
        <v>92</v>
      </c>
      <c r="K125" s="34">
        <v>0</v>
      </c>
      <c r="L125" s="35" t="s">
        <v>0</v>
      </c>
      <c r="M125" s="50" t="s">
        <v>261</v>
      </c>
      <c r="N125" s="35"/>
      <c r="O125" s="35"/>
      <c r="P125" s="35"/>
      <c r="Q125" s="35"/>
      <c r="R125" s="52"/>
      <c r="S125" s="35"/>
      <c r="T125" s="35"/>
      <c r="U125" s="35"/>
      <c r="V125" s="35"/>
      <c r="W125" s="35"/>
      <c r="X125" s="35"/>
      <c r="Y125" s="35"/>
      <c r="Z125" s="35"/>
    </row>
    <row r="126" spans="1:26">
      <c r="A126" s="33" t="s">
        <v>970</v>
      </c>
      <c r="B126" s="34">
        <f>COUNTA($B$1:B125)</f>
        <v>116</v>
      </c>
      <c r="C126" s="35" t="s">
        <v>262</v>
      </c>
      <c r="D126" s="35"/>
      <c r="E126" s="35"/>
      <c r="F126" s="34"/>
      <c r="G126" s="35" t="s">
        <v>969</v>
      </c>
      <c r="H126" s="35"/>
      <c r="I126" s="35"/>
      <c r="J126" s="35"/>
      <c r="K126" s="34">
        <v>0</v>
      </c>
      <c r="L126" s="35" t="s">
        <v>95</v>
      </c>
      <c r="M126" s="35"/>
      <c r="N126" s="35"/>
      <c r="O126" s="35"/>
      <c r="P126" s="35"/>
      <c r="Q126" s="35"/>
      <c r="R126" s="52"/>
      <c r="S126" s="35"/>
      <c r="T126" s="35"/>
      <c r="U126" s="35"/>
      <c r="V126" s="35"/>
      <c r="W126" s="35"/>
      <c r="X126" s="35"/>
      <c r="Y126" s="35"/>
      <c r="Z126" s="35"/>
    </row>
    <row r="127" spans="1:26">
      <c r="A127" s="33" t="s">
        <v>970</v>
      </c>
      <c r="B127" s="34">
        <f>COUNTA($B$1:B126)</f>
        <v>117</v>
      </c>
      <c r="C127" s="35" t="s">
        <v>94</v>
      </c>
      <c r="D127" s="35"/>
      <c r="E127" s="35"/>
      <c r="F127" s="34"/>
      <c r="G127" s="35" t="s">
        <v>969</v>
      </c>
      <c r="H127" s="35"/>
      <c r="I127" s="35" t="s">
        <v>55</v>
      </c>
      <c r="J127" s="35" t="s">
        <v>263</v>
      </c>
      <c r="K127" s="34">
        <v>0</v>
      </c>
      <c r="L127" s="35" t="s">
        <v>0</v>
      </c>
      <c r="M127" s="50" t="s">
        <v>264</v>
      </c>
      <c r="N127" s="35"/>
      <c r="O127" s="35"/>
      <c r="P127" s="35"/>
      <c r="Q127" s="35"/>
      <c r="R127" s="52"/>
      <c r="S127" s="35"/>
      <c r="T127" s="35"/>
      <c r="U127" s="35"/>
      <c r="V127" s="35"/>
      <c r="W127" s="35"/>
      <c r="X127" s="35"/>
      <c r="Y127" s="35"/>
      <c r="Z127" s="35"/>
    </row>
    <row r="128" spans="1:26">
      <c r="A128" s="33" t="s">
        <v>970</v>
      </c>
      <c r="B128" s="34">
        <f>COUNTA($B$1:B127)</f>
        <v>118</v>
      </c>
      <c r="C128" s="35" t="s">
        <v>262</v>
      </c>
      <c r="D128" s="35"/>
      <c r="E128" s="35"/>
      <c r="F128" s="34"/>
      <c r="G128" s="35" t="s">
        <v>969</v>
      </c>
      <c r="H128" s="35"/>
      <c r="I128" s="35"/>
      <c r="J128" s="35"/>
      <c r="K128" s="34">
        <v>0</v>
      </c>
      <c r="L128" s="35" t="s">
        <v>96</v>
      </c>
      <c r="M128" s="35"/>
      <c r="N128" s="35"/>
      <c r="O128" s="35"/>
      <c r="P128" s="35"/>
      <c r="Q128" s="35"/>
      <c r="R128" s="52"/>
      <c r="S128" s="35"/>
      <c r="T128" s="35"/>
      <c r="U128" s="35"/>
      <c r="V128" s="35"/>
      <c r="W128" s="35"/>
      <c r="X128" s="35"/>
      <c r="Y128" s="35"/>
      <c r="Z128" s="35"/>
    </row>
    <row r="129" spans="1:26">
      <c r="A129" s="33" t="s">
        <v>970</v>
      </c>
      <c r="B129" s="34">
        <f>COUNTA($B$1:B128)</f>
        <v>119</v>
      </c>
      <c r="C129" s="35" t="s">
        <v>262</v>
      </c>
      <c r="D129" s="35"/>
      <c r="E129" s="35"/>
      <c r="F129" s="34"/>
      <c r="G129" s="35" t="s">
        <v>969</v>
      </c>
      <c r="H129" s="35"/>
      <c r="I129" s="35"/>
      <c r="J129" s="35"/>
      <c r="K129" s="34">
        <v>0</v>
      </c>
      <c r="L129" s="35" t="s">
        <v>95</v>
      </c>
      <c r="M129" s="35"/>
      <c r="N129" s="35"/>
      <c r="O129" s="35"/>
      <c r="P129" s="35"/>
      <c r="Q129" s="35"/>
      <c r="R129" s="52"/>
      <c r="S129" s="35"/>
      <c r="T129" s="35"/>
      <c r="U129" s="35"/>
      <c r="V129" s="35"/>
      <c r="W129" s="35"/>
      <c r="X129" s="35"/>
      <c r="Y129" s="35"/>
      <c r="Z129" s="35"/>
    </row>
    <row r="130" spans="1:26">
      <c r="A130" s="217" t="s">
        <v>21</v>
      </c>
      <c r="B130" s="218">
        <f>COUNTA($B$1:B129)</f>
        <v>120</v>
      </c>
      <c r="C130" s="219" t="s">
        <v>226</v>
      </c>
      <c r="D130" s="51"/>
      <c r="E130" s="52"/>
      <c r="F130" s="34"/>
      <c r="G130" s="35" t="s">
        <v>969</v>
      </c>
      <c r="H130" s="35"/>
      <c r="I130" s="35"/>
      <c r="J130" s="35"/>
      <c r="K130" s="34"/>
      <c r="L130" s="35" t="s">
        <v>227</v>
      </c>
      <c r="M130" s="36" t="s">
        <v>79</v>
      </c>
      <c r="N130" s="35"/>
      <c r="O130" s="35"/>
      <c r="P130" s="35"/>
      <c r="Q130" s="35"/>
      <c r="R130" s="35"/>
      <c r="S130" s="35"/>
      <c r="T130" s="35"/>
      <c r="U130" s="35"/>
      <c r="V130" s="35"/>
      <c r="W130" s="35"/>
      <c r="X130" s="35"/>
      <c r="Y130" s="35"/>
      <c r="Z130" s="35"/>
    </row>
    <row r="131" spans="1:26">
      <c r="A131" s="217" t="s">
        <v>21</v>
      </c>
      <c r="B131" s="218">
        <f>COUNTA($B$1:B130)</f>
        <v>121</v>
      </c>
      <c r="C131" s="219" t="s">
        <v>265</v>
      </c>
      <c r="D131" s="35"/>
      <c r="E131" s="35"/>
      <c r="F131" s="34"/>
      <c r="G131" s="35" t="s">
        <v>969</v>
      </c>
      <c r="H131" s="35"/>
      <c r="I131" s="35"/>
      <c r="J131" s="35"/>
      <c r="K131" s="34"/>
      <c r="L131" s="35" t="s">
        <v>227</v>
      </c>
      <c r="M131" s="50" t="s">
        <v>266</v>
      </c>
      <c r="N131" s="35"/>
      <c r="O131" s="35"/>
      <c r="P131" s="35"/>
      <c r="Q131" s="35"/>
      <c r="R131" s="52"/>
      <c r="S131" s="35"/>
      <c r="T131" s="35"/>
      <c r="U131" s="35"/>
      <c r="V131" s="35"/>
      <c r="W131" s="35"/>
      <c r="X131" s="35"/>
      <c r="Y131" s="35"/>
      <c r="Z131" s="35"/>
    </row>
    <row r="132" spans="1:26">
      <c r="A132" s="217" t="s">
        <v>21</v>
      </c>
      <c r="B132" s="218">
        <f>COUNTA($B$1:B131)</f>
        <v>122</v>
      </c>
      <c r="C132" s="219" t="s">
        <v>267</v>
      </c>
      <c r="D132" s="35"/>
      <c r="E132" s="35"/>
      <c r="F132" s="34"/>
      <c r="G132" s="35" t="s">
        <v>969</v>
      </c>
      <c r="H132" s="35"/>
      <c r="I132" s="35"/>
      <c r="J132" s="35"/>
      <c r="K132" s="34"/>
      <c r="L132" s="35" t="s">
        <v>227</v>
      </c>
      <c r="M132" s="50" t="s">
        <v>268</v>
      </c>
      <c r="N132" s="35"/>
      <c r="O132" s="35"/>
      <c r="P132" s="35"/>
      <c r="Q132" s="35"/>
      <c r="R132" s="52"/>
      <c r="S132" s="35"/>
      <c r="T132" s="35"/>
      <c r="U132" s="35"/>
      <c r="V132" s="35"/>
      <c r="W132" s="35"/>
      <c r="X132" s="35"/>
      <c r="Y132" s="35"/>
      <c r="Z132" s="35"/>
    </row>
    <row r="133" spans="1:26" s="19" customFormat="1" outlineLevel="1">
      <c r="A133" s="33" t="s">
        <v>970</v>
      </c>
      <c r="B133" s="34">
        <f>COUNTA($B$1:B132)</f>
        <v>123</v>
      </c>
      <c r="C133" s="35" t="s">
        <v>948</v>
      </c>
      <c r="D133" s="35"/>
      <c r="E133" s="35"/>
      <c r="F133" s="34"/>
      <c r="G133" s="35" t="s">
        <v>969</v>
      </c>
      <c r="H133" s="35"/>
      <c r="I133" s="35" t="s">
        <v>55</v>
      </c>
      <c r="J133" s="35" t="s">
        <v>949</v>
      </c>
      <c r="K133" s="34">
        <v>0</v>
      </c>
      <c r="L133" s="35" t="s">
        <v>34</v>
      </c>
      <c r="M133" s="35"/>
      <c r="N133" s="35"/>
      <c r="O133" s="35"/>
      <c r="P133" s="35"/>
      <c r="Q133" s="35"/>
      <c r="R133" s="35"/>
      <c r="S133" s="35"/>
      <c r="T133" s="35"/>
      <c r="U133" s="35"/>
      <c r="V133" s="35"/>
      <c r="W133" s="35"/>
      <c r="X133" s="35"/>
      <c r="Y133" s="35"/>
      <c r="Z133" s="35"/>
    </row>
    <row r="134" spans="1:26" s="19" customFormat="1" outlineLevel="1">
      <c r="A134" s="33" t="s">
        <v>970</v>
      </c>
      <c r="B134" s="34">
        <f>COUNTA($B$1:B133)</f>
        <v>124</v>
      </c>
      <c r="C134" s="35" t="s">
        <v>67</v>
      </c>
      <c r="D134" s="35"/>
      <c r="E134" s="35"/>
      <c r="F134" s="34"/>
      <c r="G134" s="35" t="s">
        <v>969</v>
      </c>
      <c r="H134" s="35"/>
      <c r="I134" s="35"/>
      <c r="J134" s="35"/>
      <c r="K134" s="34"/>
      <c r="L134" s="35" t="s">
        <v>67</v>
      </c>
      <c r="M134" s="36">
        <v>2</v>
      </c>
      <c r="N134" s="35"/>
      <c r="O134" s="35"/>
      <c r="P134" s="35"/>
      <c r="Q134" s="35"/>
      <c r="R134" s="35"/>
      <c r="S134" s="35"/>
      <c r="T134" s="35"/>
      <c r="U134" s="35"/>
      <c r="V134" s="35"/>
      <c r="W134" s="35"/>
      <c r="X134" s="35"/>
      <c r="Y134" s="35"/>
      <c r="Z134" s="35"/>
    </row>
    <row r="135" spans="1:26" s="19" customFormat="1" outlineLevel="1">
      <c r="A135" s="33" t="s">
        <v>970</v>
      </c>
      <c r="B135" s="34">
        <f>COUNTA($B$1:B134)</f>
        <v>125</v>
      </c>
      <c r="C135" s="35" t="s">
        <v>952</v>
      </c>
      <c r="D135" s="35"/>
      <c r="E135" s="35"/>
      <c r="F135" s="34"/>
      <c r="G135" s="35" t="s">
        <v>969</v>
      </c>
      <c r="H135" s="35"/>
      <c r="I135" s="35" t="s">
        <v>55</v>
      </c>
      <c r="J135" s="35" t="s">
        <v>949</v>
      </c>
      <c r="K135" s="34">
        <v>0</v>
      </c>
      <c r="L135" s="35" t="s">
        <v>951</v>
      </c>
      <c r="M135" s="50" t="s">
        <v>266</v>
      </c>
      <c r="N135" s="35"/>
      <c r="O135" s="35"/>
      <c r="P135" s="35"/>
      <c r="Q135" s="35"/>
      <c r="R135" s="35"/>
      <c r="S135" s="35"/>
      <c r="T135" s="35"/>
      <c r="U135" s="35"/>
      <c r="V135" s="35"/>
      <c r="W135" s="35"/>
      <c r="X135" s="35"/>
      <c r="Y135" s="35"/>
      <c r="Z135" s="35"/>
    </row>
    <row r="136" spans="1:26" s="19" customFormat="1" outlineLevel="1">
      <c r="A136" s="33" t="s">
        <v>970</v>
      </c>
      <c r="B136" s="34">
        <f>COUNTA($B$1:B135)</f>
        <v>126</v>
      </c>
      <c r="C136" s="35" t="s">
        <v>953</v>
      </c>
      <c r="D136" s="35"/>
      <c r="E136" s="35"/>
      <c r="F136" s="34"/>
      <c r="G136" s="35" t="s">
        <v>969</v>
      </c>
      <c r="H136" s="35"/>
      <c r="I136" s="35" t="s">
        <v>55</v>
      </c>
      <c r="J136" s="35" t="s">
        <v>949</v>
      </c>
      <c r="K136" s="34">
        <v>0</v>
      </c>
      <c r="L136" s="35" t="s">
        <v>951</v>
      </c>
      <c r="M136" s="50" t="s">
        <v>268</v>
      </c>
      <c r="N136" s="35"/>
      <c r="O136" s="35"/>
      <c r="P136" s="35"/>
      <c r="Q136" s="35"/>
      <c r="R136" s="35"/>
      <c r="S136" s="35"/>
      <c r="T136" s="35"/>
      <c r="U136" s="35"/>
      <c r="V136" s="35"/>
      <c r="W136" s="35"/>
      <c r="X136" s="35"/>
      <c r="Y136" s="35"/>
      <c r="Z136" s="35"/>
    </row>
    <row r="137" spans="1:26" s="19" customFormat="1" outlineLevel="1">
      <c r="A137" s="33" t="s">
        <v>970</v>
      </c>
      <c r="B137" s="34">
        <f>COUNTA($B$1:B136)</f>
        <v>127</v>
      </c>
      <c r="C137" s="35" t="s">
        <v>67</v>
      </c>
      <c r="D137" s="35"/>
      <c r="E137" s="35"/>
      <c r="F137" s="34"/>
      <c r="G137" s="35" t="s">
        <v>969</v>
      </c>
      <c r="H137" s="35"/>
      <c r="I137" s="35"/>
      <c r="J137" s="35"/>
      <c r="K137" s="34"/>
      <c r="L137" s="35" t="s">
        <v>67</v>
      </c>
      <c r="M137" s="36">
        <v>2</v>
      </c>
      <c r="N137" s="35"/>
      <c r="O137" s="35"/>
      <c r="P137" s="35"/>
      <c r="Q137" s="35"/>
      <c r="R137" s="35"/>
      <c r="S137" s="35"/>
      <c r="T137" s="35"/>
      <c r="U137" s="35"/>
      <c r="V137" s="35"/>
      <c r="W137" s="35"/>
      <c r="X137" s="35"/>
      <c r="Y137" s="35"/>
      <c r="Z137" s="35"/>
    </row>
    <row r="138" spans="1:26">
      <c r="A138" s="33" t="s">
        <v>970</v>
      </c>
      <c r="B138" s="34">
        <f>COUNTA($B$1:B137)</f>
        <v>128</v>
      </c>
      <c r="C138" s="35" t="s">
        <v>262</v>
      </c>
      <c r="D138" s="35"/>
      <c r="E138" s="35"/>
      <c r="F138" s="34"/>
      <c r="G138" s="35" t="s">
        <v>969</v>
      </c>
      <c r="H138" s="35"/>
      <c r="I138" s="35"/>
      <c r="J138" s="35"/>
      <c r="K138" s="34">
        <v>0</v>
      </c>
      <c r="L138" s="35" t="s">
        <v>96</v>
      </c>
      <c r="M138" s="35"/>
      <c r="N138" s="35"/>
      <c r="O138" s="35"/>
      <c r="P138" s="35"/>
      <c r="Q138" s="35"/>
      <c r="R138" s="52"/>
      <c r="S138" s="35"/>
      <c r="T138" s="35"/>
      <c r="U138" s="35"/>
      <c r="V138" s="35"/>
      <c r="W138" s="35"/>
      <c r="X138" s="35"/>
      <c r="Y138" s="35"/>
      <c r="Z138" s="35"/>
    </row>
    <row r="139" spans="1:26">
      <c r="A139" s="33" t="s">
        <v>970</v>
      </c>
      <c r="B139" s="34">
        <f>COUNTA($B$1:B138)</f>
        <v>129</v>
      </c>
      <c r="C139" s="35" t="s">
        <v>67</v>
      </c>
      <c r="D139" s="35"/>
      <c r="E139" s="35"/>
      <c r="F139" s="34"/>
      <c r="G139" s="35" t="s">
        <v>969</v>
      </c>
      <c r="H139" s="35"/>
      <c r="I139" s="35"/>
      <c r="J139" s="35"/>
      <c r="K139" s="34"/>
      <c r="L139" s="35" t="s">
        <v>67</v>
      </c>
      <c r="M139" s="36">
        <v>2</v>
      </c>
      <c r="N139" s="35"/>
      <c r="O139" s="35"/>
      <c r="P139" s="35"/>
      <c r="Q139" s="35"/>
      <c r="R139" s="36"/>
      <c r="S139" s="35"/>
      <c r="T139" s="35"/>
      <c r="U139" s="35"/>
      <c r="V139" s="35"/>
      <c r="W139" s="35"/>
      <c r="X139" s="35"/>
      <c r="Y139" s="35"/>
      <c r="Z139" s="35"/>
    </row>
    <row r="140" spans="1:26">
      <c r="A140" s="33" t="s">
        <v>970</v>
      </c>
      <c r="B140" s="34">
        <f>COUNTA($B$1:B139)</f>
        <v>130</v>
      </c>
      <c r="C140" s="35" t="s">
        <v>312</v>
      </c>
      <c r="D140" s="51"/>
      <c r="E140" s="52" t="s">
        <v>154</v>
      </c>
      <c r="F140" s="34"/>
      <c r="G140" s="35" t="s">
        <v>969</v>
      </c>
      <c r="H140" s="35"/>
      <c r="I140" s="35" t="s">
        <v>55</v>
      </c>
      <c r="J140" s="35" t="s">
        <v>313</v>
      </c>
      <c r="K140" s="34">
        <v>0</v>
      </c>
      <c r="L140" s="35" t="s">
        <v>878</v>
      </c>
      <c r="M140" s="36"/>
      <c r="N140" s="35"/>
      <c r="O140" s="35"/>
      <c r="P140" s="35"/>
      <c r="Q140" s="35"/>
      <c r="R140" s="35"/>
      <c r="S140" s="35"/>
      <c r="T140" s="35"/>
      <c r="U140" s="35"/>
      <c r="V140" s="35"/>
      <c r="W140" s="35"/>
      <c r="X140" s="35"/>
      <c r="Y140" s="35"/>
      <c r="Z140" s="35"/>
    </row>
    <row r="141" spans="1:26">
      <c r="A141" s="33" t="s">
        <v>970</v>
      </c>
      <c r="B141" s="34">
        <f>COUNTA($B$1:B140)</f>
        <v>131</v>
      </c>
      <c r="C141" s="35" t="s">
        <v>67</v>
      </c>
      <c r="D141" s="35"/>
      <c r="E141" s="35"/>
      <c r="F141" s="34"/>
      <c r="G141" s="35" t="s">
        <v>969</v>
      </c>
      <c r="H141" s="35"/>
      <c r="I141" s="35"/>
      <c r="J141" s="35"/>
      <c r="K141" s="34"/>
      <c r="L141" s="35" t="s">
        <v>67</v>
      </c>
      <c r="M141" s="36">
        <v>2</v>
      </c>
      <c r="N141" s="35"/>
      <c r="O141" s="35"/>
      <c r="P141" s="35"/>
      <c r="Q141" s="35"/>
      <c r="R141" s="36"/>
      <c r="S141" s="35"/>
      <c r="T141" s="35"/>
      <c r="U141" s="35"/>
      <c r="V141" s="35"/>
      <c r="W141" s="35"/>
      <c r="X141" s="35"/>
      <c r="Y141" s="35"/>
      <c r="Z141" s="35"/>
    </row>
    <row r="142" spans="1:26">
      <c r="A142" s="223" t="str" cm="1">
        <f t="array" ref="A142">_xlfn.IFS(Global!B2="QA","bln696153",Global!B2="UAT","bln696153",Global!B2="PROD","N")</f>
        <v>bln696153</v>
      </c>
      <c r="B142" s="34">
        <f>COUNTA($B$1:B141)</f>
        <v>132</v>
      </c>
      <c r="C142" s="35" t="s">
        <v>190</v>
      </c>
      <c r="D142" s="35"/>
      <c r="E142" s="35"/>
      <c r="F142" s="34"/>
      <c r="G142" s="35" t="s">
        <v>969</v>
      </c>
      <c r="H142" s="35"/>
      <c r="I142" s="35" t="s">
        <v>55</v>
      </c>
      <c r="J142" s="35" t="s">
        <v>87</v>
      </c>
      <c r="K142" s="34">
        <v>0</v>
      </c>
      <c r="L142" s="35" t="s">
        <v>147</v>
      </c>
      <c r="M142" s="36"/>
      <c r="N142" s="35"/>
      <c r="O142" s="35"/>
      <c r="P142" s="35"/>
      <c r="Q142" s="35"/>
      <c r="R142" s="35"/>
      <c r="S142" s="35"/>
      <c r="T142" s="35"/>
      <c r="U142" s="35"/>
      <c r="V142" s="35"/>
      <c r="W142" s="35"/>
      <c r="X142" s="35"/>
      <c r="Y142" s="35"/>
      <c r="Z142" s="35"/>
    </row>
    <row r="143" spans="1:26">
      <c r="A143" s="33" t="str">
        <f>A142</f>
        <v>bln696153</v>
      </c>
      <c r="B143" s="34">
        <f>COUNTA($B$1:B142)</f>
        <v>133</v>
      </c>
      <c r="C143" s="35" t="s">
        <v>67</v>
      </c>
      <c r="D143" s="35"/>
      <c r="E143" s="35"/>
      <c r="F143" s="34"/>
      <c r="G143" s="35" t="s">
        <v>969</v>
      </c>
      <c r="H143" s="35"/>
      <c r="I143" s="35"/>
      <c r="J143" s="35"/>
      <c r="K143" s="34"/>
      <c r="L143" s="35" t="s">
        <v>67</v>
      </c>
      <c r="M143" s="36">
        <v>10</v>
      </c>
      <c r="N143" s="35"/>
      <c r="O143" s="35"/>
      <c r="P143" s="35"/>
      <c r="Q143" s="35"/>
      <c r="R143" s="36"/>
      <c r="S143" s="35"/>
      <c r="T143" s="35"/>
      <c r="U143" s="35"/>
      <c r="V143" s="35"/>
      <c r="W143" s="35"/>
      <c r="X143" s="35"/>
      <c r="Y143" s="35"/>
      <c r="Z143" s="35"/>
    </row>
    <row r="144" spans="1:26">
      <c r="A144" s="30" t="s">
        <v>100</v>
      </c>
      <c r="B144" s="193"/>
      <c r="C144" s="31"/>
      <c r="D144" s="32"/>
      <c r="E144" s="32"/>
      <c r="F144" s="31"/>
      <c r="G144" s="32"/>
      <c r="H144" s="32"/>
      <c r="I144" s="32"/>
      <c r="J144" s="32"/>
      <c r="K144" s="31"/>
      <c r="L144" s="32"/>
      <c r="M144" s="32"/>
      <c r="N144" s="32"/>
      <c r="O144" s="32"/>
      <c r="P144" s="32"/>
      <c r="Q144" s="32"/>
      <c r="R144" s="32"/>
      <c r="S144" s="32"/>
      <c r="T144" s="32"/>
      <c r="U144" s="32"/>
      <c r="V144" s="32"/>
      <c r="W144" s="32"/>
      <c r="X144" s="32"/>
      <c r="Y144" s="32"/>
      <c r="Z144" s="32"/>
    </row>
    <row r="145" spans="1:26" s="131" customFormat="1">
      <c r="A145" s="116" t="str">
        <f>A143</f>
        <v>bln696153</v>
      </c>
      <c r="B145" s="117">
        <f>COUNTA($B$1:B144)</f>
        <v>134</v>
      </c>
      <c r="C145" s="118" t="s">
        <v>67</v>
      </c>
      <c r="D145" s="118"/>
      <c r="E145" s="118"/>
      <c r="F145" s="117"/>
      <c r="G145" s="118" t="s">
        <v>969</v>
      </c>
      <c r="H145" s="118"/>
      <c r="I145" s="118"/>
      <c r="J145" s="118"/>
      <c r="K145" s="117"/>
      <c r="L145" s="118" t="s">
        <v>67</v>
      </c>
      <c r="M145" s="119">
        <v>3</v>
      </c>
      <c r="N145" s="118"/>
      <c r="O145" s="118"/>
      <c r="P145" s="118"/>
      <c r="Q145" s="118"/>
      <c r="R145" s="119"/>
      <c r="S145" s="118"/>
      <c r="T145" s="118"/>
      <c r="U145" s="118"/>
      <c r="V145" s="118"/>
      <c r="W145" s="118"/>
      <c r="X145" s="118"/>
      <c r="Y145" s="118"/>
      <c r="Z145" s="118"/>
    </row>
    <row r="146" spans="1:26" s="131" customFormat="1">
      <c r="A146" s="116" t="str">
        <f>A145</f>
        <v>bln696153</v>
      </c>
      <c r="B146" s="117">
        <f>COUNTA($B$1:B145)</f>
        <v>135</v>
      </c>
      <c r="C146" s="136" t="s">
        <v>317</v>
      </c>
      <c r="D146" s="137"/>
      <c r="E146" s="138" t="s">
        <v>154</v>
      </c>
      <c r="F146" s="139"/>
      <c r="G146" s="118" t="s">
        <v>969</v>
      </c>
      <c r="H146" s="136"/>
      <c r="I146" s="136" t="s">
        <v>55</v>
      </c>
      <c r="J146" s="136" t="s">
        <v>456</v>
      </c>
      <c r="K146" s="117">
        <v>0</v>
      </c>
      <c r="L146" s="136" t="s">
        <v>98</v>
      </c>
      <c r="M146" s="136"/>
      <c r="N146" s="136" t="s">
        <v>99</v>
      </c>
      <c r="O146" s="136"/>
      <c r="P146" s="136"/>
      <c r="Q146" s="136"/>
      <c r="R146" s="138" t="s">
        <v>319</v>
      </c>
      <c r="S146" s="138"/>
      <c r="T146" s="136" t="s">
        <v>2</v>
      </c>
      <c r="U146" s="136"/>
      <c r="V146" s="136"/>
      <c r="W146" s="118"/>
      <c r="X146" s="118"/>
      <c r="Y146" s="118"/>
      <c r="Z146" s="118"/>
    </row>
    <row r="147" spans="1:26" s="131" customFormat="1">
      <c r="A147" s="116" t="str">
        <f t="shared" ref="A147:A175" si="0">A146</f>
        <v>bln696153</v>
      </c>
      <c r="B147" s="117">
        <f>COUNTA($B$1:B146)</f>
        <v>136</v>
      </c>
      <c r="C147" s="136" t="s">
        <v>320</v>
      </c>
      <c r="D147" s="137"/>
      <c r="E147" s="138" t="s">
        <v>154</v>
      </c>
      <c r="F147" s="139"/>
      <c r="G147" s="118" t="s">
        <v>969</v>
      </c>
      <c r="H147" s="136"/>
      <c r="I147" s="136" t="s">
        <v>55</v>
      </c>
      <c r="J147" s="136" t="s">
        <v>885</v>
      </c>
      <c r="K147" s="117">
        <v>0</v>
      </c>
      <c r="L147" s="136" t="s">
        <v>98</v>
      </c>
      <c r="M147" s="136"/>
      <c r="N147" s="136" t="s">
        <v>99</v>
      </c>
      <c r="O147" s="136"/>
      <c r="P147" s="136"/>
      <c r="Q147" s="136"/>
      <c r="R147" s="138" t="s">
        <v>322</v>
      </c>
      <c r="S147" s="138"/>
      <c r="T147" s="136" t="s">
        <v>2</v>
      </c>
      <c r="U147" s="136"/>
      <c r="V147" s="136"/>
      <c r="W147" s="118"/>
      <c r="X147" s="118"/>
      <c r="Y147" s="118"/>
      <c r="Z147" s="118"/>
    </row>
    <row r="148" spans="1:26" s="131" customFormat="1">
      <c r="A148" s="116" t="str">
        <f t="shared" si="0"/>
        <v>bln696153</v>
      </c>
      <c r="B148" s="117">
        <f>COUNTA($B$1:B147)</f>
        <v>137</v>
      </c>
      <c r="C148" s="118" t="s">
        <v>327</v>
      </c>
      <c r="D148" s="127"/>
      <c r="E148" s="128"/>
      <c r="F148" s="117"/>
      <c r="G148" s="118" t="s">
        <v>969</v>
      </c>
      <c r="H148" s="118"/>
      <c r="I148" s="118" t="s">
        <v>55</v>
      </c>
      <c r="J148" s="118" t="s">
        <v>328</v>
      </c>
      <c r="K148" s="117">
        <v>0</v>
      </c>
      <c r="L148" s="118" t="s">
        <v>98</v>
      </c>
      <c r="M148" s="118"/>
      <c r="N148" s="118" t="s">
        <v>99</v>
      </c>
      <c r="O148" s="118"/>
      <c r="P148" s="118"/>
      <c r="Q148" s="118"/>
      <c r="R148" s="118"/>
      <c r="S148" s="118" t="s">
        <v>329</v>
      </c>
      <c r="T148" s="118"/>
      <c r="U148" s="118"/>
      <c r="V148" s="118"/>
      <c r="W148" s="118"/>
      <c r="X148" s="118"/>
      <c r="Y148" s="118"/>
      <c r="Z148" s="118"/>
    </row>
    <row r="149" spans="1:26" s="131" customFormat="1">
      <c r="A149" s="116" t="str">
        <f t="shared" si="0"/>
        <v>bln696153</v>
      </c>
      <c r="B149" s="117">
        <f>COUNTA($B$1:B148)</f>
        <v>138</v>
      </c>
      <c r="C149" s="118" t="s">
        <v>330</v>
      </c>
      <c r="D149" s="118"/>
      <c r="E149" s="118"/>
      <c r="F149" s="117"/>
      <c r="G149" s="118" t="s">
        <v>969</v>
      </c>
      <c r="H149" s="118"/>
      <c r="I149" s="118" t="s">
        <v>55</v>
      </c>
      <c r="J149" s="118" t="s">
        <v>430</v>
      </c>
      <c r="K149" s="117">
        <v>0</v>
      </c>
      <c r="L149" s="118" t="s">
        <v>98</v>
      </c>
      <c r="M149" s="119"/>
      <c r="N149" s="118" t="s">
        <v>99</v>
      </c>
      <c r="O149" s="118"/>
      <c r="P149" s="118"/>
      <c r="Q149" s="118"/>
      <c r="R149" s="135" t="s">
        <v>873</v>
      </c>
      <c r="S149" s="118"/>
      <c r="T149" s="118" t="s">
        <v>2</v>
      </c>
      <c r="U149" s="118"/>
      <c r="V149" s="118"/>
      <c r="W149" s="118"/>
      <c r="X149" s="128"/>
      <c r="Y149" s="128"/>
      <c r="Z149" s="128"/>
    </row>
    <row r="150" spans="1:26" s="131" customFormat="1" ht="15.95" customHeight="1">
      <c r="A150" s="116" t="str">
        <f t="shared" si="0"/>
        <v>bln696153</v>
      </c>
      <c r="B150" s="117">
        <f>COUNTA($B$1:B149)</f>
        <v>139</v>
      </c>
      <c r="C150" s="118" t="s">
        <v>331</v>
      </c>
      <c r="D150" s="118"/>
      <c r="E150" s="118"/>
      <c r="F150" s="117"/>
      <c r="G150" s="118" t="s">
        <v>969</v>
      </c>
      <c r="H150" s="118"/>
      <c r="I150" s="118" t="s">
        <v>55</v>
      </c>
      <c r="J150" s="118" t="s">
        <v>886</v>
      </c>
      <c r="K150" s="117">
        <v>0</v>
      </c>
      <c r="L150" s="118" t="s">
        <v>98</v>
      </c>
      <c r="M150" s="119"/>
      <c r="N150" s="118" t="s">
        <v>99</v>
      </c>
      <c r="O150" s="118"/>
      <c r="P150" s="118"/>
      <c r="Q150" s="118"/>
      <c r="R150" s="246" t="s">
        <v>980</v>
      </c>
      <c r="S150" s="118"/>
      <c r="T150" s="118" t="s">
        <v>2</v>
      </c>
      <c r="U150" s="118"/>
      <c r="V150" s="118"/>
      <c r="W150" s="118"/>
      <c r="X150" s="118"/>
      <c r="Y150" s="118"/>
      <c r="Z150" s="118"/>
    </row>
    <row r="151" spans="1:26" s="131" customFormat="1" ht="17.45" customHeight="1">
      <c r="A151" s="116" t="str">
        <f t="shared" si="0"/>
        <v>bln696153</v>
      </c>
      <c r="B151" s="117">
        <f>COUNTA($B$1:B150)</f>
        <v>140</v>
      </c>
      <c r="C151" s="118" t="s">
        <v>334</v>
      </c>
      <c r="D151" s="118"/>
      <c r="E151" s="118"/>
      <c r="F151" s="117"/>
      <c r="G151" s="118" t="s">
        <v>969</v>
      </c>
      <c r="H151" s="118"/>
      <c r="I151" s="118" t="s">
        <v>55</v>
      </c>
      <c r="J151" s="118" t="s">
        <v>460</v>
      </c>
      <c r="K151" s="117">
        <v>0</v>
      </c>
      <c r="L151" s="118" t="s">
        <v>98</v>
      </c>
      <c r="M151" s="119"/>
      <c r="N151" s="118" t="s">
        <v>99</v>
      </c>
      <c r="O151" s="118"/>
      <c r="P151" s="118"/>
      <c r="Q151" s="118"/>
      <c r="R151" s="246" t="s">
        <v>981</v>
      </c>
      <c r="S151" s="118"/>
      <c r="T151" s="118" t="s">
        <v>2</v>
      </c>
      <c r="U151" s="118"/>
      <c r="V151" s="118"/>
      <c r="W151" s="118"/>
      <c r="X151" s="128"/>
      <c r="Y151" s="128"/>
      <c r="Z151" s="128"/>
    </row>
    <row r="152" spans="1:26" s="131" customFormat="1" ht="18" customHeight="1">
      <c r="A152" s="116" t="str">
        <f t="shared" si="0"/>
        <v>bln696153</v>
      </c>
      <c r="B152" s="117">
        <f>COUNTA($B$1:B151)</f>
        <v>141</v>
      </c>
      <c r="C152" s="118" t="s">
        <v>337</v>
      </c>
      <c r="D152" s="118"/>
      <c r="E152" s="118"/>
      <c r="F152" s="117"/>
      <c r="G152" s="118" t="s">
        <v>969</v>
      </c>
      <c r="H152" s="118"/>
      <c r="I152" s="118" t="s">
        <v>55</v>
      </c>
      <c r="J152" s="118" t="s">
        <v>463</v>
      </c>
      <c r="K152" s="117">
        <v>0</v>
      </c>
      <c r="L152" s="118" t="s">
        <v>98</v>
      </c>
      <c r="M152" s="119"/>
      <c r="N152" s="118" t="s">
        <v>99</v>
      </c>
      <c r="O152" s="118"/>
      <c r="P152" s="118"/>
      <c r="Q152" s="118"/>
      <c r="R152" s="246" t="s">
        <v>982</v>
      </c>
      <c r="S152" s="118"/>
      <c r="T152" s="118" t="s">
        <v>2</v>
      </c>
      <c r="U152" s="118"/>
      <c r="V152" s="118"/>
      <c r="W152" s="118"/>
      <c r="X152" s="118"/>
      <c r="Y152" s="118"/>
      <c r="Z152" s="118"/>
    </row>
    <row r="153" spans="1:26" s="131" customFormat="1" ht="15.6" customHeight="1">
      <c r="A153" s="116" t="str">
        <f t="shared" si="0"/>
        <v>bln696153</v>
      </c>
      <c r="B153" s="117">
        <f>COUNTA($B$1:B152)</f>
        <v>142</v>
      </c>
      <c r="C153" s="118" t="s">
        <v>340</v>
      </c>
      <c r="D153" s="118"/>
      <c r="E153" s="118"/>
      <c r="F153" s="117"/>
      <c r="G153" s="118" t="s">
        <v>969</v>
      </c>
      <c r="H153" s="118"/>
      <c r="I153" s="118" t="s">
        <v>55</v>
      </c>
      <c r="J153" s="118" t="s">
        <v>466</v>
      </c>
      <c r="K153" s="117">
        <v>0</v>
      </c>
      <c r="L153" s="118" t="s">
        <v>98</v>
      </c>
      <c r="M153" s="119"/>
      <c r="N153" s="118" t="s">
        <v>99</v>
      </c>
      <c r="O153" s="118"/>
      <c r="P153" s="118"/>
      <c r="Q153" s="118"/>
      <c r="R153" s="246" t="s">
        <v>890</v>
      </c>
      <c r="S153" s="118"/>
      <c r="T153" s="118" t="s">
        <v>2</v>
      </c>
      <c r="U153" s="118"/>
      <c r="V153" s="118"/>
      <c r="W153" s="118"/>
      <c r="X153" s="128"/>
      <c r="Y153" s="128"/>
      <c r="Z153" s="128"/>
    </row>
    <row r="154" spans="1:26" s="131" customFormat="1" ht="18" customHeight="1">
      <c r="A154" s="116" t="str">
        <f t="shared" si="0"/>
        <v>bln696153</v>
      </c>
      <c r="B154" s="117">
        <f>COUNTA($B$1:B153)</f>
        <v>143</v>
      </c>
      <c r="C154" s="118" t="s">
        <v>343</v>
      </c>
      <c r="D154" s="118"/>
      <c r="E154" s="118"/>
      <c r="F154" s="117"/>
      <c r="G154" s="118" t="s">
        <v>969</v>
      </c>
      <c r="H154" s="118"/>
      <c r="I154" s="118" t="s">
        <v>55</v>
      </c>
      <c r="J154" s="118" t="s">
        <v>469</v>
      </c>
      <c r="K154" s="117">
        <v>0</v>
      </c>
      <c r="L154" s="118" t="s">
        <v>98</v>
      </c>
      <c r="M154" s="119"/>
      <c r="N154" s="118" t="s">
        <v>99</v>
      </c>
      <c r="O154" s="118"/>
      <c r="P154" s="118"/>
      <c r="Q154" s="118"/>
      <c r="R154" s="246" t="s">
        <v>983</v>
      </c>
      <c r="S154" s="118"/>
      <c r="T154" s="118" t="s">
        <v>2</v>
      </c>
      <c r="U154" s="118"/>
      <c r="V154" s="118"/>
      <c r="W154" s="118"/>
      <c r="X154" s="118"/>
      <c r="Y154" s="118"/>
      <c r="Z154" s="118"/>
    </row>
    <row r="155" spans="1:26" s="131" customFormat="1" ht="18.600000000000001" customHeight="1">
      <c r="A155" s="116" t="str">
        <f t="shared" si="0"/>
        <v>bln696153</v>
      </c>
      <c r="B155" s="117">
        <f>COUNTA($B$1:B154)</f>
        <v>144</v>
      </c>
      <c r="C155" s="118" t="s">
        <v>346</v>
      </c>
      <c r="D155" s="118"/>
      <c r="E155" s="118"/>
      <c r="F155" s="117"/>
      <c r="G155" s="118" t="s">
        <v>969</v>
      </c>
      <c r="H155" s="118"/>
      <c r="I155" s="118" t="s">
        <v>55</v>
      </c>
      <c r="J155" s="118" t="s">
        <v>472</v>
      </c>
      <c r="K155" s="117">
        <v>0</v>
      </c>
      <c r="L155" s="118" t="s">
        <v>98</v>
      </c>
      <c r="M155" s="119"/>
      <c r="N155" s="118" t="s">
        <v>99</v>
      </c>
      <c r="O155" s="118"/>
      <c r="P155" s="118"/>
      <c r="Q155" s="118"/>
      <c r="R155" s="246" t="s">
        <v>342</v>
      </c>
      <c r="S155" s="118"/>
      <c r="T155" s="118" t="s">
        <v>2</v>
      </c>
      <c r="U155" s="118"/>
      <c r="V155" s="118"/>
      <c r="W155" s="118"/>
      <c r="X155" s="128"/>
      <c r="Y155" s="128"/>
      <c r="Z155" s="128"/>
    </row>
    <row r="156" spans="1:26" s="131" customFormat="1">
      <c r="A156" s="116" t="str">
        <f t="shared" si="0"/>
        <v>bln696153</v>
      </c>
      <c r="B156" s="117">
        <f>COUNTA($B$1:B155)</f>
        <v>145</v>
      </c>
      <c r="C156" s="118" t="s">
        <v>349</v>
      </c>
      <c r="D156" s="118"/>
      <c r="E156" s="118"/>
      <c r="F156" s="117"/>
      <c r="G156" s="118" t="s">
        <v>969</v>
      </c>
      <c r="H156" s="118"/>
      <c r="I156" s="118" t="s">
        <v>55</v>
      </c>
      <c r="J156" s="118" t="s">
        <v>892</v>
      </c>
      <c r="K156" s="117">
        <v>0</v>
      </c>
      <c r="L156" s="118" t="s">
        <v>98</v>
      </c>
      <c r="M156" s="119"/>
      <c r="N156" s="118" t="s">
        <v>99</v>
      </c>
      <c r="O156" s="118"/>
      <c r="P156" s="118"/>
      <c r="Q156" s="118"/>
      <c r="R156" s="128" t="s">
        <v>591</v>
      </c>
      <c r="S156" s="118"/>
      <c r="T156" s="118" t="s">
        <v>2</v>
      </c>
      <c r="U156" s="118"/>
      <c r="V156" s="118"/>
      <c r="W156" s="118"/>
      <c r="X156" s="118"/>
      <c r="Y156" s="118"/>
      <c r="Z156" s="118"/>
    </row>
    <row r="157" spans="1:26" s="131" customFormat="1">
      <c r="A157" s="116" t="str">
        <f t="shared" si="0"/>
        <v>bln696153</v>
      </c>
      <c r="B157" s="117">
        <f>COUNTA($B$1:B156)</f>
        <v>146</v>
      </c>
      <c r="C157" s="118" t="s">
        <v>352</v>
      </c>
      <c r="D157" s="118"/>
      <c r="E157" s="118"/>
      <c r="F157" s="117"/>
      <c r="G157" s="118" t="s">
        <v>969</v>
      </c>
      <c r="H157" s="118"/>
      <c r="I157" s="118" t="s">
        <v>55</v>
      </c>
      <c r="J157" s="118" t="s">
        <v>423</v>
      </c>
      <c r="K157" s="117">
        <v>0</v>
      </c>
      <c r="L157" s="118" t="s">
        <v>98</v>
      </c>
      <c r="M157" s="119"/>
      <c r="N157" s="118" t="s">
        <v>99</v>
      </c>
      <c r="O157" s="118"/>
      <c r="P157" s="118"/>
      <c r="Q157" s="118"/>
      <c r="R157" s="119" t="str">
        <f>TEXT(M80,"0")</f>
        <v>Destination1</v>
      </c>
      <c r="S157" s="118"/>
      <c r="T157" s="118" t="s">
        <v>2</v>
      </c>
      <c r="U157" s="118"/>
      <c r="V157" s="118"/>
      <c r="W157" s="118"/>
      <c r="X157" s="118"/>
      <c r="Y157" s="118"/>
      <c r="Z157" s="118"/>
    </row>
    <row r="158" spans="1:26" s="131" customFormat="1">
      <c r="A158" s="116" t="str">
        <f t="shared" si="0"/>
        <v>bln696153</v>
      </c>
      <c r="B158" s="117">
        <f>COUNTA($B$1:B157)</f>
        <v>147</v>
      </c>
      <c r="C158" s="118" t="s">
        <v>354</v>
      </c>
      <c r="D158" s="118"/>
      <c r="E158" s="118"/>
      <c r="F158" s="117"/>
      <c r="G158" s="118" t="s">
        <v>969</v>
      </c>
      <c r="H158" s="118"/>
      <c r="I158" s="118" t="s">
        <v>55</v>
      </c>
      <c r="J158" s="118" t="s">
        <v>355</v>
      </c>
      <c r="K158" s="117">
        <v>0</v>
      </c>
      <c r="L158" s="118" t="s">
        <v>98</v>
      </c>
      <c r="M158" s="119"/>
      <c r="N158" s="118" t="s">
        <v>99</v>
      </c>
      <c r="O158" s="118"/>
      <c r="P158" s="118"/>
      <c r="Q158" s="118"/>
      <c r="R158" s="119" t="str">
        <f>TEXT(M83,"mm/dd/yyyy")</f>
        <v>DepDate1</v>
      </c>
      <c r="S158" s="118"/>
      <c r="T158" s="118" t="s">
        <v>2</v>
      </c>
      <c r="U158" s="118"/>
      <c r="V158" s="118"/>
      <c r="W158" s="118"/>
      <c r="X158" s="118"/>
      <c r="Y158" s="118"/>
      <c r="Z158" s="118"/>
    </row>
    <row r="159" spans="1:26" s="131" customFormat="1">
      <c r="A159" s="116" t="str">
        <f t="shared" si="0"/>
        <v>bln696153</v>
      </c>
      <c r="B159" s="117">
        <f>COUNTA($B$1:B158)</f>
        <v>148</v>
      </c>
      <c r="C159" s="118" t="s">
        <v>356</v>
      </c>
      <c r="D159" s="118"/>
      <c r="E159" s="118"/>
      <c r="F159" s="117"/>
      <c r="G159" s="118" t="s">
        <v>969</v>
      </c>
      <c r="H159" s="118"/>
      <c r="I159" s="118" t="s">
        <v>55</v>
      </c>
      <c r="J159" s="118" t="s">
        <v>357</v>
      </c>
      <c r="K159" s="117">
        <v>0</v>
      </c>
      <c r="L159" s="118" t="s">
        <v>98</v>
      </c>
      <c r="M159" s="119"/>
      <c r="N159" s="118" t="s">
        <v>99</v>
      </c>
      <c r="O159" s="118"/>
      <c r="P159" s="118"/>
      <c r="Q159" s="118"/>
      <c r="R159" s="119" t="str">
        <f>TEXT(M84,"mm/dd/yyyy")</f>
        <v>RetDate1</v>
      </c>
      <c r="S159" s="118"/>
      <c r="T159" s="118" t="s">
        <v>2</v>
      </c>
      <c r="U159" s="118"/>
      <c r="V159" s="118"/>
      <c r="W159" s="118"/>
      <c r="X159" s="118"/>
      <c r="Y159" s="118"/>
      <c r="Z159" s="118"/>
    </row>
    <row r="160" spans="1:26" s="131" customFormat="1">
      <c r="A160" s="116" t="str">
        <f t="shared" si="0"/>
        <v>bln696153</v>
      </c>
      <c r="B160" s="117">
        <f>COUNTA($B$1:B159)</f>
        <v>149</v>
      </c>
      <c r="C160" s="118" t="s">
        <v>539</v>
      </c>
      <c r="D160" s="118"/>
      <c r="E160" s="118"/>
      <c r="F160" s="117"/>
      <c r="G160" s="118" t="s">
        <v>969</v>
      </c>
      <c r="H160" s="118"/>
      <c r="I160" s="118" t="s">
        <v>55</v>
      </c>
      <c r="J160" s="118" t="s">
        <v>480</v>
      </c>
      <c r="K160" s="117">
        <v>0</v>
      </c>
      <c r="L160" s="118" t="s">
        <v>98</v>
      </c>
      <c r="M160" s="119"/>
      <c r="N160" s="118" t="s">
        <v>99</v>
      </c>
      <c r="O160" s="118"/>
      <c r="P160" s="118"/>
      <c r="Q160" s="118"/>
      <c r="R160" s="135" t="s">
        <v>873</v>
      </c>
      <c r="S160" s="128"/>
      <c r="T160" s="118" t="s">
        <v>2</v>
      </c>
      <c r="U160" s="118"/>
      <c r="V160" s="118"/>
      <c r="W160" s="118"/>
      <c r="X160" s="118"/>
      <c r="Y160" s="118"/>
      <c r="Z160" s="118"/>
    </row>
    <row r="161" spans="1:26" s="131" customFormat="1">
      <c r="A161" s="116" t="str">
        <f t="shared" si="0"/>
        <v>bln696153</v>
      </c>
      <c r="B161" s="117">
        <f>COUNTA($B$1:B160)</f>
        <v>150</v>
      </c>
      <c r="C161" s="118" t="s">
        <v>360</v>
      </c>
      <c r="D161" s="118"/>
      <c r="E161" s="118"/>
      <c r="F161" s="117"/>
      <c r="G161" s="118" t="s">
        <v>969</v>
      </c>
      <c r="H161" s="118"/>
      <c r="I161" s="118" t="s">
        <v>55</v>
      </c>
      <c r="J161" s="118" t="s">
        <v>481</v>
      </c>
      <c r="K161" s="117">
        <v>0</v>
      </c>
      <c r="L161" s="118" t="s">
        <v>98</v>
      </c>
      <c r="M161" s="119"/>
      <c r="N161" s="118" t="s">
        <v>99</v>
      </c>
      <c r="O161" s="118"/>
      <c r="P161" s="118"/>
      <c r="Q161" s="118"/>
      <c r="R161" s="119"/>
      <c r="S161" s="118"/>
      <c r="T161" s="118"/>
      <c r="U161" s="118"/>
      <c r="V161" s="118"/>
      <c r="W161" s="118"/>
      <c r="X161" s="118"/>
      <c r="Y161" s="118"/>
      <c r="Z161" s="118"/>
    </row>
    <row r="162" spans="1:26" s="131" customFormat="1">
      <c r="A162" s="116" t="str">
        <f t="shared" si="0"/>
        <v>bln696153</v>
      </c>
      <c r="B162" s="117">
        <f>COUNTA($B$1:B161)</f>
        <v>151</v>
      </c>
      <c r="C162" s="118" t="s">
        <v>362</v>
      </c>
      <c r="D162" s="118"/>
      <c r="E162" s="118"/>
      <c r="F162" s="117"/>
      <c r="G162" s="118" t="s">
        <v>969</v>
      </c>
      <c r="H162" s="118"/>
      <c r="I162" s="118" t="s">
        <v>55</v>
      </c>
      <c r="J162" s="118" t="s">
        <v>482</v>
      </c>
      <c r="K162" s="117">
        <v>0</v>
      </c>
      <c r="L162" s="118" t="s">
        <v>98</v>
      </c>
      <c r="M162" s="119"/>
      <c r="N162" s="118" t="s">
        <v>99</v>
      </c>
      <c r="O162" s="118"/>
      <c r="P162" s="118"/>
      <c r="Q162" s="118"/>
      <c r="R162" s="119"/>
      <c r="S162" s="118"/>
      <c r="T162" s="118"/>
      <c r="U162" s="118"/>
      <c r="V162" s="118"/>
      <c r="W162" s="118"/>
      <c r="X162" s="118"/>
      <c r="Y162" s="118"/>
      <c r="Z162" s="118"/>
    </row>
    <row r="163" spans="1:26" s="131" customFormat="1">
      <c r="A163" s="116" t="str">
        <f t="shared" si="0"/>
        <v>bln696153</v>
      </c>
      <c r="B163" s="117">
        <f>COUNTA($B$1:B162)</f>
        <v>152</v>
      </c>
      <c r="C163" s="118" t="s">
        <v>366</v>
      </c>
      <c r="D163" s="118"/>
      <c r="E163" s="118"/>
      <c r="F163" s="117"/>
      <c r="G163" s="118" t="s">
        <v>969</v>
      </c>
      <c r="H163" s="118"/>
      <c r="I163" s="118" t="s">
        <v>55</v>
      </c>
      <c r="J163" s="118" t="s">
        <v>367</v>
      </c>
      <c r="K163" s="117">
        <v>0</v>
      </c>
      <c r="L163" s="118" t="s">
        <v>98</v>
      </c>
      <c r="M163" s="119"/>
      <c r="N163" s="118" t="s">
        <v>99</v>
      </c>
      <c r="O163" s="118"/>
      <c r="P163" s="118"/>
      <c r="Q163" s="118"/>
      <c r="R163" s="135" t="str">
        <f>TEXT(M112,"0")</f>
        <v>Phone1</v>
      </c>
      <c r="S163" s="118"/>
      <c r="T163" s="118" t="s">
        <v>2</v>
      </c>
      <c r="U163" s="118"/>
      <c r="V163" s="118"/>
      <c r="W163" s="118"/>
      <c r="X163" s="118"/>
      <c r="Y163" s="118"/>
      <c r="Z163" s="118"/>
    </row>
    <row r="164" spans="1:26" s="131" customFormat="1">
      <c r="A164" s="116" t="str">
        <f t="shared" si="0"/>
        <v>bln696153</v>
      </c>
      <c r="B164" s="117">
        <f>COUNTA($B$1:B163)</f>
        <v>153</v>
      </c>
      <c r="C164" s="118" t="s">
        <v>592</v>
      </c>
      <c r="D164" s="118"/>
      <c r="E164" s="118"/>
      <c r="F164" s="117"/>
      <c r="G164" s="118" t="s">
        <v>969</v>
      </c>
      <c r="H164" s="118"/>
      <c r="I164" s="118" t="s">
        <v>55</v>
      </c>
      <c r="J164" s="118" t="s">
        <v>485</v>
      </c>
      <c r="K164" s="117">
        <v>0</v>
      </c>
      <c r="L164" s="118" t="s">
        <v>98</v>
      </c>
      <c r="M164" s="119"/>
      <c r="N164" s="118" t="s">
        <v>99</v>
      </c>
      <c r="O164" s="118"/>
      <c r="P164" s="118"/>
      <c r="Q164" s="118"/>
      <c r="R164" s="135" t="s">
        <v>873</v>
      </c>
      <c r="S164" s="118"/>
      <c r="T164" s="118" t="s">
        <v>2</v>
      </c>
      <c r="U164" s="118"/>
      <c r="V164" s="118"/>
      <c r="W164" s="118"/>
      <c r="X164" s="118"/>
      <c r="Y164" s="118"/>
      <c r="Z164" s="118"/>
    </row>
    <row r="165" spans="1:26" s="131" customFormat="1">
      <c r="A165" s="116" t="str">
        <f t="shared" si="0"/>
        <v>bln696153</v>
      </c>
      <c r="B165" s="117">
        <f>COUNTA($B$1:B164)</f>
        <v>154</v>
      </c>
      <c r="C165" s="118" t="s">
        <v>383</v>
      </c>
      <c r="D165" s="118"/>
      <c r="E165" s="118"/>
      <c r="F165" s="117"/>
      <c r="G165" s="118" t="s">
        <v>969</v>
      </c>
      <c r="H165" s="118"/>
      <c r="I165" s="118" t="s">
        <v>55</v>
      </c>
      <c r="J165" s="118" t="s">
        <v>985</v>
      </c>
      <c r="K165" s="117">
        <v>0</v>
      </c>
      <c r="L165" s="118" t="s">
        <v>98</v>
      </c>
      <c r="M165" s="119"/>
      <c r="N165" s="118" t="s">
        <v>99</v>
      </c>
      <c r="O165" s="118"/>
      <c r="P165" s="118"/>
      <c r="Q165" s="118"/>
      <c r="R165" s="119">
        <f>S124</f>
        <v>0</v>
      </c>
      <c r="S165" s="118"/>
      <c r="T165" s="118" t="s">
        <v>2</v>
      </c>
      <c r="U165" s="118"/>
      <c r="V165" s="118"/>
      <c r="W165" s="118"/>
      <c r="X165" s="118"/>
      <c r="Y165" s="118"/>
      <c r="Z165" s="118"/>
    </row>
    <row r="166" spans="1:26" s="131" customFormat="1">
      <c r="A166" s="116" t="str">
        <f t="shared" si="0"/>
        <v>bln696153</v>
      </c>
      <c r="B166" s="117">
        <f>COUNTA($B$1:B165)</f>
        <v>155</v>
      </c>
      <c r="C166" s="136" t="s">
        <v>67</v>
      </c>
      <c r="D166" s="137"/>
      <c r="E166" s="138" t="s">
        <v>154</v>
      </c>
      <c r="F166" s="139"/>
      <c r="G166" s="118" t="s">
        <v>969</v>
      </c>
      <c r="H166" s="136"/>
      <c r="I166" s="136"/>
      <c r="J166" s="136"/>
      <c r="K166" s="139"/>
      <c r="L166" s="136" t="s">
        <v>67</v>
      </c>
      <c r="M166" s="140">
        <v>4</v>
      </c>
      <c r="N166" s="118"/>
      <c r="O166" s="118"/>
      <c r="P166" s="118"/>
      <c r="Q166" s="118"/>
      <c r="R166" s="119"/>
      <c r="S166" s="128"/>
      <c r="T166" s="118"/>
      <c r="U166" s="118"/>
      <c r="V166" s="118"/>
      <c r="W166" s="118"/>
      <c r="X166" s="128"/>
      <c r="Y166" s="128"/>
      <c r="Z166" s="128"/>
    </row>
    <row r="167" spans="1:26" s="131" customFormat="1">
      <c r="A167" s="116" t="str">
        <f t="shared" si="0"/>
        <v>bln696153</v>
      </c>
      <c r="B167" s="117">
        <f>COUNTA($B$1:B166)</f>
        <v>156</v>
      </c>
      <c r="C167" s="136" t="s">
        <v>602</v>
      </c>
      <c r="D167" s="137"/>
      <c r="E167" s="138" t="s">
        <v>154</v>
      </c>
      <c r="F167" s="139"/>
      <c r="G167" s="118" t="s">
        <v>969</v>
      </c>
      <c r="H167" s="136"/>
      <c r="I167" s="118" t="s">
        <v>55</v>
      </c>
      <c r="J167" s="118" t="s">
        <v>603</v>
      </c>
      <c r="K167" s="117">
        <v>0</v>
      </c>
      <c r="L167" s="118" t="s">
        <v>147</v>
      </c>
      <c r="M167" s="140"/>
      <c r="N167" s="118"/>
      <c r="O167" s="118"/>
      <c r="P167" s="118"/>
      <c r="Q167" s="118"/>
      <c r="R167" s="119"/>
      <c r="S167" s="128"/>
      <c r="T167" s="118"/>
      <c r="U167" s="118"/>
      <c r="V167" s="118"/>
      <c r="W167" s="118"/>
      <c r="X167" s="128"/>
      <c r="Y167" s="128"/>
      <c r="Z167" s="128"/>
    </row>
    <row r="168" spans="1:26" s="131" customFormat="1">
      <c r="A168" s="116" t="str">
        <f t="shared" si="0"/>
        <v>bln696153</v>
      </c>
      <c r="B168" s="117">
        <f>COUNTA($B$1:B167)</f>
        <v>157</v>
      </c>
      <c r="C168" s="118" t="s">
        <v>67</v>
      </c>
      <c r="D168" s="118"/>
      <c r="E168" s="118"/>
      <c r="F168" s="117"/>
      <c r="G168" s="118" t="s">
        <v>969</v>
      </c>
      <c r="H168" s="118"/>
      <c r="I168" s="118"/>
      <c r="J168" s="118"/>
      <c r="K168" s="117"/>
      <c r="L168" s="118" t="s">
        <v>67</v>
      </c>
      <c r="M168" s="119">
        <v>5</v>
      </c>
      <c r="N168" s="118"/>
      <c r="O168" s="118"/>
      <c r="P168" s="118"/>
      <c r="Q168" s="118"/>
      <c r="R168" s="128"/>
      <c r="S168" s="118"/>
      <c r="T168" s="118"/>
      <c r="U168" s="118"/>
      <c r="V168" s="118"/>
      <c r="W168" s="118"/>
      <c r="X168" s="128"/>
      <c r="Y168" s="128"/>
      <c r="Z168" s="128"/>
    </row>
    <row r="169" spans="1:26" s="131" customFormat="1">
      <c r="A169" s="116" t="str">
        <f t="shared" si="0"/>
        <v>bln696153</v>
      </c>
      <c r="B169" s="117">
        <f>COUNTA($B$1:B168)</f>
        <v>158</v>
      </c>
      <c r="C169" s="130" t="s">
        <v>489</v>
      </c>
      <c r="D169" s="130"/>
      <c r="E169" s="130"/>
      <c r="F169" s="130"/>
      <c r="G169" s="118" t="s">
        <v>969</v>
      </c>
      <c r="H169" s="130"/>
      <c r="I169" s="130"/>
      <c r="J169" s="130"/>
      <c r="K169" s="125">
        <v>0</v>
      </c>
      <c r="L169" s="130" t="s">
        <v>388</v>
      </c>
      <c r="M169" s="130" t="s">
        <v>389</v>
      </c>
      <c r="N169" s="118"/>
      <c r="O169" s="118"/>
      <c r="P169" s="118"/>
      <c r="Q169" s="118"/>
      <c r="R169" s="128"/>
      <c r="S169" s="118"/>
      <c r="T169" s="118"/>
      <c r="U169" s="118"/>
      <c r="V169" s="118"/>
      <c r="W169" s="118"/>
      <c r="X169" s="128"/>
      <c r="Y169" s="128"/>
      <c r="Z169" s="128"/>
    </row>
    <row r="170" spans="1:26" s="131" customFormat="1">
      <c r="A170" s="116" t="str">
        <f t="shared" si="0"/>
        <v>bln696153</v>
      </c>
      <c r="B170" s="117">
        <f>COUNTA($B$1:B169)</f>
        <v>159</v>
      </c>
      <c r="C170" s="130" t="s">
        <v>490</v>
      </c>
      <c r="D170" s="130"/>
      <c r="E170" s="130"/>
      <c r="F170" s="130"/>
      <c r="G170" s="118" t="s">
        <v>969</v>
      </c>
      <c r="H170" s="130"/>
      <c r="I170" s="130"/>
      <c r="J170" s="130"/>
      <c r="K170" s="125"/>
      <c r="L170" s="118" t="s">
        <v>398</v>
      </c>
      <c r="M170" s="118" t="s">
        <v>491</v>
      </c>
      <c r="N170" s="118"/>
      <c r="O170" s="118"/>
      <c r="P170" s="118"/>
      <c r="Q170" s="118"/>
      <c r="R170" s="128"/>
      <c r="S170" s="118"/>
      <c r="T170" s="118"/>
      <c r="U170" s="118"/>
      <c r="V170" s="118"/>
      <c r="W170" s="118"/>
      <c r="X170" s="128"/>
      <c r="Y170" s="128"/>
      <c r="Z170" s="128"/>
    </row>
    <row r="171" spans="1:26" s="131" customFormat="1">
      <c r="A171" s="116" t="s">
        <v>21</v>
      </c>
      <c r="B171" s="117">
        <f>COUNTA($B$1:B170)</f>
        <v>160</v>
      </c>
      <c r="C171" s="118" t="s">
        <v>492</v>
      </c>
      <c r="D171" s="130"/>
      <c r="E171" s="130"/>
      <c r="F171" s="130"/>
      <c r="G171" s="118" t="s">
        <v>969</v>
      </c>
      <c r="H171" s="130"/>
      <c r="I171" s="130"/>
      <c r="J171" s="130"/>
      <c r="K171" s="125"/>
      <c r="L171" s="118" t="s">
        <v>393</v>
      </c>
      <c r="M171" s="130"/>
      <c r="N171" s="118"/>
      <c r="O171" s="118"/>
      <c r="P171" s="118"/>
      <c r="Q171" s="118"/>
      <c r="R171" s="128"/>
      <c r="S171" s="118"/>
      <c r="T171" s="118"/>
      <c r="U171" s="118"/>
      <c r="V171" s="118"/>
      <c r="W171" s="118"/>
      <c r="X171" s="128"/>
      <c r="Y171" s="128"/>
      <c r="Z171" s="128"/>
    </row>
    <row r="172" spans="1:26" s="131" customFormat="1">
      <c r="A172" s="116" t="str">
        <f t="shared" si="0"/>
        <v>N</v>
      </c>
      <c r="B172" s="117">
        <f>COUNTA($B$1:B171)</f>
        <v>161</v>
      </c>
      <c r="C172" s="130" t="s">
        <v>67</v>
      </c>
      <c r="D172" s="130"/>
      <c r="E172" s="130"/>
      <c r="F172" s="130"/>
      <c r="G172" s="118" t="s">
        <v>969</v>
      </c>
      <c r="H172" s="130"/>
      <c r="I172" s="130"/>
      <c r="J172" s="130"/>
      <c r="K172" s="125"/>
      <c r="L172" s="130" t="s">
        <v>67</v>
      </c>
      <c r="M172" s="130">
        <v>8</v>
      </c>
      <c r="N172" s="118"/>
      <c r="O172" s="118"/>
      <c r="P172" s="118"/>
      <c r="Q172" s="118"/>
      <c r="R172" s="128"/>
      <c r="S172" s="118"/>
      <c r="T172" s="118"/>
      <c r="U172" s="118"/>
      <c r="V172" s="118"/>
      <c r="W172" s="118"/>
      <c r="X172" s="128"/>
      <c r="Y172" s="128"/>
      <c r="Z172" s="128"/>
    </row>
    <row r="173" spans="1:26" s="131" customFormat="1">
      <c r="A173" s="116" t="str">
        <f t="shared" si="0"/>
        <v>N</v>
      </c>
      <c r="B173" s="117">
        <f>COUNTA($B$1:B172)</f>
        <v>162</v>
      </c>
      <c r="C173" s="130" t="s">
        <v>493</v>
      </c>
      <c r="D173" s="130"/>
      <c r="E173" s="130"/>
      <c r="F173" s="130"/>
      <c r="G173" s="118" t="s">
        <v>969</v>
      </c>
      <c r="H173" s="130"/>
      <c r="I173" s="130"/>
      <c r="J173" s="130"/>
      <c r="K173" s="125">
        <v>0</v>
      </c>
      <c r="L173" s="130" t="s">
        <v>395</v>
      </c>
      <c r="M173" s="130"/>
      <c r="N173" s="130"/>
      <c r="O173" s="130"/>
      <c r="P173" s="118"/>
      <c r="Q173" s="118"/>
      <c r="R173" s="128"/>
      <c r="S173" s="118"/>
      <c r="T173" s="118"/>
      <c r="U173" s="118"/>
      <c r="V173" s="118"/>
      <c r="W173" s="118"/>
      <c r="X173" s="128"/>
      <c r="Y173" s="128"/>
      <c r="Z173" s="128"/>
    </row>
    <row r="174" spans="1:26" s="131" customFormat="1">
      <c r="A174" s="116" t="str">
        <f t="shared" si="0"/>
        <v>N</v>
      </c>
      <c r="B174" s="117">
        <f>COUNTA($B$1:B173)</f>
        <v>163</v>
      </c>
      <c r="C174" s="130" t="s">
        <v>494</v>
      </c>
      <c r="D174" s="130"/>
      <c r="E174" s="130"/>
      <c r="F174" s="130"/>
      <c r="G174" s="118" t="s">
        <v>969</v>
      </c>
      <c r="H174" s="130"/>
      <c r="I174" s="130"/>
      <c r="J174" s="130"/>
      <c r="K174" s="125">
        <v>0</v>
      </c>
      <c r="L174" s="130" t="s">
        <v>95</v>
      </c>
      <c r="M174" s="130" t="s">
        <v>138</v>
      </c>
      <c r="N174" s="130"/>
      <c r="O174" s="130"/>
      <c r="P174" s="118"/>
      <c r="Q174" s="118"/>
      <c r="R174" s="128"/>
      <c r="S174" s="118"/>
      <c r="T174" s="118"/>
      <c r="U174" s="118"/>
      <c r="V174" s="118"/>
      <c r="W174" s="118"/>
      <c r="X174" s="128"/>
      <c r="Y174" s="128"/>
      <c r="Z174" s="128"/>
    </row>
    <row r="175" spans="1:26" s="131" customFormat="1">
      <c r="A175" s="116" t="str">
        <f t="shared" si="0"/>
        <v>N</v>
      </c>
      <c r="B175" s="117">
        <f>COUNTA($B$1:B174)</f>
        <v>164</v>
      </c>
      <c r="C175" s="130" t="s">
        <v>67</v>
      </c>
      <c r="D175" s="130"/>
      <c r="E175" s="130"/>
      <c r="F175" s="130"/>
      <c r="G175" s="118" t="s">
        <v>969</v>
      </c>
      <c r="H175" s="130"/>
      <c r="I175" s="130"/>
      <c r="J175" s="130"/>
      <c r="K175" s="125"/>
      <c r="L175" s="130" t="s">
        <v>67</v>
      </c>
      <c r="M175" s="130">
        <v>10</v>
      </c>
      <c r="N175" s="130"/>
      <c r="O175" s="118"/>
      <c r="P175" s="118"/>
      <c r="Q175" s="118"/>
      <c r="R175" s="119"/>
      <c r="S175" s="128"/>
      <c r="T175" s="118"/>
      <c r="U175" s="118"/>
      <c r="V175" s="118"/>
      <c r="W175" s="118"/>
      <c r="X175" s="128"/>
      <c r="Y175" s="128"/>
      <c r="Z175" s="128"/>
    </row>
    <row r="176" spans="1:26">
      <c r="A176" s="30" t="s">
        <v>411</v>
      </c>
      <c r="B176" s="31"/>
      <c r="C176" s="31"/>
      <c r="D176" s="32"/>
      <c r="E176" s="32"/>
      <c r="F176" s="31"/>
      <c r="G176" s="32"/>
      <c r="H176" s="32"/>
      <c r="I176" s="32"/>
      <c r="J176" s="32"/>
      <c r="K176" s="31"/>
      <c r="L176" s="32"/>
      <c r="M176" s="32"/>
      <c r="N176" s="32"/>
      <c r="O176" s="32"/>
      <c r="P176" s="32"/>
      <c r="Q176" s="32"/>
      <c r="R176" s="32"/>
      <c r="S176" s="32"/>
      <c r="T176" s="32"/>
      <c r="U176" s="32"/>
      <c r="V176" s="32"/>
      <c r="W176" s="32"/>
      <c r="X176" s="32"/>
      <c r="Y176" s="32"/>
      <c r="Z176" s="32"/>
    </row>
    <row r="177" spans="1:26" s="131" customFormat="1">
      <c r="A177" s="116" t="s">
        <v>970</v>
      </c>
      <c r="B177" s="117">
        <f>COUNTA($B$1:B176)</f>
        <v>165</v>
      </c>
      <c r="C177" s="118" t="s">
        <v>97</v>
      </c>
      <c r="D177" s="118"/>
      <c r="E177" s="118"/>
      <c r="F177" s="117"/>
      <c r="G177" s="118" t="s">
        <v>969</v>
      </c>
      <c r="H177" s="118"/>
      <c r="I177" s="118"/>
      <c r="J177" s="118"/>
      <c r="K177" s="117"/>
      <c r="L177" s="118" t="s">
        <v>97</v>
      </c>
      <c r="M177" s="119"/>
      <c r="N177" s="118"/>
      <c r="O177" s="118"/>
      <c r="P177" s="118"/>
      <c r="Q177" s="118"/>
      <c r="R177" s="118"/>
      <c r="S177" s="118"/>
      <c r="T177" s="118"/>
      <c r="U177" s="118"/>
      <c r="V177" s="118"/>
      <c r="W177" s="118"/>
      <c r="X177" s="118"/>
      <c r="Y177" s="118"/>
      <c r="Z177" s="118"/>
    </row>
  </sheetData>
  <pageMargins left="0.7" right="0.7" top="0.75" bottom="0.75" header="0.3" footer="0.3"/>
  <pageSetup orientation="portrait" r:id="rId1"/>
  <headerFooter>
    <oddFooter>&amp;L_x000D_&amp;1#&amp;"Aptos"&amp;10&amp;K000000 INTERNAL USE ONLY</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B8939-4789-491F-B4A6-294F2C8FEE5B}">
  <sheetPr>
    <tabColor theme="5"/>
  </sheetPr>
  <dimension ref="A1:IM3"/>
  <sheetViews>
    <sheetView showGridLines="0" zoomScale="92" zoomScaleNormal="92" workbookViewId="0">
      <pane xSplit="2" ySplit="1" topLeftCell="C2" activePane="bottomRight" state="frozen"/>
      <selection pane="topRight" activeCell="C1" sqref="C1"/>
      <selection pane="bottomLeft" activeCell="A2" sqref="A2"/>
      <selection pane="bottomRight" activeCell="H3" sqref="H3"/>
    </sheetView>
  </sheetViews>
  <sheetFormatPr defaultColWidth="9.140625" defaultRowHeight="12.75"/>
  <cols>
    <col min="1" max="1" width="23.42578125" style="15" bestFit="1" customWidth="1"/>
    <col min="2" max="2" width="12" style="15" bestFit="1" customWidth="1"/>
    <col min="3" max="3" width="11.140625" style="15" customWidth="1"/>
    <col min="4" max="4" width="8.140625" style="15" bestFit="1" customWidth="1"/>
    <col min="5" max="5" width="18.42578125" style="15" bestFit="1" customWidth="1"/>
    <col min="6" max="7" width="18.42578125" style="15" customWidth="1"/>
    <col min="8" max="8" width="36.85546875" style="15" bestFit="1" customWidth="1"/>
    <col min="9" max="10" width="13.85546875" style="15" bestFit="1" customWidth="1"/>
    <col min="11" max="11" width="41.42578125" style="15" bestFit="1" customWidth="1"/>
    <col min="12" max="12" width="19.140625" style="15" bestFit="1" customWidth="1"/>
    <col min="13" max="13" width="12.42578125" style="15" bestFit="1" customWidth="1"/>
    <col min="14" max="14" width="11.140625" style="15" bestFit="1" customWidth="1"/>
    <col min="15" max="15" width="14.5703125" style="15" bestFit="1" customWidth="1"/>
    <col min="16" max="16" width="14" style="15" bestFit="1" customWidth="1"/>
    <col min="17" max="17" width="13.42578125" style="15" bestFit="1" customWidth="1"/>
    <col min="18" max="18" width="9.7109375" style="15" bestFit="1" customWidth="1"/>
    <col min="19" max="19" width="12.28515625" style="15" bestFit="1" customWidth="1"/>
    <col min="20" max="20" width="9.7109375" style="15" bestFit="1" customWidth="1"/>
    <col min="21" max="21" width="9.5703125" style="15" customWidth="1"/>
    <col min="22" max="22" width="15.85546875" style="15" customWidth="1"/>
    <col min="23" max="24" width="11.7109375" style="15" customWidth="1"/>
    <col min="25" max="25" width="7.85546875" style="15" bestFit="1" customWidth="1"/>
    <col min="26" max="26" width="9.7109375" style="15" bestFit="1" customWidth="1"/>
    <col min="27" max="27" width="7.85546875" style="15" bestFit="1" customWidth="1"/>
    <col min="28" max="29" width="14.85546875" style="15" bestFit="1" customWidth="1"/>
    <col min="30" max="33" width="17.85546875" style="15" customWidth="1"/>
    <col min="34" max="35" width="17.85546875" style="15" bestFit="1" customWidth="1"/>
    <col min="36" max="53" width="17.85546875" style="15" customWidth="1"/>
    <col min="54" max="57" width="22.85546875" style="15" bestFit="1" customWidth="1"/>
    <col min="58" max="59" width="18.42578125" style="15" bestFit="1" customWidth="1"/>
    <col min="60" max="60" width="28.5703125" style="15" bestFit="1" customWidth="1"/>
    <col min="61" max="61" width="27.28515625" style="15" bestFit="1" customWidth="1"/>
    <col min="62" max="64" width="18.42578125" style="15" customWidth="1"/>
    <col min="65" max="65" width="18.42578125" style="15" bestFit="1" customWidth="1"/>
    <col min="66" max="66" width="16.140625" style="15" bestFit="1" customWidth="1"/>
    <col min="67" max="16384" width="9.140625" style="15"/>
  </cols>
  <sheetData>
    <row r="1" spans="1:247" s="146" customFormat="1" ht="14.1" customHeight="1">
      <c r="A1" s="141" t="s">
        <v>78</v>
      </c>
      <c r="B1" s="142" t="s">
        <v>5</v>
      </c>
      <c r="C1" s="143" t="s">
        <v>84</v>
      </c>
      <c r="D1" s="143" t="s">
        <v>76</v>
      </c>
      <c r="E1" s="142" t="s">
        <v>970</v>
      </c>
      <c r="F1" s="142" t="s">
        <v>134</v>
      </c>
      <c r="G1" s="142" t="s">
        <v>11</v>
      </c>
      <c r="H1" s="142" t="s">
        <v>57</v>
      </c>
      <c r="I1" s="142" t="s">
        <v>604</v>
      </c>
      <c r="J1" s="142" t="s">
        <v>329</v>
      </c>
      <c r="K1" s="142" t="s">
        <v>139</v>
      </c>
      <c r="L1" s="142" t="s">
        <v>605</v>
      </c>
      <c r="M1" s="142" t="s">
        <v>152</v>
      </c>
      <c r="N1" s="142" t="s">
        <v>606</v>
      </c>
      <c r="O1" s="142" t="s">
        <v>274</v>
      </c>
      <c r="P1" s="142" t="s">
        <v>607</v>
      </c>
      <c r="Q1" s="142" t="s">
        <v>608</v>
      </c>
      <c r="R1" s="142" t="s">
        <v>609</v>
      </c>
      <c r="S1" s="142" t="s">
        <v>610</v>
      </c>
      <c r="T1" s="142" t="s">
        <v>611</v>
      </c>
      <c r="U1" s="142" t="s">
        <v>612</v>
      </c>
      <c r="V1" s="142" t="s">
        <v>613</v>
      </c>
      <c r="W1" s="142" t="s">
        <v>614</v>
      </c>
      <c r="X1" s="142" t="s">
        <v>615</v>
      </c>
      <c r="Y1" s="142" t="s">
        <v>616</v>
      </c>
      <c r="Z1" s="142" t="s">
        <v>617</v>
      </c>
      <c r="AA1" s="142" t="s">
        <v>618</v>
      </c>
      <c r="AB1" s="142" t="s">
        <v>619</v>
      </c>
      <c r="AC1" s="142" t="s">
        <v>620</v>
      </c>
      <c r="AD1" s="142" t="s">
        <v>621</v>
      </c>
      <c r="AE1" s="142" t="s">
        <v>622</v>
      </c>
      <c r="AF1" s="142" t="s">
        <v>623</v>
      </c>
      <c r="AG1" s="142" t="s">
        <v>624</v>
      </c>
      <c r="AH1" s="142" t="s">
        <v>625</v>
      </c>
      <c r="AI1" s="142" t="s">
        <v>626</v>
      </c>
      <c r="AJ1" s="142" t="s">
        <v>627</v>
      </c>
      <c r="AK1" s="142" t="s">
        <v>628</v>
      </c>
      <c r="AL1" s="142" t="s">
        <v>629</v>
      </c>
      <c r="AM1" s="142" t="s">
        <v>630</v>
      </c>
      <c r="AN1" s="142" t="s">
        <v>631</v>
      </c>
      <c r="AO1" s="142" t="s">
        <v>632</v>
      </c>
      <c r="AP1" s="142" t="s">
        <v>633</v>
      </c>
      <c r="AQ1" s="142" t="s">
        <v>634</v>
      </c>
      <c r="AR1" s="142" t="s">
        <v>635</v>
      </c>
      <c r="AS1" s="142" t="s">
        <v>636</v>
      </c>
      <c r="AT1" s="142" t="s">
        <v>637</v>
      </c>
      <c r="AU1" s="142" t="s">
        <v>638</v>
      </c>
      <c r="AV1" s="142" t="s">
        <v>155</v>
      </c>
      <c r="AW1" s="142" t="s">
        <v>440</v>
      </c>
      <c r="AX1" s="142" t="s">
        <v>275</v>
      </c>
      <c r="AY1" s="142" t="s">
        <v>157</v>
      </c>
      <c r="AZ1" s="142" t="s">
        <v>441</v>
      </c>
      <c r="BA1" s="142" t="s">
        <v>276</v>
      </c>
      <c r="BB1" s="142" t="s">
        <v>160</v>
      </c>
      <c r="BC1" s="142" t="s">
        <v>639</v>
      </c>
      <c r="BD1" s="142" t="s">
        <v>640</v>
      </c>
      <c r="BE1" s="142" t="s">
        <v>641</v>
      </c>
      <c r="BF1" s="142" t="s">
        <v>642</v>
      </c>
      <c r="BG1" s="142" t="s">
        <v>643</v>
      </c>
      <c r="BH1" s="142" t="s">
        <v>644</v>
      </c>
      <c r="BI1" s="142" t="s">
        <v>164</v>
      </c>
      <c r="BJ1" s="142" t="s">
        <v>278</v>
      </c>
      <c r="BK1" s="142" t="s">
        <v>645</v>
      </c>
      <c r="BL1" s="142" t="s">
        <v>646</v>
      </c>
      <c r="BM1" s="142" t="s">
        <v>647</v>
      </c>
      <c r="BN1" s="142" t="s">
        <v>648</v>
      </c>
      <c r="BO1" s="142" t="s">
        <v>649</v>
      </c>
      <c r="BP1" s="142" t="s">
        <v>650</v>
      </c>
      <c r="BQ1" s="142" t="s">
        <v>651</v>
      </c>
      <c r="BR1" s="142" t="s">
        <v>652</v>
      </c>
      <c r="BS1" s="142" t="s">
        <v>653</v>
      </c>
      <c r="BT1" s="142" t="s">
        <v>654</v>
      </c>
      <c r="BU1" s="142" t="s">
        <v>655</v>
      </c>
      <c r="BV1" s="142" t="s">
        <v>656</v>
      </c>
      <c r="BW1" s="142" t="s">
        <v>657</v>
      </c>
      <c r="BX1" s="142" t="s">
        <v>658</v>
      </c>
      <c r="BY1" s="142" t="s">
        <v>659</v>
      </c>
      <c r="BZ1" s="142" t="s">
        <v>660</v>
      </c>
      <c r="CA1" s="142" t="s">
        <v>661</v>
      </c>
      <c r="CB1" s="142" t="s">
        <v>662</v>
      </c>
      <c r="CC1" s="142" t="s">
        <v>663</v>
      </c>
      <c r="CD1" s="142" t="s">
        <v>664</v>
      </c>
      <c r="CE1" s="142" t="s">
        <v>665</v>
      </c>
      <c r="CF1" s="142" t="s">
        <v>666</v>
      </c>
      <c r="CG1" s="142" t="s">
        <v>667</v>
      </c>
      <c r="CH1" s="142" t="s">
        <v>668</v>
      </c>
      <c r="CI1" s="142" t="s">
        <v>669</v>
      </c>
      <c r="CJ1" s="142" t="s">
        <v>670</v>
      </c>
      <c r="CK1" s="142" t="s">
        <v>671</v>
      </c>
      <c r="CL1" s="142" t="s">
        <v>672</v>
      </c>
      <c r="CM1" s="142" t="s">
        <v>673</v>
      </c>
      <c r="CN1" s="142" t="s">
        <v>674</v>
      </c>
      <c r="CO1" s="142" t="s">
        <v>675</v>
      </c>
      <c r="CP1" s="142" t="s">
        <v>676</v>
      </c>
      <c r="CQ1" s="142" t="s">
        <v>677</v>
      </c>
      <c r="CR1" s="142" t="s">
        <v>678</v>
      </c>
      <c r="CS1" s="142" t="s">
        <v>679</v>
      </c>
      <c r="CT1" s="142" t="s">
        <v>680</v>
      </c>
      <c r="CU1" s="142" t="s">
        <v>681</v>
      </c>
      <c r="CV1" s="142" t="s">
        <v>682</v>
      </c>
      <c r="CW1" s="142" t="s">
        <v>683</v>
      </c>
      <c r="CX1" s="142" t="s">
        <v>684</v>
      </c>
      <c r="CY1" s="142" t="s">
        <v>685</v>
      </c>
      <c r="CZ1" s="142" t="s">
        <v>686</v>
      </c>
      <c r="DA1" s="142" t="s">
        <v>687</v>
      </c>
      <c r="DB1" s="142" t="s">
        <v>688</v>
      </c>
      <c r="DC1" s="142" t="s">
        <v>689</v>
      </c>
      <c r="DD1" s="142" t="s">
        <v>690</v>
      </c>
      <c r="DE1" s="142" t="s">
        <v>691</v>
      </c>
      <c r="DF1" s="142" t="s">
        <v>692</v>
      </c>
      <c r="DG1" s="142" t="s">
        <v>693</v>
      </c>
      <c r="DH1" s="142" t="s">
        <v>694</v>
      </c>
      <c r="DI1" s="142" t="s">
        <v>695</v>
      </c>
      <c r="DJ1" s="142" t="s">
        <v>696</v>
      </c>
      <c r="DK1" s="142" t="s">
        <v>167</v>
      </c>
      <c r="DL1" s="142" t="s">
        <v>170</v>
      </c>
      <c r="DM1" s="142" t="s">
        <v>697</v>
      </c>
      <c r="DN1" s="142" t="s">
        <v>174</v>
      </c>
      <c r="DO1" s="142" t="s">
        <v>177</v>
      </c>
      <c r="DP1" s="142" t="s">
        <v>288</v>
      </c>
      <c r="DQ1" s="142" t="s">
        <v>291</v>
      </c>
      <c r="DR1" s="142" t="s">
        <v>698</v>
      </c>
      <c r="DS1" s="142" t="s">
        <v>180</v>
      </c>
      <c r="DT1" s="142" t="s">
        <v>183</v>
      </c>
      <c r="DU1" s="142" t="s">
        <v>245</v>
      </c>
      <c r="DV1" s="142" t="s">
        <v>248</v>
      </c>
      <c r="DW1" s="142" t="s">
        <v>251</v>
      </c>
      <c r="DX1" s="142" t="s">
        <v>186</v>
      </c>
      <c r="DY1" s="142" t="s">
        <v>189</v>
      </c>
      <c r="DZ1" s="142" t="s">
        <v>254</v>
      </c>
      <c r="EA1" s="142" t="s">
        <v>257</v>
      </c>
      <c r="EB1" s="142" t="s">
        <v>260</v>
      </c>
      <c r="EC1" s="142" t="s">
        <v>699</v>
      </c>
      <c r="ED1" s="142" t="s">
        <v>700</v>
      </c>
      <c r="EE1" s="142" t="s">
        <v>701</v>
      </c>
      <c r="EF1" s="142" t="s">
        <v>702</v>
      </c>
      <c r="EG1" s="142" t="s">
        <v>703</v>
      </c>
      <c r="EH1" s="142" t="s">
        <v>704</v>
      </c>
      <c r="EI1" s="142" t="s">
        <v>705</v>
      </c>
      <c r="EJ1" s="142" t="s">
        <v>706</v>
      </c>
      <c r="EK1" s="142" t="s">
        <v>707</v>
      </c>
      <c r="EL1" s="142" t="s">
        <v>708</v>
      </c>
      <c r="EM1" s="142" t="s">
        <v>709</v>
      </c>
      <c r="EN1" s="142" t="s">
        <v>710</v>
      </c>
      <c r="EO1" s="142" t="s">
        <v>711</v>
      </c>
      <c r="EP1" s="142" t="s">
        <v>712</v>
      </c>
      <c r="EQ1" s="142" t="s">
        <v>713</v>
      </c>
      <c r="ER1" s="142" t="s">
        <v>714</v>
      </c>
      <c r="ES1" s="142" t="s">
        <v>715</v>
      </c>
      <c r="ET1" s="142" t="s">
        <v>716</v>
      </c>
      <c r="EU1" s="142" t="s">
        <v>717</v>
      </c>
      <c r="EV1" s="142" t="s">
        <v>718</v>
      </c>
      <c r="EW1" s="142" t="s">
        <v>719</v>
      </c>
      <c r="EX1" s="142" t="s">
        <v>720</v>
      </c>
      <c r="EY1" s="142" t="s">
        <v>721</v>
      </c>
      <c r="EZ1" s="142" t="s">
        <v>722</v>
      </c>
      <c r="FA1" s="142" t="s">
        <v>723</v>
      </c>
      <c r="FB1" s="142" t="s">
        <v>724</v>
      </c>
      <c r="FC1" s="142" t="s">
        <v>725</v>
      </c>
      <c r="FD1" s="142" t="s">
        <v>726</v>
      </c>
      <c r="FE1" s="142" t="s">
        <v>727</v>
      </c>
      <c r="FF1" s="142" t="s">
        <v>728</v>
      </c>
      <c r="FG1" s="142" t="s">
        <v>203</v>
      </c>
      <c r="FH1" s="142" t="s">
        <v>206</v>
      </c>
      <c r="FI1" s="142" t="s">
        <v>211</v>
      </c>
      <c r="FJ1" s="142" t="s">
        <v>212</v>
      </c>
      <c r="FK1" s="142" t="s">
        <v>214</v>
      </c>
      <c r="FL1" s="142" t="s">
        <v>215</v>
      </c>
      <c r="FM1" s="142" t="s">
        <v>527</v>
      </c>
      <c r="FN1" s="142" t="s">
        <v>528</v>
      </c>
      <c r="FO1" s="142" t="s">
        <v>529</v>
      </c>
      <c r="FP1" s="142" t="s">
        <v>530</v>
      </c>
      <c r="FQ1" s="142" t="s">
        <v>222</v>
      </c>
      <c r="FR1" s="142" t="s">
        <v>223</v>
      </c>
      <c r="FS1" s="142" t="s">
        <v>225</v>
      </c>
      <c r="FT1" s="142" t="s">
        <v>729</v>
      </c>
      <c r="FU1" s="142" t="s">
        <v>294</v>
      </c>
      <c r="FV1" s="142" t="s">
        <v>230</v>
      </c>
      <c r="FW1" s="142" t="s">
        <v>104</v>
      </c>
      <c r="FX1" s="142" t="s">
        <v>234</v>
      </c>
      <c r="FY1" s="142" t="s">
        <v>818</v>
      </c>
      <c r="FZ1" s="142" t="s">
        <v>816</v>
      </c>
      <c r="GA1" s="142" t="s">
        <v>281</v>
      </c>
      <c r="GB1" s="142" t="s">
        <v>237</v>
      </c>
      <c r="GC1" s="142" t="s">
        <v>282</v>
      </c>
      <c r="GD1" s="142" t="s">
        <v>239</v>
      </c>
      <c r="GE1" s="142" t="s">
        <v>283</v>
      </c>
      <c r="GF1" s="142" t="s">
        <v>242</v>
      </c>
      <c r="GG1" s="142" t="s">
        <v>525</v>
      </c>
      <c r="GH1" s="142" t="s">
        <v>261</v>
      </c>
      <c r="GI1" s="142" t="s">
        <v>264</v>
      </c>
      <c r="GJ1" s="142" t="s">
        <v>730</v>
      </c>
      <c r="GK1" s="142" t="s">
        <v>266</v>
      </c>
      <c r="GL1" s="142" t="s">
        <v>268</v>
      </c>
      <c r="GM1" s="144" t="s">
        <v>731</v>
      </c>
      <c r="GN1" s="144" t="s">
        <v>732</v>
      </c>
      <c r="GO1" s="144" t="s">
        <v>733</v>
      </c>
      <c r="GP1" s="144" t="s">
        <v>734</v>
      </c>
      <c r="GQ1" s="144" t="s">
        <v>605</v>
      </c>
      <c r="GR1" s="144" t="s">
        <v>735</v>
      </c>
      <c r="GS1" s="144" t="s">
        <v>736</v>
      </c>
      <c r="GT1" s="144" t="s">
        <v>737</v>
      </c>
      <c r="GU1" s="144" t="s">
        <v>738</v>
      </c>
      <c r="GV1" s="144" t="s">
        <v>736</v>
      </c>
      <c r="GW1" s="144" t="s">
        <v>739</v>
      </c>
      <c r="GX1" s="144" t="s">
        <v>740</v>
      </c>
      <c r="GY1" s="144" t="s">
        <v>736</v>
      </c>
      <c r="GZ1" s="144" t="s">
        <v>741</v>
      </c>
      <c r="HA1" s="144" t="s">
        <v>742</v>
      </c>
      <c r="HB1" s="144" t="s">
        <v>743</v>
      </c>
      <c r="HC1" s="144" t="s">
        <v>744</v>
      </c>
      <c r="HD1" s="144" t="s">
        <v>745</v>
      </c>
      <c r="HE1" s="144" t="s">
        <v>743</v>
      </c>
      <c r="HF1" s="144" t="s">
        <v>746</v>
      </c>
      <c r="HG1" s="144" t="s">
        <v>747</v>
      </c>
      <c r="HH1" s="144" t="s">
        <v>743</v>
      </c>
      <c r="HI1" s="144" t="s">
        <v>748</v>
      </c>
      <c r="HJ1" s="144" t="s">
        <v>749</v>
      </c>
      <c r="HK1" s="144" t="s">
        <v>743</v>
      </c>
      <c r="HL1" s="144" t="s">
        <v>750</v>
      </c>
      <c r="HM1" s="144" t="s">
        <v>751</v>
      </c>
      <c r="HN1" s="144" t="s">
        <v>752</v>
      </c>
      <c r="HO1" s="144" t="s">
        <v>753</v>
      </c>
      <c r="HP1" s="144" t="s">
        <v>754</v>
      </c>
      <c r="HQ1" s="144" t="s">
        <v>755</v>
      </c>
      <c r="HR1" s="144" t="s">
        <v>756</v>
      </c>
      <c r="HS1" s="144" t="s">
        <v>757</v>
      </c>
      <c r="HT1" s="144" t="s">
        <v>758</v>
      </c>
      <c r="HU1" s="144" t="s">
        <v>759</v>
      </c>
      <c r="HV1" s="144" t="s">
        <v>760</v>
      </c>
      <c r="HW1" s="144" t="s">
        <v>761</v>
      </c>
      <c r="HX1" s="144" t="s">
        <v>762</v>
      </c>
      <c r="HY1" s="144" t="s">
        <v>763</v>
      </c>
      <c r="HZ1" s="144" t="s">
        <v>764</v>
      </c>
      <c r="IA1" s="144" t="s">
        <v>765</v>
      </c>
      <c r="IB1" s="144" t="s">
        <v>766</v>
      </c>
      <c r="IC1" s="144" t="s">
        <v>767</v>
      </c>
      <c r="ID1" s="144" t="s">
        <v>768</v>
      </c>
      <c r="IE1" s="144" t="s">
        <v>769</v>
      </c>
      <c r="IF1" s="144" t="s">
        <v>770</v>
      </c>
      <c r="IG1" s="144" t="s">
        <v>771</v>
      </c>
      <c r="IH1" s="144" t="s">
        <v>772</v>
      </c>
      <c r="II1" s="144" t="s">
        <v>773</v>
      </c>
      <c r="IJ1" s="145" t="s">
        <v>774</v>
      </c>
      <c r="IK1" s="145" t="s">
        <v>775</v>
      </c>
      <c r="IL1" s="145" t="s">
        <v>776</v>
      </c>
      <c r="IM1" s="145" t="s">
        <v>777</v>
      </c>
    </row>
    <row r="2" spans="1:247" s="160" customFormat="1" ht="12.75" customHeight="1">
      <c r="A2" s="142" t="s">
        <v>970</v>
      </c>
      <c r="B2" s="142" t="s">
        <v>2</v>
      </c>
      <c r="C2" s="142" t="s">
        <v>2</v>
      </c>
      <c r="D2" s="142" t="s">
        <v>2</v>
      </c>
      <c r="E2" s="147" t="s">
        <v>2</v>
      </c>
      <c r="F2" s="147" t="s">
        <v>778</v>
      </c>
      <c r="G2" s="148" t="s">
        <v>972</v>
      </c>
      <c r="H2" s="251" t="str" cm="1">
        <f t="array" ref="H2">_xlfn.IFS(Global!B2="QA","https://wm.qa.travelexinsurance.net/",Global!B2="UAT","https://wm.uat.travelexinsurance.net/",Global!B2="PROD","https://wm.travelexinsurance.com")</f>
        <v>https://wm.uat.travelexinsurance.net/</v>
      </c>
      <c r="I2" s="149">
        <f t="shared" ref="I2" ca="1" si="0">TODAY()</f>
        <v>46266</v>
      </c>
      <c r="J2" s="149"/>
      <c r="K2" s="150"/>
      <c r="L2" s="150" t="s">
        <v>873</v>
      </c>
      <c r="M2" s="150" t="s">
        <v>975</v>
      </c>
      <c r="N2" s="150"/>
      <c r="O2" s="150" t="s">
        <v>976</v>
      </c>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c r="AP2" s="150"/>
      <c r="AQ2" s="150"/>
      <c r="AR2" s="150"/>
      <c r="AS2" s="150"/>
      <c r="AT2" s="150"/>
      <c r="AU2" s="150"/>
      <c r="AV2" s="151" t="str">
        <f t="shared" ref="AV2" ca="1" si="1">TEXT(I2+1,"mm/dd/yyyy")</f>
        <v>09/02/2026</v>
      </c>
      <c r="AW2" s="152" t="str">
        <f t="shared" ref="AW2" ca="1" si="2">TEXT(I2+7,"mm/dd/yyyy")</f>
        <v>09/08/2026</v>
      </c>
      <c r="AX2" s="153" t="str">
        <f t="shared" ref="AX2" ca="1" si="3">TEXT(I2+7,"mm/dd/yyyy")</f>
        <v>09/08/2026</v>
      </c>
      <c r="AY2" s="154" t="str">
        <f t="shared" ref="AY2" ca="1" si="4">TEXT(AV2+89,"mm/dd/yyyy")</f>
        <v>11/30/2026</v>
      </c>
      <c r="AZ2" s="152" t="str">
        <f t="shared" ref="AZ2" ca="1" si="5">TEXT(AW2+14,"mm/dd/yyyy")</f>
        <v>09/22/2026</v>
      </c>
      <c r="BA2" s="153" t="str">
        <f t="shared" ref="BA2" ca="1" si="6">TEXT(AV2+14,"mm/dd/yyyy")</f>
        <v>09/16/2026</v>
      </c>
      <c r="BB2" s="155" t="str">
        <f t="shared" ref="BB2" ca="1" si="7">TEXT(I2-1,"mm/dd/yyyy")</f>
        <v>08/31/2026</v>
      </c>
      <c r="BC2" s="155"/>
      <c r="BD2" s="155"/>
      <c r="BE2" s="155"/>
      <c r="BF2" s="155"/>
      <c r="BG2" s="155"/>
      <c r="BH2" s="155"/>
      <c r="BI2" s="156" t="s">
        <v>783</v>
      </c>
      <c r="BJ2" s="147" t="s">
        <v>979</v>
      </c>
      <c r="BK2" s="147" t="s">
        <v>785</v>
      </c>
      <c r="BL2" s="156"/>
      <c r="BM2" s="147"/>
      <c r="BN2" s="147"/>
      <c r="BO2" s="156"/>
      <c r="BP2" s="147"/>
      <c r="BQ2" s="147"/>
      <c r="BR2" s="156"/>
      <c r="BS2" s="147"/>
      <c r="BT2" s="147"/>
      <c r="BU2" s="156"/>
      <c r="BV2" s="147"/>
      <c r="BW2" s="147"/>
      <c r="BX2" s="156"/>
      <c r="BY2" s="147"/>
      <c r="BZ2" s="147"/>
      <c r="CA2" s="156"/>
      <c r="CB2" s="147"/>
      <c r="CC2" s="147"/>
      <c r="CD2" s="156"/>
      <c r="CE2" s="147"/>
      <c r="CF2" s="147"/>
      <c r="CG2" s="156"/>
      <c r="CH2" s="147"/>
      <c r="CI2" s="147"/>
      <c r="CJ2" s="156"/>
      <c r="CK2" s="147"/>
      <c r="CL2" s="147"/>
      <c r="CM2" s="156"/>
      <c r="CN2" s="147"/>
      <c r="CO2" s="147"/>
      <c r="CP2" s="156"/>
      <c r="CQ2" s="147"/>
      <c r="CR2" s="147"/>
      <c r="CS2" s="156"/>
      <c r="CT2" s="147"/>
      <c r="CU2" s="147"/>
      <c r="CV2" s="156"/>
      <c r="CW2" s="147"/>
      <c r="CX2" s="147"/>
      <c r="CY2" s="156"/>
      <c r="CZ2" s="147"/>
      <c r="DA2" s="147"/>
      <c r="DB2" s="156"/>
      <c r="DC2" s="147"/>
      <c r="DD2" s="147"/>
      <c r="DE2" s="156"/>
      <c r="DF2" s="147"/>
      <c r="DG2" s="147"/>
      <c r="DH2" s="156"/>
      <c r="DI2" s="147"/>
      <c r="DJ2" s="147"/>
      <c r="DK2" s="156" t="s">
        <v>786</v>
      </c>
      <c r="DL2" s="156" t="s">
        <v>787</v>
      </c>
      <c r="DM2" s="157" t="s">
        <v>88</v>
      </c>
      <c r="DN2" s="156" t="s">
        <v>86</v>
      </c>
      <c r="DO2" s="156" t="s">
        <v>788</v>
      </c>
      <c r="DP2" s="156" t="str">
        <f t="shared" ref="DP2" ca="1" si="8">"QAFIRSTNAME"&amp;CHAR(RANDBETWEEN(65,90))&amp;CHAR(RANDBETWEEN(65,90))</f>
        <v>QAFIRSTNAMEDE</v>
      </c>
      <c r="DQ2" s="156" t="str">
        <f t="shared" ref="DQ2" ca="1" si="9">"QALASTNAME"&amp;CHAR(RANDBETWEEN(65,90))&amp;CHAR(RANDBETWEEN(65,90))</f>
        <v>QALASTNAMELH</v>
      </c>
      <c r="DR2" s="156" t="str">
        <f ca="1">TEXT(DATE(YEAR(TODAY())-DN2,MONTH(TODAY()),DAY(TODAY())),"MM/DD/YYYY")</f>
        <v>09/01/2008</v>
      </c>
      <c r="DS2" s="156"/>
      <c r="DT2" s="156"/>
      <c r="DU2" s="156"/>
      <c r="DV2" s="156"/>
      <c r="DW2" s="156"/>
      <c r="DX2" s="156"/>
      <c r="DY2" s="156"/>
      <c r="DZ2" s="156"/>
      <c r="EA2" s="156"/>
      <c r="EB2" s="156"/>
      <c r="EC2" s="156"/>
      <c r="ED2" s="156"/>
      <c r="EE2" s="156"/>
      <c r="EF2" s="156"/>
      <c r="EG2" s="156"/>
      <c r="EH2" s="156"/>
      <c r="EI2" s="156"/>
      <c r="EJ2" s="156"/>
      <c r="EK2" s="156"/>
      <c r="EL2" s="156"/>
      <c r="EM2" s="156"/>
      <c r="EN2" s="156"/>
      <c r="EO2" s="156"/>
      <c r="EP2" s="156"/>
      <c r="EQ2" s="156"/>
      <c r="ER2" s="156"/>
      <c r="ES2" s="156"/>
      <c r="ET2" s="156"/>
      <c r="EU2" s="156"/>
      <c r="EV2" s="156"/>
      <c r="EW2" s="156"/>
      <c r="EX2" s="156"/>
      <c r="EY2" s="156"/>
      <c r="EZ2" s="156"/>
      <c r="FA2" s="156"/>
      <c r="FB2" s="156"/>
      <c r="FC2" s="156"/>
      <c r="FD2" s="156"/>
      <c r="FE2" s="156"/>
      <c r="FF2" s="156"/>
      <c r="FG2" s="147" t="str">
        <f t="shared" ref="FG2" ca="1" si="10">TEXT(AV2,"mm/dd/yyyy")</f>
        <v>09/02/2026</v>
      </c>
      <c r="FH2" s="147" t="str">
        <f t="shared" ref="FH2" ca="1" si="11">TEXT(AV2+1,"mm/dd/yyyy")</f>
        <v>09/03/2026</v>
      </c>
      <c r="FI2" s="147" t="str">
        <f t="shared" ref="FI2:FL2" ca="1" si="12">TEXT(FH2+1,"mm/dd/yyyy")</f>
        <v>09/04/2026</v>
      </c>
      <c r="FJ2" s="147" t="str">
        <f t="shared" ca="1" si="12"/>
        <v>09/05/2026</v>
      </c>
      <c r="FK2" s="147" t="str">
        <f t="shared" ca="1" si="12"/>
        <v>09/06/2026</v>
      </c>
      <c r="FL2" s="147" t="str">
        <f t="shared" ca="1" si="12"/>
        <v>09/07/2026</v>
      </c>
      <c r="FM2" s="147" t="str">
        <f t="shared" ref="FM2" ca="1" si="13">TEXT(FL2+7,"mm/dd/yyyy")</f>
        <v>09/14/2026</v>
      </c>
      <c r="FN2" s="147" t="str">
        <f t="shared" ref="FN2:FP2" ca="1" si="14">TEXT(FM2+1,"mm/dd/yyyy")</f>
        <v>09/15/2026</v>
      </c>
      <c r="FO2" s="147" t="str">
        <f t="shared" ca="1" si="14"/>
        <v>09/16/2026</v>
      </c>
      <c r="FP2" s="147" t="str">
        <f t="shared" ca="1" si="14"/>
        <v>09/17/2026</v>
      </c>
      <c r="FQ2" s="156" t="str">
        <f t="shared" ref="FQ2" ca="1" si="15">"QAFIRSTNAME"&amp;CHAR(RANDBETWEEN(65,90))&amp;CHAR(RANDBETWEEN(65,90))</f>
        <v>QAFIRSTNAMEHI</v>
      </c>
      <c r="FR2" s="147" t="str">
        <f t="shared" ref="FR2" ca="1" si="16">"QALASTNAME"&amp;CHAR(RANDBETWEEN(65,90))&amp;CHAR(RANDBETWEEN(65,90))</f>
        <v>QALASTNAMEDN</v>
      </c>
      <c r="FS2" s="147" t="str">
        <f t="shared" ref="FS2" ca="1" si="17">TEXT(DATE(YEAR(TODAY())-DK2,MONTH(TODAY()),DAY(TODAY())),"MM/DD/YYYY")</f>
        <v>09/01/1916</v>
      </c>
      <c r="FT2" s="147"/>
      <c r="FU2" s="147" t="str">
        <f t="shared" ref="FU2" ca="1" si="18">TEXT(DATE(YEAR(TODAY())-DN2,MONTH(TODAY()),DAY(TODAY())),"MM/DD/YYYY")</f>
        <v>09/01/2008</v>
      </c>
      <c r="FV2" s="156" t="s">
        <v>791</v>
      </c>
      <c r="FW2" s="156" t="s">
        <v>813</v>
      </c>
      <c r="FX2" s="156" t="s">
        <v>812</v>
      </c>
      <c r="FY2" s="156" t="s">
        <v>819</v>
      </c>
      <c r="FZ2" s="156" t="s">
        <v>978</v>
      </c>
      <c r="GA2" s="156" t="s">
        <v>977</v>
      </c>
      <c r="GB2" s="156" t="s">
        <v>483</v>
      </c>
      <c r="GC2" s="156" t="s">
        <v>793</v>
      </c>
      <c r="GD2" s="158" t="s">
        <v>794</v>
      </c>
      <c r="GE2" s="158" t="s">
        <v>101</v>
      </c>
      <c r="GF2" s="156" t="s">
        <v>795</v>
      </c>
      <c r="GG2" s="156" t="s">
        <v>795</v>
      </c>
      <c r="GH2" s="147" t="s">
        <v>796</v>
      </c>
      <c r="GI2" s="156" t="s">
        <v>797</v>
      </c>
      <c r="GJ2" s="156"/>
      <c r="GK2" s="156" t="s">
        <v>106</v>
      </c>
      <c r="GL2" s="156" t="s">
        <v>798</v>
      </c>
      <c r="GM2" s="159"/>
      <c r="GN2" s="161" t="str">
        <f>IF(DL2=GM2,"PASSED","FAILED")</f>
        <v>FAILED</v>
      </c>
      <c r="GO2" s="159"/>
      <c r="GP2" s="159"/>
      <c r="GQ2" s="159"/>
      <c r="GR2" s="159"/>
      <c r="GS2" s="159"/>
      <c r="GT2" s="159"/>
      <c r="GU2" s="159"/>
      <c r="GV2" s="159"/>
      <c r="GW2" s="159"/>
      <c r="GX2" s="159"/>
      <c r="GY2" s="159"/>
      <c r="GZ2" s="159"/>
      <c r="HA2" s="159"/>
      <c r="HB2" s="159"/>
      <c r="HC2" s="159"/>
      <c r="HD2" s="159"/>
      <c r="HE2" s="159"/>
      <c r="HF2" s="159"/>
      <c r="HG2" s="159"/>
      <c r="HH2" s="159"/>
      <c r="HI2" s="159"/>
      <c r="HJ2" s="159"/>
      <c r="HK2" s="159"/>
      <c r="HL2" s="162"/>
      <c r="HM2" s="159"/>
      <c r="HN2" s="159"/>
      <c r="HO2" s="159"/>
      <c r="HP2" s="159"/>
      <c r="HQ2" s="159"/>
      <c r="HR2" s="159"/>
      <c r="HS2" s="159"/>
      <c r="HT2" s="159"/>
      <c r="HU2" s="159"/>
      <c r="HV2" s="159"/>
      <c r="HW2" s="159"/>
      <c r="HX2" s="159"/>
      <c r="HY2" s="159"/>
      <c r="HZ2" s="159"/>
      <c r="IA2" s="159"/>
      <c r="IB2" s="159"/>
      <c r="IC2" s="159"/>
      <c r="ID2" s="159"/>
      <c r="IE2" s="159"/>
      <c r="IF2" s="159"/>
      <c r="IG2" s="159"/>
      <c r="IH2" s="159"/>
      <c r="II2" s="159"/>
      <c r="IJ2" s="147"/>
      <c r="IK2" s="147"/>
      <c r="IL2" s="147"/>
      <c r="IM2" s="147"/>
    </row>
    <row r="3" spans="1:247">
      <c r="H3" s="15" t="str" cm="1">
        <f t="array" ref="H3">_xlfn.IFS(Global!B2="QA","https://wm.qa.travelexinsurance.net/",Global!B2="UAT","https://wm.uat.travelexinsurance.net/",Global!B2="PROD","https://wm.travelexinsurance.com")</f>
        <v>https://wm.uat.travelexinsurance.net/</v>
      </c>
    </row>
  </sheetData>
  <conditionalFormatting sqref="A2:E2">
    <cfRule type="cellIs" dxfId="7" priority="5" stopIfTrue="1" operator="equal">
      <formula>"N"</formula>
    </cfRule>
    <cfRule type="cellIs" dxfId="6" priority="6" stopIfTrue="1" operator="equal">
      <formula>"Y"</formula>
    </cfRule>
  </conditionalFormatting>
  <conditionalFormatting sqref="E1">
    <cfRule type="cellIs" dxfId="5" priority="1" stopIfTrue="1" operator="equal">
      <formula>"N"</formula>
    </cfRule>
    <cfRule type="cellIs" dxfId="4" priority="2" stopIfTrue="1" operator="equal">
      <formula>"Y"</formula>
    </cfRule>
  </conditionalFormatting>
  <conditionalFormatting sqref="GN2 HN2 HQ2 HT2 HW2 HZ2 IC2 IF2 II2">
    <cfRule type="containsText" dxfId="3" priority="7" operator="containsText" text="FAILED">
      <formula>NOT(ISERROR(SEARCH("FAILED",GN2)))</formula>
    </cfRule>
    <cfRule type="containsText" dxfId="2" priority="8" operator="containsText" text="FAILED">
      <formula>NOT(ISERROR(SEARCH("FAILED",GN2)))</formula>
    </cfRule>
    <cfRule type="cellIs" dxfId="1" priority="9" operator="equal">
      <formula>"FAILED"</formula>
    </cfRule>
    <cfRule type="cellIs" dxfId="0" priority="10" operator="equal">
      <formula>"PASSED"</formula>
    </cfRule>
  </conditionalFormatting>
  <dataValidations count="1">
    <dataValidation type="list" allowBlank="1" showInputMessage="1" showErrorMessage="1" sqref="GN2" xr:uid="{410DD152-1482-4A1B-AEA1-021A98F86D95}">
      <formula1>"PASSED, FAILED"</formula1>
    </dataValidation>
  </dataValidations>
  <hyperlinks>
    <hyperlink ref="AV2" r:id="rId1" display="qa@travelguard.com" xr:uid="{90760F81-F25F-4CB9-97B0-310FD772A920}"/>
    <hyperlink ref="AX2" r:id="rId2" display="qa@travelguard.com" xr:uid="{9EDB146A-9255-4DA3-9ADD-81B539283D0D}"/>
    <hyperlink ref="BA2" r:id="rId3" display="qa@travelguard.com" xr:uid="{22ABC698-D04A-4A28-AB80-594247B1BCA9}"/>
    <hyperlink ref="GD2" r:id="rId4" display="qa@travelex.com" xr:uid="{AA27DB07-652A-4E60-A91D-F1F787DCF819}"/>
    <hyperlink ref="GE2" r:id="rId5" display="qa@travelex.com" xr:uid="{9CD951B2-8A1C-45CA-A8D9-2A2B4FF9DFBF}"/>
    <hyperlink ref="H2" r:id="rId6" display="https://preview.uat.insurancebytravelex.com" xr:uid="{B1EE12CA-7639-43B7-A820-5EB6A77BB8A3}"/>
  </hyperlinks>
  <pageMargins left="0.7" right="0.7" top="0.75" bottom="0.75" header="0.3" footer="0.3"/>
  <pageSetup orientation="portrait" r:id="rId7"/>
  <headerFooter>
    <oddFooter>&amp;L_x000D_&amp;1#&amp;"Aptos"&amp;10&amp;K000000 INTERNAL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Global</vt:lpstr>
      <vt:lpstr>DataSheets</vt:lpstr>
      <vt:lpstr>Owner_AZ</vt:lpstr>
      <vt:lpstr>Params_1</vt:lpstr>
      <vt:lpstr>Owner_CRVD</vt:lpstr>
      <vt:lpstr>Params_2</vt:lpstr>
      <vt:lpstr>Owner_RVD</vt:lpstr>
      <vt:lpstr>Params_3</vt:lpstr>
      <vt:lpstr>PostDeparture</vt:lpstr>
      <vt:lpstr>Params_4</vt:lpstr>
      <vt:lpstr>Preview</vt:lpstr>
      <vt:lpstr>Params_5</vt:lpstr>
      <vt:lpstr>Travelkore</vt:lpstr>
      <vt:lpstr>Params_6</vt:lpstr>
      <vt:lpstr>ANZ</vt:lpstr>
      <vt:lpstr>Params_7</vt:lpstr>
      <vt:lpstr>CW</vt:lpstr>
      <vt:lpstr>Params_8</vt:lpstr>
      <vt:lpstr>WM</vt:lpstr>
      <vt:lpstr>Params_9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Almaden, Kenneth</dc:creator>
  <cp:lastModifiedBy>Anne Kamstra-Carr</cp:lastModifiedBy>
  <cp:lastPrinted>2021-04-06T05:36:20Z</cp:lastPrinted>
  <dcterms:created xsi:type="dcterms:W3CDTF">2011-12-09T07:04:23Z</dcterms:created>
  <dcterms:modified xsi:type="dcterms:W3CDTF">2026-09-01T15:13:45Z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7da97bb-6d18-4f1d-bae6-da0e782ec997_Enabled">
    <vt:lpwstr>true</vt:lpwstr>
  </property>
  <property fmtid="{D5CDD505-2E9C-101B-9397-08002B2CF9AE}" pid="3" name="MSIP_Label_87da97bb-6d18-4f1d-bae6-da0e782ec997_SetDate">
    <vt:lpwstr>2025-08-01T05:01:32Z</vt:lpwstr>
  </property>
  <property fmtid="{D5CDD505-2E9C-101B-9397-08002B2CF9AE}" pid="4" name="MSIP_Label_87da97bb-6d18-4f1d-bae6-da0e782ec997_Method">
    <vt:lpwstr>Privileged</vt:lpwstr>
  </property>
  <property fmtid="{D5CDD505-2E9C-101B-9397-08002B2CF9AE}" pid="5" name="MSIP_Label_87da97bb-6d18-4f1d-bae6-da0e782ec997_Name">
    <vt:lpwstr>Highly Confidential</vt:lpwstr>
  </property>
  <property fmtid="{D5CDD505-2E9C-101B-9397-08002B2CF9AE}" pid="6" name="MSIP_Label_87da97bb-6d18-4f1d-bae6-da0e782ec997_SiteId">
    <vt:lpwstr>9b893b67-6443-4d66-89db-071299e7a04d</vt:lpwstr>
  </property>
  <property fmtid="{D5CDD505-2E9C-101B-9397-08002B2CF9AE}" pid="7" name="MSIP_Label_87da97bb-6d18-4f1d-bae6-da0e782ec997_ActionId">
    <vt:lpwstr>ddf566b7-0e06-47a9-83a2-910441841ec3</vt:lpwstr>
  </property>
  <property fmtid="{D5CDD505-2E9C-101B-9397-08002B2CF9AE}" pid="8" name="MSIP_Label_87da97bb-6d18-4f1d-bae6-da0e782ec997_ContentBits">
    <vt:lpwstr>2</vt:lpwstr>
  </property>
  <property fmtid="{D5CDD505-2E9C-101B-9397-08002B2CF9AE}" pid="9" name="MSIP_Label_87da97bb-6d18-4f1d-bae6-da0e782ec997_Tag">
    <vt:lpwstr>10, 2, 1, 1</vt:lpwstr>
  </property>
  <property fmtid="{D5CDD505-2E9C-101B-9397-08002B2CF9AE}" pid="10" name="MSIP_Label_9108d454-5c13-4905-93be-12ec8059c842_Enabled">
    <vt:lpwstr>true</vt:lpwstr>
  </property>
  <property fmtid="{D5CDD505-2E9C-101B-9397-08002B2CF9AE}" pid="11" name="MSIP_Label_9108d454-5c13-4905-93be-12ec8059c842_SetDate">
    <vt:lpwstr>2026-07-13T16:26:29Z</vt:lpwstr>
  </property>
  <property fmtid="{D5CDD505-2E9C-101B-9397-08002B2CF9AE}" pid="12" name="MSIP_Label_9108d454-5c13-4905-93be-12ec8059c842_Method">
    <vt:lpwstr>Privileged</vt:lpwstr>
  </property>
  <property fmtid="{D5CDD505-2E9C-101B-9397-08002B2CF9AE}" pid="13" name="MSIP_Label_9108d454-5c13-4905-93be-12ec8059c842_Name">
    <vt:lpwstr>9108d454-5c13-4905-93be-12ec8059c842</vt:lpwstr>
  </property>
  <property fmtid="{D5CDD505-2E9C-101B-9397-08002B2CF9AE}" pid="14" name="MSIP_Label_9108d454-5c13-4905-93be-12ec8059c842_SiteId">
    <vt:lpwstr>473672ba-cd07-4371-a2ae-788b4c61840e</vt:lpwstr>
  </property>
  <property fmtid="{D5CDD505-2E9C-101B-9397-08002B2CF9AE}" pid="15" name="MSIP_Label_9108d454-5c13-4905-93be-12ec8059c842_ActionId">
    <vt:lpwstr>5f7c8191-f212-46de-a405-d7fa8e38e329</vt:lpwstr>
  </property>
  <property fmtid="{D5CDD505-2E9C-101B-9397-08002B2CF9AE}" pid="16" name="MSIP_Label_9108d454-5c13-4905-93be-12ec8059c842_ContentBits">
    <vt:lpwstr>2</vt:lpwstr>
  </property>
  <property fmtid="{D5CDD505-2E9C-101B-9397-08002B2CF9AE}" pid="17" name="MSIP_Label_9108d454-5c13-4905-93be-12ec8059c842_Tag">
    <vt:lpwstr>10, 0, 1, 1</vt:lpwstr>
  </property>
</Properties>
</file>